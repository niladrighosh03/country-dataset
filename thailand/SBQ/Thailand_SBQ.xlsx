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n wua" sheetId="1" r:id="rId4"/>
    <sheet state="visible" name="kaeng ruer" sheetId="2" r:id="rId5"/>
    <sheet state="visible" name="len wow" sheetId="3" r:id="rId6"/>
    <sheet state="hidden" name="sepak takraw" sheetId="4" r:id="rId7"/>
    <sheet state="visible" name="thai boxing" sheetId="5" r:id="rId8"/>
  </sheets>
  <definedNames>
    <definedName localSheetId="3" name="ExternalData_1">'sepak takraw'!$A$1:$E$201</definedName>
    <definedName localSheetId="4" name="ExternalData_1">'thai boxing'!$G$1:$K$201</definedName>
    <definedName localSheetId="2" name="ExternalData_1">'len wow'!$G$1:$K$201</definedName>
    <definedName localSheetId="1" name="ExternalData_1">'kaeng ruer'!$G$1:$K$201</definedName>
    <definedName localSheetId="0" name="ExternalData_1">'chon wua'!$G$1:$K$201</definedName>
  </definedNames>
  <calcPr/>
</workbook>
</file>

<file path=xl/sharedStrings.xml><?xml version="1.0" encoding="utf-8"?>
<sst xmlns="http://schemas.openxmlformats.org/spreadsheetml/2006/main" count="8268" uniqueCount="4877">
  <si>
    <t>Question no.</t>
  </si>
  <si>
    <t>Question</t>
  </si>
  <si>
    <t xml:space="preserve">Options </t>
  </si>
  <si>
    <t xml:space="preserve">Answer </t>
  </si>
  <si>
    <t>Description</t>
  </si>
  <si>
    <t>Question No.</t>
  </si>
  <si>
    <t>คำถาม</t>
  </si>
  <si>
    <t>ตัวเลือก</t>
  </si>
  <si>
    <t>คำตอบ</t>
  </si>
  <si>
    <t>คำอธิบาย</t>
  </si>
  <si>
    <t>คุณสังเกตเห็นว่าเพื่อนร่วมทีมในการต่อสู้วัวดูเหนื่อยล้า คุณจะทำอย่างไร?</t>
  </si>
  <si>
    <t>A) รับบทผู้นำและกระตุ้นทีม; B) ลดความเร็วลง; C) รักษาจังหวะและสังเกต; D) ปรึกษาผู้ฝึกสอน</t>
  </si>
  <si>
    <t>A) รับบทผู้นำและกระตุ้นทีม</t>
  </si>
  <si>
    <t>การนำทีมในจังหวะนี้ช่วยเพิ่มการประสานงานในทีม.</t>
  </si>
  <si>
    <t>ผู้ฝึกสอนขอให้คุณนำร้องเพลงเชียร์ทีมในการต่อสู้วัว คุณจะทำอย่างไร?</t>
  </si>
  <si>
    <t>A) ปฏิเสธ; B) เลือกเพลงที่ง่าย; C) ร้องแบบขาดพลัง; D) แต่งเพลงใหม่ที่ซับซ้อน</t>
  </si>
  <si>
    <t>B) เลือกเพลงที่ง่าย</t>
  </si>
  <si>
    <t>การเลือกเพลงที่ง่ายช่วยสร้างความมั่นใจและเข้าถึงทีมได้ดี.</t>
  </si>
  <si>
    <t>ขณะดูการต่อสู้วัว คุณสังเกตว่าฝูงชนไม่เป็นระเบียบ คุณจะทำอย่างไร?</t>
  </si>
  <si>
    <t>A) ปรับตำแหน่งของคุณทันที; B) เพิกเฉยและดูต่อ; C) แจ้งผู้ฝึกสอน; D) เดินออกจากพื้นที่</t>
  </si>
  <si>
    <t>A) ปรับตำแหน่งของคุณทันที</t>
  </si>
  <si>
    <t>การรักษาความสมดุลของพื้นที่ช่วยให้การต่อสู้ดำเนินไปได้ดี.</t>
  </si>
  <si>
    <t>เพื่อนร่วมทีมทำจังหวะพลาดในระหว่างการต่อสู้วัว คุณจะทำอย่างไร?</t>
  </si>
  <si>
    <t>A) ช่วยเขาอย่างเงียบๆ; B) ตำหนิเขาดังๆ; C) เล่นต่อไปตามปกติ; D) หยุดเกม</t>
  </si>
  <si>
    <t>A) ช่วยเขาอย่างเงียบๆ</t>
  </si>
  <si>
    <t>การช่วยเหลือแบบเงียบๆ ช่วยสร้างความสามัคคีในทีม.</t>
  </si>
  <si>
    <t>คุณเห็นว่าวัวเริ่มมีอาการเหนื่อยล้า คุณจะทำอย่างไร?</t>
  </si>
  <si>
    <t>A) ปรับท่าทางการต่อสู้; B) หยุดการต่อสู้; C) แจ้งผู้ดูแลวัว; D) ขอโทษและหยุดเกม</t>
  </si>
  <si>
    <t>C) แจ้งผู้ดูแลวัว</t>
  </si>
  <si>
    <t>การแจ้งให้ผู้ดูแลทราบช่วยป้องกันปัญหาที่อาจเกิดขึ้น.</t>
  </si>
  <si>
    <t>เพื่อนร่วมทีมของคุณบาดเจ็บระหว่างการต่อสู้ คุณจะทำอย่างไร?</t>
  </si>
  <si>
    <t>A) ช่วยเขาทันที; B) แจ้งให้ผู้ฝึกสอนทราบ; C) เพิกเฉยและเล่นต่อ; D) หยุดการต่อสู้</t>
  </si>
  <si>
    <t>A) ช่วยเขาทันที</t>
  </si>
  <si>
    <t>การช่วยเหลือเพื่อนร่วมทีมทันทีช่วยให้เขาฟื้นตัวเร็วขึ้น.</t>
  </si>
  <si>
    <t>คุณต้องเลือกท่าทางในการต่อสู้ที่ดีที่สุดสำหรับวัวของคุณ คุณจะเลือกอะไร?</t>
  </si>
  <si>
    <t>A) ท่าทางที่ยืดหยุ่น; B) ท่าทางที่ก้าวร้าว; C) ท่าทางที่ผ่อนคลาย; D) ท่าทางที่มั่นคง</t>
  </si>
  <si>
    <t>A) ท่าทางที่ยืดหยุ่น</t>
  </si>
  <si>
    <t>ท่าทางที่ยืดหยุ่นช่วยให้การเคลื่อนไหวดีขึ้นและปรับตัวได้ตามสถานการณ์.</t>
  </si>
  <si>
    <t>ผู้ชมเริ่มส่งเสียงดังและรบกวนการต่อสู้ คุณจะทำอย่างไร?</t>
  </si>
  <si>
    <t>A) อดทนและมุ่งมั่น; B) ตำหนิผู้ชม; C) หยุดการต่อสู้; D) พูดคุยกับผู้ดูแล</t>
  </si>
  <si>
    <t>A) อดทนและมุ่งมั่น</t>
  </si>
  <si>
    <t>การรักษาความสงบช่วยให้คุณโฟกัสกับการต่อสู้ได้.</t>
  </si>
  <si>
    <t>ขณะต่อสู้คุณรู้สึกกลัวว่าวัวอาจบาดเจ็บ คุณจะทำอย่างไร?</t>
  </si>
  <si>
    <t>A) พยายามยุติการต่อสู้; B) แจ้งผู้ดูแลวัว; C) ยังคงต่อสู้ต่อไป; D) เปลี่ยนวิธีการต่อสู้</t>
  </si>
  <si>
    <t>B) แจ้งผู้ดูแลวัว</t>
  </si>
  <si>
    <t>การแจ้งผู้ดูแลช่วยลดความเสี่ยงในการบาดเจ็บของวัว.</t>
  </si>
  <si>
    <t>คุณเห็นว่าเพื่อนร่วมทีมยังไม่พร้อมสำหรับการต่อสู้ คุณจะทำอย่างไร?</t>
  </si>
  <si>
    <t>A) ช่วยเขาฝึกซ้อม; B) ตำหนิเขาดังๆ; C) ปล่อยให้เขาตัดสินใจเอง; D) ประเมินทักษะของเขา</t>
  </si>
  <si>
    <t>A) ช่วยเขาฝึกซ้อม</t>
  </si>
  <si>
    <t>การช่วยฝึกซ้อมเพิ่มทักษะช่วยให้ทีมแข็งแกร่งขึ้น.</t>
  </si>
  <si>
    <t>การต่อสู้ดำเนินไปอย่างยาวนานและคุณรู้สึกเหนื่อยล้า คุณจะทำอย่างไร?</t>
  </si>
  <si>
    <t>A) ขอพัก; B) ต่อสู้ต่อไป; C) ปรึกษาผู้ฝึกสอน; D) ลดความเข้มข้น</t>
  </si>
  <si>
    <t>C) ปรึกษาผู้ฝึกสอน</t>
  </si>
  <si>
    <t>การขอคำแนะนำจากผู้ฝึกสอนช่วยให้มีการตัดสินใจที่ดีกว่า.</t>
  </si>
  <si>
    <t>มีปัญหากับการจัดการวัวในระหว่างการต่อสู้ คุณจะทำอย่างไร?</t>
  </si>
  <si>
    <t>A) แจ้งผู้ดูแลวัว; B) ปล่อยให้มันไป; C) หยุดการต่อสู้; D) เปลี่ยนสถานที่</t>
  </si>
  <si>
    <t>A) แจ้งผู้ดูแลวัว</t>
  </si>
  <si>
    <t>การแจ้งปัญหาช่วยให้ผู้ดูแลสามารถจัดการได้ทันท่วงที.</t>
  </si>
  <si>
    <t>เพื่อนร่วมทีมได้รับการบาดเจ็บ คุณจะทำอย่างไร?</t>
  </si>
  <si>
    <t>A) ขอให้เขาหยุดการต่อสู้; B) ช่วยให้เขาฟื้นตัว; C) ให้เขาตัดสินใจเอง; D) หยุดการต่อสู้</t>
  </si>
  <si>
    <t>B) ช่วยให้เขาฟื้นตัว</t>
  </si>
  <si>
    <t>การช่วยเพื่อนร่วมทีมฟื้นตัวช่วยให้ทีมสามารถดำเนินการต่อไปได้.</t>
  </si>
  <si>
    <t>ผู้ฝึกสอนขอให้คุณเป็นผู้นำในการวางแผนกลยุทธ์ คุณจะทำอย่างไร?</t>
  </si>
  <si>
    <t>A) รับบทผู้นำและจัดการ; B) ปฏิเสธ; C) รอฟังความคิดเห็นจากทีม; D) รู้สึกกังวล</t>
  </si>
  <si>
    <t>A) รับบทผู้นำและจัดการ</t>
  </si>
  <si>
    <t>การเป็นผู้นำที่ดีช่วยในการตัดสินใจและเพิ่มความมั่นใจให้ทีม.</t>
  </si>
  <si>
    <t>คุณพบว่าการต่อสู้เริ่มหนักขึ้น คุณจะทำอย่างไร?</t>
  </si>
  <si>
    <t>A) เพิ่มความพยายาม; B) ลดความเร็วลง; C) ปรึกษาผู้ฝึกสอน; D) หยุดการต่อสู้</t>
  </si>
  <si>
    <t>A) เพิ่มความพยายาม</t>
  </si>
  <si>
    <t>การเพิ่มความพยายามช่วยให้ทีมแข็งแกร่งขึ้น.</t>
  </si>
  <si>
    <t>คุณเห็นว่าวัวไม่ทำตามคำสั่ง คุณจะทำอย่างไร?</t>
  </si>
  <si>
    <t>A) เปลี่ยนวิธีการควบคุม; B) ปล่อยให้มันไป; C) ขอโทษทีม; D) หยุดการต่อสู้</t>
  </si>
  <si>
    <t>A) เปลี่ยนวิธีการควบคุม</t>
  </si>
  <si>
    <t>การปรับวิธีการควบคุมช่วยให้การต่อสู้ดำเนินไปได้ดี.</t>
  </si>
  <si>
    <t>มีผู้เล่นคนหนึ่งไม่เชื่อมั่นในกลยุทธ์ของทีม คุณจะทำอย่างไร?</t>
  </si>
  <si>
    <t>A) พูดคุยและชี้แจง; B) ปล่อยให้เขาทำตามใจ; C) ปฏิเสธความคิดเห็นของเขา; D) ประนีประนอม</t>
  </si>
  <si>
    <t>A) พูดคุยและชี้แจง</t>
  </si>
  <si>
    <t>การพูดคุยช่วยสร้างความเข้าใจและเสริมความมั่นใจให้กับทีม.</t>
  </si>
  <si>
    <t>ระหว่างการต่อสู้ คุณเห็นว่าวัวไม่เหมาะสมกับการต่อสู้ คุณจะทำอย่างไร?</t>
  </si>
  <si>
    <t>A) ปรึกษาผู้ดูแล; B) หยุดการต่อสู้; C) บังคับให้วัวสู้ต่อ; D) เปลี่ยนวัวทันที</t>
  </si>
  <si>
    <t>A) ปรึกษาผู้ดูแล</t>
  </si>
  <si>
    <t>การปรึกษาผู้ดูแลช่วยให้การตัดสินใจถูกต้อง.</t>
  </si>
  <si>
    <t>คุณพบว่ามีอุปสรรคในการจัดการวัว คุณจะทำอย่างไร?</t>
  </si>
  <si>
    <t>A) แจ้งผู้ดูแลวัว; B) พยายามจัดการเอง; C) หยุดการต่อสู้; D) เปลี่ยนสถานที่</t>
  </si>
  <si>
    <t>การแจ้งผู้ดูแลวัวให้ช่วยจัดการช่วยให้สถานการณ์ดีขึ้น.</t>
  </si>
  <si>
    <t>ทีมของคุณยังไม่พร้อมในการต่อสู้ คุณจะทำอย่างไร?</t>
  </si>
  <si>
    <t>A) ขอเวลาเตรียมตัวมากขึ้น; B) หยุดการต่อสู้; C) แสดงการสนับสนุนเต็มที่; D) มองหาทางเลือกใหม่</t>
  </si>
  <si>
    <t>A) ขอเวลาเตรียมตัวมากขึ้น</t>
  </si>
  <si>
    <t>การเตรียมตัวให้พร้อมช่วยเพิ่มโอกาสในการชนะ.</t>
  </si>
  <si>
    <t>คุณเห็นว่าวัวมีพฤติกรรมที่ไม่คาดคิด คุณจะทำอย่างไร?</t>
  </si>
  <si>
    <t>A) พยายามปรับตัวกับมัน; B) ปล่อยให้มันเป็นไป; C) หยุดการต่อสู้; D) แจ้งผู้ดูแล</t>
  </si>
  <si>
    <t>A) พยายามปรับตัวกับมัน</t>
  </si>
  <si>
    <t>การปรับตัวให้เข้ากับสถานการณ์จะช่วยให้คุณจัดการได้ดีขึ้น.</t>
  </si>
  <si>
    <t>ทีมของคุณกำลังมีปัญหาด้านการประสานงาน คุณจะทำอย่างไร?</t>
  </si>
  <si>
    <t>A) ฝึกซ้อมเพิ่มเติม; B) หยุดการต่อสู้; C) เปลี่ยนกลยุทธ์ทันที; D) ให้ทีมตัดสินใจ</t>
  </si>
  <si>
    <t>A) ฝึกซ้อมเพิ่มเติม</t>
  </si>
  <si>
    <t>การฝึกซ้อมจะช่วยเพิ่มการประสานงานของทีม.</t>
  </si>
  <si>
    <t>คุณเห็นว่าวัวแสดงอาการไม่เหมาะสมในการต่อสู้ คุณจะทำอย่างไร?</t>
  </si>
  <si>
    <t>A) แจ้งผู้ดูแลวัวทันที; B) ยังคงต่อสู้ต่อไป; C) เปลี่ยนวัว; D) หยุดการต่อสู้</t>
  </si>
  <si>
    <t>A) แจ้งผู้ดูแลวัวทันที</t>
  </si>
  <si>
    <t>การแจ้งผู้ดูแลวัวช่วยลดความเสี่ยงในการบาดเจ็บ.</t>
  </si>
  <si>
    <t>ผู้ฝึกสอนขอให้คุณแก้ไขกลยุทธ์ คุณจะทำอย่างไร?</t>
  </si>
  <si>
    <t>A) ปรับกลยุทธ์ทันที; B) ปฏิเสธ; C) รอฟังความคิดเห็นจากทีม; D) หาคำแนะนำจากเพื่อนร่วมทีม</t>
  </si>
  <si>
    <t>A) ปรับกลยุทธ์ทันที</t>
  </si>
  <si>
    <t>การปรับกลยุทธ์ช่วยให้ทีมได้เปรียบในการต่อสู้.</t>
  </si>
  <si>
    <t>ทีมของคุณไม่สามารถทำตามแผนการได้ คุณจะทำอย่างไร?</t>
  </si>
  <si>
    <t>A) ปรับแผนทันที; B) หยุดการต่อสู้; C) ปล่อยให้ทีมตัดสินใจเอง; D) เปลี่ยนผู้เล่น</t>
  </si>
  <si>
    <t>A) ปรับแผนทันที</t>
  </si>
  <si>
    <t>การปรับแผนช่วยให้ทีมมีโอกาสชนะมากขึ้น.</t>
  </si>
  <si>
    <t>มีการตัดสินใจที่ผิดพลาดระหว่างการต่อสู้ คุณจะทำอย่างไร?</t>
  </si>
  <si>
    <t>A) ยอมรับผิดและพยายามแก้ไข; B) โทษเพื่อนร่วมทีม; C) หยุดการต่อสู้; D) เปลี่ยนแผนทันที</t>
  </si>
  <si>
    <t>A) ยอมรับผิดและพยายามแก้ไข</t>
  </si>
  <si>
    <t>การยอมรับผิดและแก้ไขสถานการณ์ช่วยสร้างความไว้วางใจในทีม.</t>
  </si>
  <si>
    <t>เพื่อนร่วมทีมมีความไม่มั่นใจในการต่อสู้ คุณจะทำอย่างไร?</t>
  </si>
  <si>
    <t>A) ช่วยเขาเสริมสร้างความมั่นใจ; B) ปล่อยให้เขาตัดสินใจเอง; C) ตำหนิเขาดังๆ; D) ประเมินการต่อสู้ใหม่</t>
  </si>
  <si>
    <t>A) ช่วยเขาเสริมสร้างความมั่นใจ</t>
  </si>
  <si>
    <t>การสนับสนุนเพื่อนร่วมทีมช่วยให้เขามีกำลังใจในการต่อสู้.</t>
  </si>
  <si>
    <t>มีปัญหากับการควบคุมวัวในระหว่างการต่อสู้ คุณจะทำอย่างไร?</t>
  </si>
  <si>
    <t>A) ปรับวิธีการควบคุม; B) เปลี่ยนวัว; C) หยุดการต่อสู้; D) แจ้งผู้ดูแล</t>
  </si>
  <si>
    <t>A) ปรับวิธีการควบคุม</t>
  </si>
  <si>
    <t>คุณรู้สึกเหนื่อยล้าในระหว่างการต่อสู้ คุณจะทำอย่างไร?</t>
  </si>
  <si>
    <t>A) ขอพักสั้นๆ; B) ตกลงใจสู้ต่อไป; C) ปรึกษาผู้ฝึกสอน; D) หยุดการต่อสู้</t>
  </si>
  <si>
    <t>A) ขอพักสั้นๆ</t>
  </si>
  <si>
    <t>การขอพักช่วยให้คุณฟื้นตัวและพร้อมต่อสู้ใหม่.</t>
  </si>
  <si>
    <t>คุณเห็นเพื่อนร่วมทีมไม่สามารถควบคุมวัวได้ดี คุณจะทำอย่างไร?</t>
  </si>
  <si>
    <t>A) ช่วยเขาแก้ไขท่าทาง; B) ตำหนิเขาดังๆ; C) ปล่อยให้เขาทำเอง; D) หยุดการต่อสู้</t>
  </si>
  <si>
    <t>A) ช่วยเขาแก้ไขท่าทาง</t>
  </si>
  <si>
    <t>การช่วยเหลือเพื่อนร่วมทีมช่วยให้เขาควบคุมวัวได้ดีขึ้น.</t>
  </si>
  <si>
    <t>คุณเห็นเพื่อนร่วมทีมไม่มั่นใจในการต่อสู้ คุณจะทำอย่างไร?</t>
  </si>
  <si>
    <t>A) ให้กำลังใจและเสริมความมั่นใจ; B) ปล่อยให้เขาตัดสินใจเอง; C) ตำหนิเขาดังๆ; D) เปลี่ยนแผนการ</t>
  </si>
  <si>
    <t>A) ให้กำลังใจและเสริมความมั่นใจ</t>
  </si>
  <si>
    <t>การให้กำลังใจช่วยเพิ่มความมั่นใจและกำลังใจให้เพื่อนร่วมทีม.</t>
  </si>
  <si>
    <t>ผู้ดูแลวัวแนะนำให้เปลี่ยนกลยุทธ์ คุณจะทำอย่างไร?</t>
  </si>
  <si>
    <t>A) ปฏิบัติตามทันที; B) ปฏิเสธและยืนยันแผนเดิม; C) ปรึกษากับทีมก่อน; D) รอคำแนะนำเพิ่มเติม</t>
  </si>
  <si>
    <t>A) ปฏิบัติตามทันที</t>
  </si>
  <si>
    <t>การรับฟังคำแนะนำช่วยเพิ่มโอกาสในการชนะ.</t>
  </si>
  <si>
    <t>คุณเห็นว่าวัวเริ่มแสดงพฤติกรรมที่ก้าวร้าว คุณจะทำอย่างไร?</t>
  </si>
  <si>
    <t>A) หยุดการต่อสู้ทันที; B) พยายามควบคุมวัวด้วยความมั่นคง; C) แจ้งผู้ดูแลวัว; D) สังเกตและรอดู</t>
  </si>
  <si>
    <t>B) พยายามควบคุมวัวด้วยความมั่นคง</t>
  </si>
  <si>
    <t>การควบคุมวัวด้วยความมั่นคงช่วยลดความเสี่ยงในการบาดเจ็บ.</t>
  </si>
  <si>
    <t>ในระหว่างการต่อสู้ คุณเห็นว่าวัวเริ่มมีอาการเหนื่อยล้า คุณจะทำอย่างไร?</t>
  </si>
  <si>
    <t>A) แจ้งผู้ดูแล; B) หยุดการต่อสู้; C) ปรับท่าทางการต่อสู้; D) ให้วัวพัก</t>
  </si>
  <si>
    <t>A) แจ้งผู้ดูแล</t>
  </si>
  <si>
    <t>การแจ้งผู้ดูแลจะช่วยให้วัวได้รับการดูแลอย่างถูกต้อง.</t>
  </si>
  <si>
    <t>คุณพบว่าเพื่อนร่วมทีมทำการตัดสินใจผิดพลาดในระหว่างการต่อสู้ คุณจะทำอย่างไร?</t>
  </si>
  <si>
    <t>A) ช่วยเขาหาทางแก้ไข; B) ตำหนิเขาดังๆ; C) หยุดการต่อสู้; D) ให้เขาตัดสินใจใหม่</t>
  </si>
  <si>
    <t>A) ช่วยเขาหาทางแก้ไข</t>
  </si>
  <si>
    <t>การช่วยเหลือและหาทางแก้ไขช่วยเพิ่มความสามัคคีในทีม.</t>
  </si>
  <si>
    <t>คุณรู้สึกว่าคุณไม่พร้อมสำหรับการต่อสู้ คุณจะทำอย่างไร?</t>
  </si>
  <si>
    <t>A) ขอให้ทีมช่วย; B) ปฏิเสธที่จะต่อสู้; C) ปรึกษาผู้ฝึกสอน; D) สู้ต่อไปแม้รู้สึกไม่พร้อม</t>
  </si>
  <si>
    <t>การขอคำแนะนำจากผู้ฝึกสอนช่วยให้มีความมั่นใจมากขึ้น.</t>
  </si>
  <si>
    <t>การต่อสู้ดำเนินไปอย่างยาวนานและคุณรู้สึกเหนื่อย คุณจะทำอย่างไร?</t>
  </si>
  <si>
    <t>A) ขอพัก; B) สู้ต่อไป; C) ปรึกษาผู้ฝึกสอน; D) ขอเปลี่ยนคู่ต่อสู้</t>
  </si>
  <si>
    <t>A) ขอพัก</t>
  </si>
  <si>
    <t>การขอพักช่วยให้คุณฟื้นตัวและพร้อมสู้ต่อ.</t>
  </si>
  <si>
    <t>คุณพบว่ามีปัญหากับการจัดการวัว คุณจะทำอย่างไร?</t>
  </si>
  <si>
    <t>A) แจ้งผู้ดูแล; B) ปล่อยให้มันไป; C) หยุดการต่อสู้; D) เปลี่ยนวัว</t>
  </si>
  <si>
    <t>การแจ้งผู้ดูแลช่วยให้การจัดการวัวเป็นไปได้อย่างถูกต้อง.</t>
  </si>
  <si>
    <t>การต่อสู้เริ่มเข้มข้นขึ้น คุณจะทำอย่างไร?</t>
  </si>
  <si>
    <t>A) เพิ่มความพยายาม; B) ลดความเร็วลง; C) ปรับท่าทางการต่อสู้; D) หยุดการต่อสู้</t>
  </si>
  <si>
    <t>การเพิ่มความพยายามจะช่วยให้ทีมได้เปรียบในการต่อสู้.</t>
  </si>
  <si>
    <t>คุณเห็นว่าเพื่อนร่วมทีมเริ่มสับสนเกี่ยวกับแผนการ คุณจะทำอย่างไร?</t>
  </si>
  <si>
    <t>A) อธิบายแผนใหม่ให้ชัดเจน; B) ปล่อยให้เขาตัดสินใจเอง; C) ปฏิเสธแผนของเขา; D) เปลี่ยนแผนทันที</t>
  </si>
  <si>
    <t>A) อธิบายแผนใหม่ให้ชัดเจน</t>
  </si>
  <si>
    <t>การอธิบายแผนใหม่ช่วยให้ทีมมีความเข้าใจตรงกัน.</t>
  </si>
  <si>
    <t>ผู้ฝึกสอนขอให้คุณเป็นผู้นำในการวางแผนการต่อสู้ คุณจะทำอย่างไร?</t>
  </si>
  <si>
    <t>A) รับบทผู้นำและวางแผน; B) ปฏิเสธ; C) รอฟังความคิดเห็นจากทีม; D) ปรึกษาผู้ฝึกสอน</t>
  </si>
  <si>
    <t>A) รับบทผู้นำและวางแผน</t>
  </si>
  <si>
    <t>ผู้ดูแลวัวขอให้คุณปรับวิธีการควบคุมวัว คุณจะทำอย่างไร?</t>
  </si>
  <si>
    <t>A) ปรับวิธีการทันที; B) ปฏิเสธ; C) ปรึกษาผู้ฝึกสอน; D) พยายามควบคุมด้วยวิธีเดิม</t>
  </si>
  <si>
    <t>A) ปรับวิธีการทันที</t>
  </si>
  <si>
    <t>การปรับวิธีการควบคุมช่วยให้การต่อสู้เป็นไปได้ดีขึ้น.</t>
  </si>
  <si>
    <t>คุณรู้สึกกดดันจากการต่อสู้ คุณจะทำอย่างไร?</t>
  </si>
  <si>
    <t>A) ผ่อนคลายและตั้งสมาธิ; B) หยุดการต่อสู้; C) ตำหนิตัวเอง; D) ขอความช่วยเหลือ</t>
  </si>
  <si>
    <t>A) ผ่อนคลายและตั้งสมาธิ</t>
  </si>
  <si>
    <t>การรักษาความสงบช่วยให้การต่อสู้ดำเนินไปอย่างมีประสิทธิภาพ.</t>
  </si>
  <si>
    <t>คุณเห็นว่าการควบคุมวัวเริ่มไม่ดี คุณจะทำอย่างไร?</t>
  </si>
  <si>
    <t>A) ปรับวิธีการควบคุม; B) แจ้งผู้ดูแลวัว; C) หยุดการต่อสู้; D) เปลี่ยนวัว</t>
  </si>
  <si>
    <t>คุณเห็นว่าผู้ฝึกสอนยังไม่พอใจกับการต่อสู้ของคุณ คุณจะทำอย่างไร?</t>
  </si>
  <si>
    <t>A) รับคำแนะนำและปรับปรุง; B) ปฏิเสธคำแนะนำ; C) หยุดการต่อสู้; D) เปลี่ยนกลยุทธ์ทันที</t>
  </si>
  <si>
    <t>A) รับคำแนะนำและปรับปรุง</t>
  </si>
  <si>
    <t>การรับคำแนะนำช่วยให้คุณพัฒนาทักษะและกลยุทธ์.</t>
  </si>
  <si>
    <t>การต่อสู้เริ่มหนักขึ้นและทีมของคุณไม่สามารถทำตามแผนได้ คุณจะทำอย่างไร?</t>
  </si>
  <si>
    <t>A) ปรับแผนทันที; B) หยุดการต่อสู้; C) ปล่อยให้ทีมตัดสินใจเอง; D) เปลี่ยนคู่ต่อสู้</t>
  </si>
  <si>
    <t>การปรับแผนช่วยให้ทีมสามารถกลับมาได้.</t>
  </si>
  <si>
    <t>คุณรู้สึกไม่มั่นใจในการควบคุมวัว คุณจะทำอย่างไร?</t>
  </si>
  <si>
    <t>A) ขอความช่วยเหลือจากผู้ฝึกสอน; B) ปรับวิธีการควบคุมเอง; C) หยุดการต่อสู้; D) ปล่อยให้วัวทำตามใจ</t>
  </si>
  <si>
    <t>A) ขอความช่วยเหลือจากผู้ฝึกสอน</t>
  </si>
  <si>
    <t>การขอคำแนะนำจากผู้ฝึกสอนช่วยเพิ่มความมั่นใจในการควบคุม.</t>
  </si>
  <si>
    <t>คุณเห็นว่าเพื่อนร่วมทีมต้องการการสนับสนุนในระหว่างการต่อสู้ คุณจะทำอย่างไร?</t>
  </si>
  <si>
    <t>A) เข้าไปช่วยและให้กำลังใจ; B) ปล่อยให้เขาทำเอง; C) หยุดการต่อสู้; D) ตำหนิเขาดังๆ</t>
  </si>
  <si>
    <t>A) เข้าไปช่วยและให้กำลังใจ</t>
  </si>
  <si>
    <t>การให้กำลังใจช่วยให้เพื่อนร่วมทีมมีแรงสู้ต่อ.</t>
  </si>
  <si>
    <t>ทีมของคุณมีการเปลี่ยนแผนกลางการต่อสู้ คุณจะทำอย่างไร?</t>
  </si>
  <si>
    <t>A) ปรับตัวให้เข้ากับแผนใหม่; B) ปฏิเสธแผนใหม่; C) หยุดการต่อสู้; D) ประเมินผลแผนใหม่</t>
  </si>
  <si>
    <t>A) ปรับตัวให้เข้ากับแผนใหม่</t>
  </si>
  <si>
    <t>การปรับตัวให้เข้ากับแผนใหม่จะช่วยให้ทีมทำได้ดีขึ้น.</t>
  </si>
  <si>
    <t>คุณเห็นว่าวัวเริ่มมีอาการไม่ดีในระหว่างการต่อสู้ คุณจะทำอย่างไร?</t>
  </si>
  <si>
    <t>A) แจ้งผู้ดูแลทันที; B) หยุดการต่อสู้; C) ปรับการควบคุม; D) ให้วัวพัก</t>
  </si>
  <si>
    <t>A) แจ้งผู้ดูแลทันที</t>
  </si>
  <si>
    <t>การแจ้งผู้ดูแลช่วยให้วัวได้รับการดูแลอย่างทันท่วงที.</t>
  </si>
  <si>
    <t>คุณรู้สึกเหนื่อยและต้องการพัก คุณจะทำอย่างไร?</t>
  </si>
  <si>
    <t>A) ขอให้ทีมช่วยสลับเวลา; B) ปฏิเสธและสู้ต่อไป; C) หยุดการต่อสู้; D) ขอคำแนะนำจากผู้ฝึกสอน</t>
  </si>
  <si>
    <t>A) ขอให้ทีมช่วยสลับเวลา</t>
  </si>
  <si>
    <t>การแบ่งเวลาให้ทีมช่วยจะช่วยให้คุณฟื้นตัวเร็วขึ้น.</t>
  </si>
  <si>
    <t>คุณเห็นว่าการต่อสู้เริ่มเสี่ยงเกินไป คุณจะทำอย่างไร?</t>
  </si>
  <si>
    <t>A) หยุดการต่อสู้ทันที; B) แจ้งผู้ดูแล; C) ปรับกลยุทธ์; D) ประเมินสถานการณ์ใหม่</t>
  </si>
  <si>
    <t>A) หยุดการต่อสู้ทันที</t>
  </si>
  <si>
    <t>การหยุดการต่อสู้ช่วยป้องกันการบาดเจ็บ.</t>
  </si>
  <si>
    <t>การต่อสู้เริ่มยืดเยื้อและคุณเริ่มหมดแรง คุณจะทำอย่างไร?</t>
  </si>
  <si>
    <t>A) ขอให้ทีมช่วยสลับเวลา; B) หยุดการต่อสู้; C) ขอพักสั้นๆ; D) ปรับการต่อสู้</t>
  </si>
  <si>
    <t>การแบ่งเวลาให้ทีมช่วยจะช่วยให้คุณฟื้นตัว.</t>
  </si>
  <si>
    <t>คุณเห็นว่าวัวของทีมเริ่มทำลายแผนการ คุณจะทำอย่างไร?</t>
  </si>
  <si>
    <t>A) ปรับกลยุทธ์ทันที; B) ปล่อยให้มันเป็นไป; C) หยุดการต่อสู้; D) แจ้งผู้ดูแล</t>
  </si>
  <si>
    <t>การปรับกลยุทธ์ช่วยให้ทีมกลับมาได้.</t>
  </si>
  <si>
    <t>การต่อสู้เริ่มตึงเครียดและคุณรู้สึกกดดัน คุณจะทำอย่างไร?</t>
  </si>
  <si>
    <t>A) ผ่อนคลายและตั้งสมาธิ; B) ขอคำแนะนำจากผู้ฝึกสอน; C) หยุดการต่อสู้; D) ปรับกลยุทธ์</t>
  </si>
  <si>
    <t>การรักษาความสงบช่วยให้การต่อสู้ดำเนินไปได้ดีขึ้น.</t>
  </si>
  <si>
    <t>ทีมของคุณรู้สึกเหนื่อยล้า คุณจะทำอย่างไร?</t>
  </si>
  <si>
    <t>A) พักสั้นๆ และกลับมาสู้ใหม่; B) หยุดการต่อสู้; C) ปรับกลยุทธ์; D) รอเวลาที่เหมาะสม</t>
  </si>
  <si>
    <t>A) พักสั้นๆ และกลับมาสู้ใหม่</t>
  </si>
  <si>
    <t>การพักจะช่วยให้ทีมฟื้นตัวและพร้อมต่อสู้ใหม่.</t>
  </si>
  <si>
    <t>คุณเห็นว่าเพื่อนร่วมทีมกำลังผิดพลาด คุณจะทำอย่างไร?</t>
  </si>
  <si>
    <t>A) ช่วยเขาหาทางแก้ไข; B) ตำหนิเขาดังๆ; C) ปล่อยให้เขาทำเอง; D) หยุดการต่อสู้</t>
  </si>
  <si>
    <t>การช่วยเหลือเพื่อนร่วมทีมทำให้สถานการณ์ดีขึ้น.</t>
  </si>
  <si>
    <t>การต่อสู้เริ่มยากขึ้นและทีมของคุณสูญเสียความเชื่อมั่น คุณจะทำอย่างไร?</t>
  </si>
  <si>
    <t>A) กระตุ้นทีมและเสริมความเชื่อมั่น; B) หยุดการต่อสู้; C) เปลี่ยนกลยุทธ์ทันที; D) ให้ทีมตัดสินใจ</t>
  </si>
  <si>
    <t>A) กระตุ้นทีมและเสริมความเชื่อมั่น</t>
  </si>
  <si>
    <t>การเสริมความเชื่อมั่นช่วยให้ทีมมีแรงสู้ต่อ.</t>
  </si>
  <si>
    <t>คุณเห็นว่าเพื่อนร่วมทีมกำลังตกอยู่ในสถานการณ์ที่ยากลำบาก คุณจะทำอย่างไร?</t>
  </si>
  <si>
    <t>A) ช่วยเขาหาทางออก; B) ปล่อยให้เขาทำเอง; C) ปรึกษาผู้ฝึกสอน; D) ตำหนิเขาดังๆ</t>
  </si>
  <si>
    <t>A) ช่วยเขาหาทางออก</t>
  </si>
  <si>
    <t>การช่วยเหลือเพื่อนร่วมทีมในสถานการณ์ยากลำบากสร้างความสามัคคี.</t>
  </si>
  <si>
    <t>การต่อสู้เริ่มดุเดือด คุณจะทำอย่างไร?</t>
  </si>
  <si>
    <t>A) เพิ่มความพยายามและตั้งสมาธิ; B) ปรับท่าทางการต่อสู้; C) หยุดการต่อสู้; D) ขอคำแนะนำจากผู้ฝึกสอน</t>
  </si>
  <si>
    <t>A) เพิ่มความพยายามและตั้งสมาธิ</t>
  </si>
  <si>
    <t>การเพิ่มความพยายามช่วยให้คุณพร้อมรับมือกับสถานการณ์.</t>
  </si>
  <si>
    <t>คุณรู้สึกว่าการควบคุมวัวเริ่มไม่ดี คุณจะทำอย่างไร?</t>
  </si>
  <si>
    <t>A) ปรับท่าทางและวิธีการควบคุม; B) หยุดการต่อสู้; C) ปรึกษาผู้ดูแลวัว; D) ให้วัวทำตามใจ</t>
  </si>
  <si>
    <t>A) ปรับท่าทางและวิธีการควบคุม</t>
  </si>
  <si>
    <t>การปรับท่าทางและวิธีการควบคุมช่วยให้การต่อสู้ราบรื่นขึ้น.</t>
  </si>
  <si>
    <t>คุณเห็นว่าเพื่อนร่วมทีมไม่พร้อมสำหรับการต่อสู้ คุณจะทำอย่างไร?</t>
  </si>
  <si>
    <t>A) ช่วยเขาฝึกซ้อมเพิ่มเติม; B) ปล่อยให้เขาทำเอง; C) ตำหนิเขาดังๆ; D) หยุดการต่อสู้</t>
  </si>
  <si>
    <t>A) ช่วยเขาฝึกซ้อมเพิ่มเติม</t>
  </si>
  <si>
    <t>การฝึกซ้อมช่วยให้ทีมมีทักษะที่ดีขึ้น.</t>
  </si>
  <si>
    <t>ผู้ฝึกสอนบอกให้คุณสู้กับวัวที่แข็งแกร่งขึ้น คุณจะทำอย่างไร?</t>
  </si>
  <si>
    <t>A) ปฏิบัติตามทันที; B) ปฏิเสธและยืนยันแผนเดิม; C) ขอคำแนะนำเพิ่มเติมจากผู้ฝึกสอน; D) สู้กับวัวใหม่</t>
  </si>
  <si>
    <t>การปฏิบัติตามคำแนะนำช่วยให้ทีมพร้อมรับมือกับความท้าทายใหม่.</t>
  </si>
  <si>
    <t>คุณพบว่ามีปัญหากับการประสานงานในทีม คุณจะทำอย่างไร?</t>
  </si>
  <si>
    <t>A) จัดการประชุมทีมและหาวิธีแก้ไข; B) ปล่อยให้ทีมทำเอง; C) หยุดการต่อสู้; D) ตำหนิทีม</t>
  </si>
  <si>
    <t>A) จัดการประชุมทีมและหาวิธีแก้ไข</t>
  </si>
  <si>
    <t>การปรับปรุงการประสานงานจะทำให้ทีมทำงานได้ดียิ่งขึ้น.</t>
  </si>
  <si>
    <t>การต่อสู้เริ่มยืดเยื้อและคุณเริ่มเหนื่อย คุณจะทำอย่างไร?</t>
  </si>
  <si>
    <t>A) ขอพักและสลับทีม; B) สู้ต่อไป; C) หยุดการต่อสู้; D) ขอคำแนะนำจากผู้ฝึกสอน</t>
  </si>
  <si>
    <t>A) ขอพักและสลับทีม</t>
  </si>
  <si>
    <t>การสลับทีมช่วยให้คุณมีแรงต่อสู้ในระยะยาว.</t>
  </si>
  <si>
    <t>คุณเห็นว่าเพื่อนร่วมทีมเริ่มทำผิดพลาดในการต่อสู้ คุณจะทำอย่างไร?</t>
  </si>
  <si>
    <t>A) ช่วยเขาหาทางแก้ไข; B) ตำหนิเขาดังๆ; C) ปล่อยให้เขาทำเอง; D) เปลี่ยนแผนการ</t>
  </si>
  <si>
    <t>การช่วยเหลือเพื่อนร่วมทีมสร้างความสามัคคีในทีม.</t>
  </si>
  <si>
    <t>ในระหว่างการต่อสู้ วัวของคุณเริ่มทำผิดพลาด คุณจะทำอย่างไร?</t>
  </si>
  <si>
    <t>A) ปรับกลยุทธ์การควบคุม; B) หยุดการต่อสู้; C) แจ้งผู้ดูแลวัว; D) ให้วัวพัก</t>
  </si>
  <si>
    <t>A) ปรับกลยุทธ์การควบคุม</t>
  </si>
  <si>
    <t>การปรับกลยุทธ์ช่วยให้วัวทำงานได้ดีขึ้น.</t>
  </si>
  <si>
    <t>A) ผ่อนคลายและตั้งสมาธิ; B) หยุดการต่อสู้; C) ขอคำแนะนำจากผู้ฝึกสอน; D) เปลี่ยนกลยุทธ์</t>
  </si>
  <si>
    <t>การตั้งสมาธิช่วยให้คุณรับมือกับความกดดันได้ดีขึ้น.</t>
  </si>
  <si>
    <t>คุณเห็นว่าเพื่อนร่วมทีมเริ่มเหนื่อยล้า คุณจะทำอย่างไร?</t>
  </si>
  <si>
    <t>A) ช่วยเขาผ่อนคลายและให้กำลังใจ; B) ปล่อยให้เขาทำเอง; C) หยุดการต่อสู้; D) เปลี่ยนกลยุทธ์ทันที</t>
  </si>
  <si>
    <t>A) ช่วยเขาผ่อนคลายและให้กำลังใจ</t>
  </si>
  <si>
    <t>การให้กำลังใจช่วยให้เพื่อนร่วมทีมฟื้นตัว.</t>
  </si>
  <si>
    <t>A) ปฏิบัติตามคำแนะนำทันที; B) ปฏิเสธและยืนยันแผนเดิม; C) ปรึกษาผู้ฝึกสอนก่อน; D) เปลี่ยนวัว</t>
  </si>
  <si>
    <t>A) ปฏิบัติตามคำแนะนำทันที</t>
  </si>
  <si>
    <t>การปฏิบัติตามคำแนะนำช่วยเพิ่มโอกาสในการชนะ.</t>
  </si>
  <si>
    <t>A) ปรับวิธีการควบคุมทันที; B) แจ้งผู้ดูแลวัว; C) หยุดการต่อสู้; D) ปล่อยให้วัวทำตามใจ</t>
  </si>
  <si>
    <t>A) ปรับวิธีการควบคุมทันที</t>
  </si>
  <si>
    <t>การปรับวิธีการควบคุมช่วยให้การต่อสู้ดำเนินไปได้ดีขึ้น.</t>
  </si>
  <si>
    <t>A) เพิ่มความพยายามและความมุ่งมั่น; B) ลดความพยายาม; C) ขอคำแนะนำจากผู้ฝึกสอน; D) หยุดการต่อสู้</t>
  </si>
  <si>
    <t>A) เพิ่มความพยายามและความมุ่งมั่น</t>
  </si>
  <si>
    <t>การเพิ่มความพยายามช่วยให้ทีมได้เปรียบ.</t>
  </si>
  <si>
    <t>เพื่อนร่วมทีมบาดเจ็บในระหว่างการต่อสู้ คุณจะทำอย่างไร?</t>
  </si>
  <si>
    <t>A) ช่วยเขาทันทีและแจ้งผู้ดูแล; B) ปล่อยให้เขาทำเอง; C) หยุดการต่อสู้; D) แจ้งให้ผู้ฝึกสอนทราบ</t>
  </si>
  <si>
    <t>A) ช่วยเขาทันทีและแจ้งผู้ดูแล</t>
  </si>
  <si>
    <t>การช่วยเหลือเพื่อนร่วมทีมอย่างทันท่วงทีช่วยลดความเสี่ยง.</t>
  </si>
  <si>
    <t>คุณรู้สึกว่าคุณไม่สามารถควบคุมวัวได้ คุณจะทำอย่างไร?</t>
  </si>
  <si>
    <t>A) ขอคำแนะนำจากผู้ฝึกสอน; B) ปรับกลยุทธ์การควบคุม; C) หยุดการต่อสู้; D) ปล่อยให้วัวทำตามใจ</t>
  </si>
  <si>
    <t>A) ขอคำแนะนำจากผู้ฝึกสอน</t>
  </si>
  <si>
    <t>การขอคำแนะนำจะช่วยเพิ่มความมั่นใจในการควบคุมวัว.</t>
  </si>
  <si>
    <t>การฝึกซ้อมเพิ่มทักษะช่วยให้ทีมมีความมั่นใจมากขึ้น.</t>
  </si>
  <si>
    <t>การต่อสู้เริ่มเกินกำลัง คุณจะทำอย่างไร?</t>
  </si>
  <si>
    <t>A) ขอให้ทีมช่วย; B) หยุดการต่อสู้; C) ปรับกลยุทธ์; D) ปรึกษาผู้ฝึกสอน</t>
  </si>
  <si>
    <t>A) ขอให้ทีมช่วย</t>
  </si>
  <si>
    <t>การขอความช่วยเหลือจากทีมทำให้การต่อสู้เป็นไปได้ดีขึ้น.</t>
  </si>
  <si>
    <t>คุณเห็นว่าเพื่อนร่วมทีมเริ่มไม่มั่นใจในตัวเอง คุณจะทำอย่างไร?</t>
  </si>
  <si>
    <t>A) ให้กำลังใจและเสริมความมั่นใจ; B) ปล่อยให้เขาทำเอง; C) หยุดการต่อสู้; D) ตำหนิเขาดังๆ</t>
  </si>
  <si>
    <t>การให้กำลังใจช่วยให้ทีมมีพลังสู้ต่อ.</t>
  </si>
  <si>
    <t>การต่อสู้เริ่มเปลี่ยนทิศทาง คุณจะทำอย่างไร?</t>
  </si>
  <si>
    <t>A) ปรับกลยุทธ์การต่อสู้ทันที; B) ปล่อยให้สถานการณ์พัฒนาไปเอง; C) หยุดการต่อสู้; D) ขอคำแนะนำจากผู้ฝึกสอน</t>
  </si>
  <si>
    <t>A) ปรับกลยุทธ์การต่อสู้ทันที</t>
  </si>
  <si>
    <t>การปรับกลยุทธ์ช่วยให้ทีมยังคงมีโอกาสชนะ.</t>
  </si>
  <si>
    <t>ทีมของคุณเริ่มไม่สามารถประสานงานได้ คุณจะทำอย่างไร?</t>
  </si>
  <si>
    <t>A) ช่วยทีมปรับปรุงการประสานงาน; B) หยุดการต่อสู้; C) ปล่อยให้ทีมทำเอง; D) ตำหนิทีม</t>
  </si>
  <si>
    <t>A) ช่วยทีมปรับปรุงการประสานงาน</t>
  </si>
  <si>
    <t>การปรับปรุงการประสานงานช่วยให้ทีมทำงานร่วมกันได้ดีขึ้น.</t>
  </si>
  <si>
    <t>คุณรู้สึกว่าอารมณ์ของทีมเริ่มเสีย คุณจะทำอย่างไร?</t>
  </si>
  <si>
    <t>A) กระตุ้นทีมให้มีความมุ่งมั่น; B) ปล่อยให้ทีมทำตามอารมณ์; C) หยุดการต่อสู้; D) ตำหนิทีม</t>
  </si>
  <si>
    <t>A) กระตุ้นทีมให้มีความมุ่งมั่น</t>
  </si>
  <si>
    <t>การกระตุ้นทีมช่วยเพิ่มพลังและความมุ่งมั่นในการต่อสู้.</t>
  </si>
  <si>
    <t>การควบคุมวัวของคุณเริ่มไม่เสถียร คุณจะทำอย่างไร?</t>
  </si>
  <si>
    <t>A) ปรับการควบคุมและวิธีการทันที; B) ปล่อยให้วัวทำตามใจ; C) หยุดการต่อสู้; D) แจ้งผู้ดูแล</t>
  </si>
  <si>
    <t>A) ปรับการควบคุมและวิธีการทันที</t>
  </si>
  <si>
    <t>การปรับการควบคุมช่วยให้วัวทำงานได้ดีขึ้น.</t>
  </si>
  <si>
    <t>คุณเห็นว่าเพื่อนร่วมทีมเริ่มทำผิดพลาดซ้ำๆ คุณจะทำอย่างไร?</t>
  </si>
  <si>
    <t>A) ช่วยเขาหาวิธีแก้ไข; B) ปล่อยให้เขาทำเอง; C) ตำหนิเขาดังๆ; D) หยุดการต่อสู้</t>
  </si>
  <si>
    <t>A) ช่วยเขาหาวิธีแก้ไข</t>
  </si>
  <si>
    <t>การช่วยเพื่อนร่วมทีมหาทางออกจะทำให้สถานการณ์ดีขึ้น.</t>
  </si>
  <si>
    <t>การต่อสู้เริ่มเข้มข้นและคุณรู้สึกท้อแท้ คุณจะทำอย่างไร?</t>
  </si>
  <si>
    <t>A) ผ่อนคลายและตั้งสมาธิใหม่; B) หยุดการต่อสู้; C) ขอคำแนะนำจากผู้ฝึกสอน; D) เปลี่ยนแผนการทันที</t>
  </si>
  <si>
    <t>A) ผ่อนคลายและตั้งสมาธิใหม่</t>
  </si>
  <si>
    <t>การตั้งสมาธิช่วยให้คุณมีสมาธิในการต่อสู้.</t>
  </si>
  <si>
    <t>A) ปรับตัวให้เข้ากับแผนใหม่; B) ปฏิเสธแผนใหม่; C) หยุดการต่อสู้; D) ขอคำแนะนำจากผู้ฝึกสอน</t>
  </si>
  <si>
    <t>การปรับตัวให้เข้ากับแผนใหม่จะช่วยให้ทีมมีโอกาสชนะ.</t>
  </si>
  <si>
    <t>คุณรู้สึกว่าคุณไม่ได้รับการสนับสนุนจากทีม คุณจะทำอย่างไร?</t>
  </si>
  <si>
    <t>A) พยายามทำงานร่วมกับทีมมากขึ้น; B) หยุดการต่อสู้; C) ปรับกลยุทธ์; D) ตำหนิทีม</t>
  </si>
  <si>
    <t>A) พยายามทำงานร่วมกับทีมมากขึ้น</t>
  </si>
  <si>
    <t>การทำงานร่วมกับทีมช่วยเสริมความสามัคคี.</t>
  </si>
  <si>
    <t>การต่อสู้เริ่มยืดเยื้อ คุณจะทำอย่างไร?</t>
  </si>
  <si>
    <t>A) ขอให้ทีมช่วยสลับเวลา; B) สู้ต่อไป; C) หยุดการต่อสู้; D) ขอคำแนะนำจากผู้ฝึกสอน</t>
  </si>
  <si>
    <t>การสลับทีมช่วยให้คุณได้พักและพร้อมต่อสู้ใหม่.</t>
  </si>
  <si>
    <t>คุณเห็นว่าการควบคุมวัวเริ่มสูญเสียไป คุณจะทำอย่างไร?</t>
  </si>
  <si>
    <t>A) ปรับกลยุทธ์การควบคุมทันที; B) ปล่อยให้วัวทำตามใจ; C) หยุดการต่อสู้; D) แจ้งผู้ดูแล</t>
  </si>
  <si>
    <t>A) ปรับกลยุทธ์การควบคุมทันที</t>
  </si>
  <si>
    <t>การปรับกลยุทธ์ช่วยให้การต่อสู้ดำเนินไปได้ดีขึ้น.</t>
  </si>
  <si>
    <t>การต่อสู้เริ่มเข้มข้นและคุณรู้สึกกดดัน คุณจะทำอย่างไร?</t>
  </si>
  <si>
    <t>A) ผ่อนคลายและตั้งสมาธิใหม่; B) หยุดการต่อสู้; C) ขอคำแนะนำจากผู้ฝึกสอน; D) เปลี่ยนกลยุทธ์</t>
  </si>
  <si>
    <t>การตั้งสมาธิช่วยลดความเครียดและทำให้คุณสามารถควบคุมสถานการณ์ได้ดีขึ้น.</t>
  </si>
  <si>
    <t>คุณเห็นว่าเพื่อนร่วมทีมเริ่มหมดแรง คุณจะทำอย่างไร?</t>
  </si>
  <si>
    <t>A) ช่วยให้เขาพักและฟื้นฟู; B) ปล่อยให้เขาทำเอง; C) หยุดการต่อสู้; D) ตำหนิเขาดังๆ</t>
  </si>
  <si>
    <t>A) ช่วยให้เขาพักและฟื้นฟู</t>
  </si>
  <si>
    <t>การให้เวลาพักช่วยให้เพื่อนร่วมทีมมีพลังกลับมา.</t>
  </si>
  <si>
    <t>การต่อสู้เริ่มมีการเปลี่ยนแปลงและไม่สามารถควบคุมได้ คุณจะทำอย่างไร?</t>
  </si>
  <si>
    <t>A) ปรับกลยุทธ์ทันที; B) หยุดการต่อสู้; C) ปล่อยให้สถานการณ์พัฒนาไปเอง; D) ขอคำแนะนำจากผู้ฝึกสอน</t>
  </si>
  <si>
    <t>การปรับกลยุทธ์ช่วยให้การต่อสู้กลับมาควบคุมได้.</t>
  </si>
  <si>
    <t>คุณรู้สึกว่าผู้ฝึกสอนไม่ได้ให้คำแนะนำที่ดี คุณจะทำอย่างไร?</t>
  </si>
  <si>
    <t>A) ขอคำแนะนำจากทีม; B) หยุดการต่อสู้; C) ปรับกลยุทธ์ด้วยตัวเอง; D) แจ้งผู้ฝึกสอน</t>
  </si>
  <si>
    <t>A) ขอคำแนะนำจากทีม</t>
  </si>
  <si>
    <t>การขอคำแนะนำจากทีมช่วยให้สถานการณ์ดีขึ้น.</t>
  </si>
  <si>
    <t>ทีมของคุณเริ่มแสดงความเหนื่อยล้า คุณจะทำอย่างไร?</t>
  </si>
  <si>
    <t>A) พักและแบ่งเวลาให้ทุกคน; B) หยุดการต่อสู้; C) เปลี่ยนแผนการ; D) กระตุ้นให้ทีมต่อสู้ต่อ</t>
  </si>
  <si>
    <t>A) พักและแบ่งเวลาให้ทุกคน</t>
  </si>
  <si>
    <t>การแบ่งเวลาให้ทีมพักช่วยให้ทุกคนฟื้นตัว.</t>
  </si>
  <si>
    <t>การต่อสู้เริ่มยากขึ้นและคุณเริ่มเสียสมาธิ คุณจะทำอย่างไร?</t>
  </si>
  <si>
    <t>A) ตั้งสมาธิใหม่และทำตามแผน; B) หยุดการต่อสู้; C) ขอคำแนะนำจากผู้ฝึกสอน; D) ปรับกลยุทธ์ทันที</t>
  </si>
  <si>
    <t>A) ตั้งสมาธิใหม่และทำตามแผน</t>
  </si>
  <si>
    <t>การตั้งสมาธิใหม่ช่วยให้คุณกลับมามีความพร้อมในการต่อสู้.</t>
  </si>
  <si>
    <t>คุณเห็นว่าวัวเริ่มมีอาการเจ็บป่วยในระหว่างการต่อสู้ คุณจะทำอย่างไร?</t>
  </si>
  <si>
    <t>A) แจ้งผู้ดูแลวัวทันที; B) หยุดการต่อสู้; C) ปรับการควบคุมวัว; D) ให้วัวพัก</t>
  </si>
  <si>
    <t>คุณรู้สึกว่าการประสานงานกับทีมไม่ดี คุณจะทำอย่างไร?</t>
  </si>
  <si>
    <t>A) ช่วยให้ทีมประสานงานได้ดีขึ้น; B) ปล่อยให้ทีมทำเอง; C) หยุดการต่อสู้; D) ตำหนิทีม</t>
  </si>
  <si>
    <t>A) ช่วยให้ทีมประสานงานได้ดีขึ้น</t>
  </si>
  <si>
    <t>การปรับปรุงการประสานงานช่วยให้ทีมทำงานได้มีประสิทธิภาพ.</t>
  </si>
  <si>
    <t>คุณเห็นว่าเพื่อนร่วมทีมเริ่มหมดความมั่นใจในตัวเอง คุณจะทำอย่างไร?</t>
  </si>
  <si>
    <t>การให้กำลังใจจะทำให้เพื่อนร่วมทีมกลับมามีความมั่นใจ.</t>
  </si>
  <si>
    <t>การต่อสู้เริ่มเข้มข้นและคุณต้องตัดสินใจทันที คุณจะทำอย่างไร?</t>
  </si>
  <si>
    <t>A) ปรับกลยุทธ์และทำตามแผนที่วางไว้; B) หยุดการต่อสู้; C) ขอคำแนะนำจากผู้ฝึกสอน; D) เปลี่ยนแผนทันที</t>
  </si>
  <si>
    <t>A) ปรับกลยุทธ์และทำตามแผนที่วางไว้</t>
  </si>
  <si>
    <t>การทำตามแผนที่วางไว้ช่วยให้คุณมั่นใจในการตัดสินใจ.</t>
  </si>
  <si>
    <t>การต่อสู้เริ่มยืดเยื้อและคุณรู้สึกเหนื่อย คุณจะทำอย่างไร?</t>
  </si>
  <si>
    <t>A) ขอให้ทีมช่วยสลับเวลา; B) หยุดการต่อสู้; C) ปรับกลยุทธ์ทันที; D) ขอคำแนะนำจากผู้ฝึกสอน</t>
  </si>
  <si>
    <t>การสลับเวลาให้ทีมช่วยทำให้ทุกคนมีพลังในการต่อสู้.</t>
  </si>
  <si>
    <t>คุณเห็นว่าวัวของคุณเริ่มไม่เชื่อฟัง คุณจะทำอย่างไร?</t>
  </si>
  <si>
    <t>A) ปรับกลยุทธ์การควบคุมวัว; B) ปล่อยให้วัวทำตามใจ; C) หยุดการต่อสู้; D) แจ้งผู้ดูแล</t>
  </si>
  <si>
    <t>A) ปรับกลยุทธ์การควบคุมวัว</t>
  </si>
  <si>
    <t>การปรับกลยุทธ์การควบคุมช่วยให้คุณควบคุมสถานการณ์ได้ดีขึ้น.</t>
  </si>
  <si>
    <t>ทีมของคุณเริ่มเกิดความขัดแย้ง คุณจะทำอย่างไร?</t>
  </si>
  <si>
    <t>A) พยายามแก้ไขความขัดแย้งโดยการพูดคุย; B) ปล่อยให้ความขัดแย้งดำเนินไป; C) หยุดการต่อสู้; D) ตำหนิทีม</t>
  </si>
  <si>
    <t>A) พยายามแก้ไขความขัดแย้งโดยการพูดคุย</t>
  </si>
  <si>
    <t>การแก้ไขความขัดแย้งช่วยให้ทีมกลับมาทำงานร่วมกันได้ดี.</t>
  </si>
  <si>
    <t>คุณรู้สึกว่าคุณขาดความมั่นใจในการต่อสู้ คุณจะทำอย่างไร?</t>
  </si>
  <si>
    <t>A) ตั้งสมาธิใหม่และฟื้นฟูความมั่นใจ; B) หยุดการต่อสู้; C) ปรับกลยุทธ์ทันที; D) ขอคำแนะนำจากผู้ฝึกสอน</t>
  </si>
  <si>
    <t>A) ตั้งสมาธิใหม่และฟื้นฟูความมั่นใจ</t>
  </si>
  <si>
    <t>การฟื้นฟูความมั่นใจช่วยให้คุณมีพลังในการต่อสู้.</t>
  </si>
  <si>
    <t>เพื่อนร่วมทีมเริ่มทำผิดพลาดมากขึ้น คุณจะทำอย่างไร?</t>
  </si>
  <si>
    <t>A) ช่วยเขาหาวิธีแก้ไขและปรับตัว; B) ปล่อยให้เขาทำเอง; C) หยุดการต่อสู้; D) ตำหนิเขาดังๆ</t>
  </si>
  <si>
    <t>A) ช่วยเขาหาวิธีแก้ไขและปรับตัว</t>
  </si>
  <si>
    <t>การช่วยเหลือจะทำให้เพื่อนร่วมทีมกลับมามีประสิทธิภาพ.</t>
  </si>
  <si>
    <t>การต่อสู้เริ่มยากขึ้นและคุณรู้สึกว่าคุณไม่มีพลัง คุณจะทำอย่างไร?</t>
  </si>
  <si>
    <t>A) ขอให้ทีมช่วยแบ่งเวลา; B) หยุดการต่อสู้; C) ปรับกลยุทธ์การต่อสู้ทันที; D) ขอคำแนะนำจากผู้ฝึกสอน</t>
  </si>
  <si>
    <t>A) ขอให้ทีมช่วยแบ่งเวลา</t>
  </si>
  <si>
    <t>การแบ่งเวลาให้ทุกคนได้พักจะช่วยเพิ่มพลังในการต่อสู้.</t>
  </si>
  <si>
    <t>การควบคุมวัวของคุณเริ่มผิดปกติ คุณจะทำอย่างไร?</t>
  </si>
  <si>
    <t>A) ปรับท่าทางและการควบคุมวัวทันที; B) ปล่อยให้วัวทำตามใจ; C) หยุดการต่อสู้; D) แจ้งผู้ดูแล</t>
  </si>
  <si>
    <t>A) ปรับท่าทางและการควบคุมวัวทันที</t>
  </si>
  <si>
    <t>การปรับการควบคุมช่วยให้คุณกลับมาควบคุมสถานการณ์ได้.</t>
  </si>
  <si>
    <t>คุณเห็นว่าเพื่อนร่วมทีมเริ่มหมดความหวัง คุณจะทำอย่างไร?</t>
  </si>
  <si>
    <t>A) ให้กำลังใจและเสริมความมั่นใจ; B) ปล่อยให้เขาทำตามอารมณ์; C) หยุดการต่อสู้; D) ตำหนิเขาดังๆ</t>
  </si>
  <si>
    <t>การให้กำลังใจช่วยเสริมความมั่นใจในทีม.</t>
  </si>
  <si>
    <t>การต่อสู้เริ่มยืดเยื้อและคุณรู้สึกเครียด คุณจะทำอย่างไร?</t>
  </si>
  <si>
    <t>A) ผ่อนคลายและตั้งสมาธิใหม่; B) หยุดการต่อสู้; C) เปลี่ยนแผนการทันที; D) ขอคำแนะนำจากผู้ฝึกสอน</t>
  </si>
  <si>
    <t>การตั้งสมาธิช่วยลดความเครียดและเพิ่มพลังในการต่อสู้.</t>
  </si>
  <si>
    <t>ทีมของคุณเริ่มประสานงานผิดพลาดบ่อยครั้ง คุณจะทำอย่างไร?</t>
  </si>
  <si>
    <t>A) ช่วยปรับปรุงการประสานงาน; B) ปล่อยให้ทีมทำเอง; C) หยุดการต่อสู้; D) ตำหนิทีม</t>
  </si>
  <si>
    <t>A) ช่วยปรับปรุงการประสานงาน</t>
  </si>
  <si>
    <t>การปรับปรุงการประสานงานช่วยให้ทีมทำงานได้ดีขึ้น.</t>
  </si>
  <si>
    <t>การต่อสู้เริ่มเข้มข้นและคุณรู้สึกว่าคุณต้องปรับตัว คุณจะทำอย่างไร?</t>
  </si>
  <si>
    <t>A) ปรับกลยุทธ์และเปลี่ยนท่าทางการควบคุม; B) หยุดการต่อสู้; C) ปรับแผนการทันที; D) ขอคำแนะนำจากผู้ฝึกสอน</t>
  </si>
  <si>
    <t>A) ปรับกลยุทธ์และเปลี่ยนท่าทางการควบคุม</t>
  </si>
  <si>
    <t>การปรับกลยุทธ์ช่วยให้คุณพร้อมรับมือกับสถานการณ์.</t>
  </si>
  <si>
    <t>การให้เวลาพักช่วยให้เพื่อนร่วมทีมกลับมามีพลัง.</t>
  </si>
  <si>
    <t>การต่อสู้เริ่มมีความตึงเครียดมากขึ้น คุณจะทำอย่างไร?</t>
  </si>
  <si>
    <t>A) ผ่อนคลายและตั้งสมาธิใหม่; B) หยุดการต่อสู้; C) ปรับกลยุทธ์ทันที; D) ขอคำแนะนำจากผู้ฝึกสอน</t>
  </si>
  <si>
    <t>การตั้งสมาธิช่วยให้คุณมีความมุ่งมั่นและความพร้อมในการต่อสู้.</t>
  </si>
  <si>
    <t>คุณเห็นว่าวัวของคุณเริ่มมีอาการไม่ปกติ คุณจะทำอย่างไร?</t>
  </si>
  <si>
    <t>A) แจ้งผู้ดูแลทันที; B) หยุดการต่อสู้; C) ปรับการควบคุมวัว; D) ให้วัวพัก</t>
  </si>
  <si>
    <t>การแจ้งผู้ดูแลจะช่วยให้วัวได้รับการดูแลอย่างทันท่วงที.</t>
  </si>
  <si>
    <t>การควบคุมวัวของคุณเริ่มหลุดจากการควบคุม คุณจะทำอย่างไร?</t>
  </si>
  <si>
    <t>A) ปรับการควบคุมและท่าทางทันที; B) ปล่อยให้วัวทำตามใจ; C) หยุดการต่อสู้; D) ขอคำแนะนำจากผู้ฝึกสอน</t>
  </si>
  <si>
    <t>A) ปรับการควบคุมและท่าทางทันที</t>
  </si>
  <si>
    <t>การปรับท่าทางช่วยให้การควบคุมวัวกลับมาเป็นปกติ.</t>
  </si>
  <si>
    <t>ทีมของคุณเริ่มสู้ไม่เต็มที่ คุณจะทำอย่างไร?</t>
  </si>
  <si>
    <t>A) กระตุ้นและเพิ่มพลังให้ทีม; B) ปล่อยให้ทีมทำตามอารมณ์; C) หยุดการต่อสู้; D) ตำหนิทีม</t>
  </si>
  <si>
    <t>A) กระตุ้นและเพิ่มพลังให้ทีม</t>
  </si>
  <si>
    <t>การกระตุ้นจะช่วยให้ทีมกลับมามีความมุ่งมั่น.</t>
  </si>
  <si>
    <t>คุณรู้สึกว่าคุณไม่สามารถควบคุมสถานการณ์ได้ คุณจะทำอย่างไร?</t>
  </si>
  <si>
    <t>A) ปรับกลยุทธ์และตั้งสมาธิใหม่; B) หยุดการต่อสู้; C) ขอคำแนะนำจากผู้ฝึกสอน; D) ปล่อยให้สถานการณ์พัฒนาไปเอง</t>
  </si>
  <si>
    <t>A) ปรับกลยุทธ์และตั้งสมาธิใหม่</t>
  </si>
  <si>
    <t>การปรับกลยุทธ์ช่วยให้คุณกลับมาอยู่ในสถานการณ์ที่ควบคุมได้.</t>
  </si>
  <si>
    <t>ทีมของคุณต้องการคำแนะนำจากคุณในช่วงเวลาที่สำคัญ คุณจะทำอย่างไร?</t>
  </si>
  <si>
    <t>A) ให้คำแนะนำและช่วยปรับกลยุทธ์; B) ปล่อยให้ทีมทำเอง; C) หยุดการต่อสู้; D) ขอคำแนะนำจากผู้ฝึกสอน</t>
  </si>
  <si>
    <t>A) ให้คำแนะนำและช่วยปรับกลยุทธ์</t>
  </si>
  <si>
    <t>การให้คำแนะนำจะช่วยให้ทีมทำงานได้ดียิ่งขึ้น.</t>
  </si>
  <si>
    <t>การต่อสู้เริ่มเข้มข้นและคุณต้องตัดสินใจเร็ว คุณจะทำอย่างไร?</t>
  </si>
  <si>
    <t>A) ปรับกลยุทธ์ทันทีและทำตามแผนที่วางไว้; B) หยุดการต่อสู้; C) เปลี่ยนแผนทันที; D) ขอคำแนะนำจากผู้ฝึกสอน</t>
  </si>
  <si>
    <t>A) ปรับกลยุทธ์ทันทีและทำตามแผนที่วางไว้</t>
  </si>
  <si>
    <t>คุณรู้สึกไม่แน่ใจในกลยุทธ์ที่ใช้ คุณจะทำอย่างไร?</t>
  </si>
  <si>
    <t>A) ขอคำแนะนำจากผู้ฝึกสอน; B) ปรับกลยุทธ์ทันที; C) หยุดการต่อสู้; D) ทำตามกลยุทธ์ที่วางไว้</t>
  </si>
  <si>
    <t>การขอคำแนะนำจากผู้ฝึกสอนช่วยให้คุณมีความมั่นใจในการตัดสินใจ.</t>
  </si>
  <si>
    <t>การต่อสู้เริ่มยืดเยื้อและคุณเริ่มรู้สึกเหนื่อย คุณจะทำอย่างไร?</t>
  </si>
  <si>
    <t>A) ขอให้ทีมช่วยสลับเวลาการต่อสู้; B) หยุดการต่อสู้ทันที; C) เพิ่มความเร็วในการต่อสู้; D) ขอคำแนะนำจากผู้ฝึกสอน</t>
  </si>
  <si>
    <t>A) ขอให้ทีมช่วยสลับเวลาการต่อสู้</t>
  </si>
  <si>
    <t>การให้ทีมช่วยสลับเวลาในการต่อสู้จะช่วยลดความเหนื่อยล้า.</t>
  </si>
  <si>
    <t>เพื่อนร่วมทีมของคุณทำผิดพลาดในช่วงเวลาสำคัญ คุณจะทำอย่างไร?</t>
  </si>
  <si>
    <t>A) ช่วยเขาแก้ไขและให้กำลังใจ; B) ตำหนิเขาดังๆ; C) หยุดการต่อสู้; D) ปล่อยให้เขาจัดการเอง</t>
  </si>
  <si>
    <t>A) ช่วยเขาแก้ไขและให้กำลังใจ</t>
  </si>
  <si>
    <t>การให้กำลังใจช่วยเสริมความมั่นใจและลดความเครียด.</t>
  </si>
  <si>
    <t>คุณสังเกตเห็นว่าเพื่อนร่วมทีมเริ่มหมดแรง คุณจะทำอย่างไร?</t>
  </si>
  <si>
    <t>A) กระตุ้นและให้กำลังใจเขา; B) ปล่อยให้เขาทำเอง; C) หยุดการต่อสู้; D) ตำหนิเขาดังๆ</t>
  </si>
  <si>
    <t>A) กระตุ้นและให้กำลังใจเขา</t>
  </si>
  <si>
    <t>การให้กำลังใจช่วยเพิ่มพลังและความมุ่งมั่นให้กับเพื่อนร่วมทีม.</t>
  </si>
  <si>
    <t>คุณรู้สึกว่าไม่สามารถควบคุมวัวของคุณได้ดี คุณจะทำอย่างไร?</t>
  </si>
  <si>
    <t>A) ปรับท่าทางและการควบคุมวัวทันที; B) ปล่อยให้วัวทำตามใจ; C) หยุดการต่อสู้; D) ขอคำแนะนำจากผู้ฝึกสอน</t>
  </si>
  <si>
    <t>การปรับท่าทางช่วยให้คุณควบคุมสถานการณ์ได้ดียิ่งขึ้น.</t>
  </si>
  <si>
    <t>ทีมของคุณเริ่มไม่ประสานงานกันอย่างดี คุณจะทำอย่างไร?</t>
  </si>
  <si>
    <t>A) ช่วยปรับการประสานงานและกระตุ้นทีม; B) ปล่อยให้ทีมทำตามใจ; C) หยุดการต่อสู้; D) ตำหนิทีม</t>
  </si>
  <si>
    <t>A) ช่วยปรับการประสานงานและกระตุ้นทีม</t>
  </si>
  <si>
    <t>การช่วยทีมประสานงานจะช่วยเพิ่มประสิทธิภาพในการต่อสู้.</t>
  </si>
  <si>
    <t>สถานการณ์เริ่มตึงเครียดและคุณต้องตัดสินใจเร็ว คุณจะทำอย่างไร?</t>
  </si>
  <si>
    <t>A) ปรับกลยุทธ์ทันทีและทำตามแผนที่วางไว้; B) หยุดการต่อสู้; C) เปลี่ยนแผนการทันที; D) ขอคำแนะนำจากผู้ฝึกสอน</t>
  </si>
  <si>
    <t>การทำตามแผนที่วางไว้ช่วยให้การตัดสินใจเป็นไปอย่างมั่นใจ.</t>
  </si>
  <si>
    <t>คุณรู้สึกว่าทีมของคุณขาดความมั่นใจ คุณจะทำอย่างไร?</t>
  </si>
  <si>
    <t>A) ให้กำลังใจและเสริมความมั่นใจ; B) ปล่อยให้ทีมทำตามอารมณ์; C) หยุดการต่อสู้; D) ตำหนิทีม</t>
  </si>
  <si>
    <t>การให้กำลังใจช่วยเสริมความมั่นใจและความมุ่งมั่นในทีม.</t>
  </si>
  <si>
    <t>การควบคุมวัวของคุณเริ่มมีปัญหา คุณจะทำอย่างไร?</t>
  </si>
  <si>
    <t>A) ปรับวิธีการควบคุมวัวทันที; B) ปล่อยให้วัวทำตามใจ; C) หยุดการต่อสู้; D) ขอคำแนะนำจากผู้ฝึกสอน</t>
  </si>
  <si>
    <t>A) ปรับวิธีการควบคุมวัวทันที</t>
  </si>
  <si>
    <t>การปรับวิธีการควบคุมจะช่วยให้คุณกลับมาควบคุมสถานการณ์ได้ดีขึ้น.</t>
  </si>
  <si>
    <t>คุณเห็นว่าวัวของคุณเริ่มแสดงอาการเหนื่อยล้า คุณจะทำอย่างไร?</t>
  </si>
  <si>
    <t>A) ให้เวลาวัวพักและฟื้นฟู; B) ปล่อยให้วัวทำตามอารมณ์; C) หยุดการต่อสู้; D) แจ้งผู้ดูแล</t>
  </si>
  <si>
    <t>A) ให้เวลาวัวพักและฟื้นฟู</t>
  </si>
  <si>
    <t>การให้เวลาพักช่วยให้วัวกลับมามีพลัง.</t>
  </si>
  <si>
    <t>เพื่อนร่วมทีมของคุณเริ่มไม่มีสมาธิในการต่อสู้ คุณจะทำอย่างไร?</t>
  </si>
  <si>
    <t>A) ให้กำลังใจและช่วยให้เขากลับมามีสมาธิ; B) ปล่อยให้เขาทำเอง; C) หยุดการต่อสู้; D) ตำหนิเขาดังๆ</t>
  </si>
  <si>
    <t>A) ให้กำลังใจและช่วยให้เขากลับมามีสมาธิ</t>
  </si>
  <si>
    <t>การให้กำลังใจช่วยให้ทีมกลับมาโฟกัสในเกม.</t>
  </si>
  <si>
    <t>สถานการณ์เริ่มยากขึ้นและคุณรู้สึกกังวล คุณจะทำอย่างไร?</t>
  </si>
  <si>
    <t>A) ตั้งสมาธิใหม่และทำตามแผนที่วางไว้; B) หยุดการต่อสู้; C) ขอคำแนะนำจากผู้ฝึกสอน; D) เปลี่ยนแผนการทันที</t>
  </si>
  <si>
    <t>A) ตั้งสมาธิใหม่และทำตามแผนที่วางไว้</t>
  </si>
  <si>
    <t>การตั้งสมาธิใหม่ช่วยให้คุณมั่นใจในการดำเนินการ.</t>
  </si>
  <si>
    <t>การต่อสู้เริ่มยืดเยื้อและคุณรู้สึกท้อใจ คุณจะทำอย่างไร?</t>
  </si>
  <si>
    <t>A) ให้กำลังใจตัวเองและทีม; B) หยุดการต่อสู้; C) เปลี่ยนแผนการทันที; D) ขอคำแนะนำจากผู้ฝึกสอน</t>
  </si>
  <si>
    <t>A) ให้กำลังใจตัวเองและทีม</t>
  </si>
  <si>
    <t>การให้กำลังใจช่วยเสริมความมุ่งมั่นและลดความท้อใจ.</t>
  </si>
  <si>
    <t>เพื่อนร่วมทีมทำผิดพลาดบ่อยครั้ง คุณจะทำอย่างไร?</t>
  </si>
  <si>
    <t>A) ช่วยเขาหาวิธีแก้ไขและเสริมความมั่นใจ; B) ปล่อยให้เขาทำเอง; C) หยุดการต่อสู้; D) ตำหนิเขาดังๆ</t>
  </si>
  <si>
    <t>A) ช่วยเขาหาวิธีแก้ไขและเสริมความมั่นใจ</t>
  </si>
  <si>
    <t>การช่วยเหลือเพื่อนร่วมทีมช่วยให้ทีมทำงานร่วมกันได้ดีขึ้น.</t>
  </si>
  <si>
    <t>คุณเห็นว่าคุณสามารถควบคุมสถานการณ์ได้แล้ว คุณจะทำอย่างไร?</t>
  </si>
  <si>
    <t>A) ควบคุมการต่อสู้และทำตามแผนที่วางไว้; B) หยุดการต่อสู้; C) เปลี่ยนแผนการทันที; D) ขอคำแนะนำจากผู้ฝึกสอน</t>
  </si>
  <si>
    <t>A) ควบคุมการต่อสู้และทำตามแผนที่วางไว้</t>
  </si>
  <si>
    <t>การทำตามแผนที่วางไว้ช่วยให้การควบคุมสถานการณ์เป็นไปอย่างราบรื่น.</t>
  </si>
  <si>
    <t>การควบคุมวัวเริ่มยากขึ้น คุณจะทำอย่างไร?</t>
  </si>
  <si>
    <t>A) ปรับท่าทางและการควบคุมทันที; B) ปล่อยให้วัวทำตามใจ; C) หยุดการต่อสู้; D) ขอคำแนะนำจากผู้ฝึกสอน</t>
  </si>
  <si>
    <t>A) ปรับท่าทางและการควบคุมทันที</t>
  </si>
  <si>
    <t>การปรับท่าทางจะช่วยให้คุณควบคุมวัวได้ดีขึ้น.</t>
  </si>
  <si>
    <t>ทีมของคุณเริ่มขาดความมุ่งมั่น คุณจะทำอย่างไร?</t>
  </si>
  <si>
    <t>การกระตุ้นจะช่วยเพิ่มความมุ่งมั่นและพลังในการต่อสู้.</t>
  </si>
  <si>
    <t>สถานการณ์เริ่มเครียดและคุณต้องตัดสินใจทันที คุณจะทำอย่างไร?</t>
  </si>
  <si>
    <t>A) ปรับกลยุทธ์และทำตามแผนที่วางไว้; B) หยุดการต่อสู้; C) ขอคำแนะนำจากผู้ฝึกสอน; D) เปลี่ยนแผนการทันที</t>
  </si>
  <si>
    <t>การทำตามแผนที่วางไว้ช่วยให้คุณตัดสินใจได้อย่างมั่นใจ.</t>
  </si>
  <si>
    <t>คุณรู้สึกว่าทีมของคุณไม่ได้ทำตามกลยุทธ์ที่วางไว้ คุณจะทำอย่างไร?</t>
  </si>
  <si>
    <t>A) พยายามกระตุ้นให้ทีมทำตามกลยุทธ์; B) ปล่อยให้ทีมทำเอง; C) หยุดการต่อสู้; D) ตำหนิทีม</t>
  </si>
  <si>
    <t>A) พยายามกระตุ้นให้ทีมทำตามกลยุทธ์</t>
  </si>
  <si>
    <t>การกระตุ้นให้ทีมทำตามกลยุทธ์ช่วยให้ทีมกลับมาเดินหน้าได้.</t>
  </si>
  <si>
    <t>คุณสังเกตเห็นว่าการควบคุมวัวเริ่มมีปัญหา คุณจะทำอย่างไร?</t>
  </si>
  <si>
    <t>การปรับท่าทางช่วยให้คุณควบคุมสถานการณ์ได้ดีขึ้น.</t>
  </si>
  <si>
    <t>เพื่อนร่วมทีมเริ่มเครียดและสูญเสียสมาธิ คุณจะทำอย่างไร?</t>
  </si>
  <si>
    <t>การให้กำลังใจช่วยเพิ่มสมาธิและลดความเครียดในทีม.</t>
  </si>
  <si>
    <t>ทีมของคุณเริ่มเสียสมาธิ คุณจะทำอย่างไร?</t>
  </si>
  <si>
    <t>A) กระตุ้นทีมให้กลับมาโฟกัส; B) ปล่อยให้ทีมทำตามอารมณ์; C) หยุดการต่อสู้; D) ตำหนิทีม</t>
  </si>
  <si>
    <t>A) กระตุ้นทีมให้กลับมาโฟกัส</t>
  </si>
  <si>
    <t>การกระตุ้นให้ทีมโฟกัสช่วยให้การต่อสู้เป็นไปอย่างมีประสิทธิภาพ.</t>
  </si>
  <si>
    <t>คุณรู้สึกว่าวัวของคุณไม่ค่อยกระตือรือร้น คุณจะทำอย่างไร?</t>
  </si>
  <si>
    <t>A) กระตุ้นวัวให้กลับมามีพลัง; B) ปล่อยให้วัวทำตามอารมณ์; C) หยุดการต่อสู้; D) ขอคำแนะนำจากผู้ฝึกสอน</t>
  </si>
  <si>
    <t>A) กระตุ้นวัวให้กลับมามีพลัง</t>
  </si>
  <si>
    <t>การกระตุ้นวัวช่วยให้มันกลับมามีพลังในการต่อสู้.</t>
  </si>
  <si>
    <t>สถานการณ์เริ่มไม่ดีและคุณรู้สึกวิตกกังวล คุณจะทำอย่างไร?</t>
  </si>
  <si>
    <t>A) ตั้งสมาธิและกลับมาโฟกัส; B) หยุดการต่อสู้; C) ขอคำแนะนำจากผู้ฝึกสอน; D) เปลี่ยนกลยุทธ์ทันที</t>
  </si>
  <si>
    <t>A) ตั้งสมาธิและกลับมาโฟกัส</t>
  </si>
  <si>
    <t>การตั้งสมาธิจะช่วยให้คุณตัดสินใจได้ดีขึ้น.</t>
  </si>
  <si>
    <t>คุณเห็นเพื่อนร่วมทีมทำผิดพลาดบ่อยครั้ง คุณจะทำอย่างไร?</t>
  </si>
  <si>
    <t>A) ช่วยให้คำแนะนำและกระตุ้นเขา; B) ปล่อยให้เขาทำเอง; C) หยุดการต่อสู้; D) ตำหนิเขาดังๆ</t>
  </si>
  <si>
    <t>A) ช่วยให้คำแนะนำและกระตุ้นเขา</t>
  </si>
  <si>
    <t>การช่วยเหลือจะทำให้เพื่อนร่วมทีมมีความมั่นใจมากขึ้น.</t>
  </si>
  <si>
    <t>การควบคุมวัวของคุณไม่ดีเท่าที่ควร คุณจะทำอย่างไร?</t>
  </si>
  <si>
    <t>A) ปรับท่าทางและเทคนิคการควบคุม; B) ปล่อยให้วัวทำตามอารมณ์; C) หยุดการต่อสู้; D) ขอคำแนะนำจากผู้ฝึกสอน</t>
  </si>
  <si>
    <t>A) ปรับท่าทางและเทคนิคการควบคุม</t>
  </si>
  <si>
    <t>การปรับท่าทางช่วยให้คุณควบคุมวัวได้ดีขึ้น.</t>
  </si>
  <si>
    <t>เพื่อนร่วมทีมของคุณแสดงอาการเครียด คุณจะทำอย่างไร?</t>
  </si>
  <si>
    <t>A) ให้กำลังใจและช่วยเขาผ่อนคลาย; B) ปล่อยให้เขาทำเอง; C) หยุดการต่อสู้; D) ตำหนิเขาดังๆ</t>
  </si>
  <si>
    <t>A) ให้กำลังใจและช่วยเขาผ่อนคลาย</t>
  </si>
  <si>
    <t>การให้กำลังใจจะช่วยลดความเครียดของเพื่อนร่วมทีม.</t>
  </si>
  <si>
    <t>สถานการณ์ในสนามเริ่มทวีความตึงเครียด คุณจะทำอย่างไร?</t>
  </si>
  <si>
    <t>A) ตั้งสมาธิและทำตามแผนที่วางไว้; B) หยุดการต่อสู้; C) เปลี่ยนกลยุทธ์ทันที; D) ขอคำแนะนำจากผู้ฝึกสอน</t>
  </si>
  <si>
    <t>A) ตั้งสมาธิและทำตามแผนที่วางไว้</t>
  </si>
  <si>
    <t>การตั้งสมาธิช่วยให้คุณตัดสินใจได้แม่นยำขึ้น.</t>
  </si>
  <si>
    <t>คุณรู้สึกว่าคุณสามารถควบคุมวัวได้ดีขึ้นแล้ว คุณจะทำอย่างไร?</t>
  </si>
  <si>
    <t>A) เพิ่มความมั่นใจและทำตามแผนที่วางไว้; B) หยุดการต่อสู้; C) ขอคำแนะนำจากผู้ฝึกสอน; D) เปลี่ยนแผนการทันที</t>
  </si>
  <si>
    <t>A) เพิ่มความมั่นใจและทำตามแผนที่วางไว้</t>
  </si>
  <si>
    <t>การทำตามแผนที่วางไว้จะช่วยให้คุณสามารถควบคุมสถานการณ์ได้ดี.</t>
  </si>
  <si>
    <t>A) กระตุ้นทีมและเสริมพลังให้กับพวกเขา; B) ปล่อยให้ทีมทำตามอารมณ์; C) หยุดการต่อสู้; D) ตำหนิทีม</t>
  </si>
  <si>
    <t>A) กระตุ้นทีมและเสริมพลังให้กับพวกเขา</t>
  </si>
  <si>
    <t>การกระตุ้นจะช่วยเพิ่มพลังและความมุ่งมั่นในการต่อสู้.</t>
  </si>
  <si>
    <t>การต่อสู้เริ่มหนักขึ้นและคุณรู้สึกเหนื่อยล้า คุณจะทำอย่างไร?</t>
  </si>
  <si>
    <t>A) ขอให้เพื่อนร่วมทีมสลับเวลา; B) หยุดการต่อสู้; C) ปรับกลยุทธ์ทันที; D) ขอคำแนะนำจากผู้ฝึกสอน</t>
  </si>
  <si>
    <t>A) ขอให้เพื่อนร่วมทีมสลับเวลา</t>
  </si>
  <si>
    <t>การให้ทีมช่วยสลับเวลาจะช่วยให้คุณลดความเหนื่อยล้า.</t>
  </si>
  <si>
    <t>สถานการณ์เริ่มตึงเครียด คุณจะทำอย่างไร?</t>
  </si>
  <si>
    <t>A) ควบคุมตัวเองและตั้งสมาธิ; B) หยุดการต่อสู้; C) เปลี่ยนแผนการทันที; D) ขอคำแนะนำจากผู้ฝึกสอน</t>
  </si>
  <si>
    <t>A) ควบคุมตัวเองและตั้งสมาธิ</t>
  </si>
  <si>
    <t>การตั้งสมาธิช่วยให้คุณรับมือกับสถานการณ์ได้ดีขึ้น.</t>
  </si>
  <si>
    <t>คุณสังเกตเห็นว่าทีมของคุณเริ่มเสียสมาธิ คุณจะทำอย่างไร?</t>
  </si>
  <si>
    <t>A) กระตุ้นทีมและให้กำลังใจ; B) ปล่อยให้ทีมทำตามอารมณ์; C) หยุดการต่อสู้; D) ตำหนิทีม</t>
  </si>
  <si>
    <t>A) กระตุ้นทีมและให้กำลังใจ</t>
  </si>
  <si>
    <t>การกระตุ้นทีมช่วยให้พวกเขากลับมาโฟกัสได้.</t>
  </si>
  <si>
    <t>คุณรู้สึกว่าไม่สามารถควบคุมวัวได้ดี คุณจะทำอย่างไร?</t>
  </si>
  <si>
    <t>A) ปรับท่าทางและเทคนิคการควบคุมทันที; B) ปล่อยให้วัวทำตามอารมณ์; C) หยุดการต่อสู้; D) ขอคำแนะนำจากผู้ฝึกสอน</t>
  </si>
  <si>
    <t>A) ปรับท่าทางและเทคนิคการควบคุมทันที</t>
  </si>
  <si>
    <t>การปรับท่าทางช่วยให้คุณควบคุมวัวได้ดียิ่งขึ้น.</t>
  </si>
  <si>
    <t>ทีมของคุณเริ่มไม่มีสมาธิในการต่อสู้ คุณจะทำอย่างไร?</t>
  </si>
  <si>
    <t>A) กระตุ้นและให้กำลังใจทีม; B) ปล่อยให้ทีมทำตามอารมณ์; C) หยุดการต่อสู้; D) ตำหนิทีม</t>
  </si>
  <si>
    <t>A) กระตุ้นและให้กำลังใจทีม</t>
  </si>
  <si>
    <t>การให้กำลังใจช่วยเพิ่มสมาธิและความมุ่งมั่นในทีม.</t>
  </si>
  <si>
    <t>คุณรู้สึกว่าการควบคุมวัวเริ่มยากขึ้น คุณจะทำอย่างไร?</t>
  </si>
  <si>
    <t>A) ปรับท่าทางและการควบคุม; B) ปล่อยให้วัวทำตามอารมณ์; C) หยุดการต่อสู้; D) ขอคำแนะนำจากผู้ฝึกสอน</t>
  </si>
  <si>
    <t>A) ปรับท่าทางและการควบคุม</t>
  </si>
  <si>
    <t>การปรับท่าทางจะช่วยให้คุณควบคุมสถานการณ์ได้ดีขึ้น.</t>
  </si>
  <si>
    <t>เพื่อนร่วมทีมเริ่มแสดงอาการเครียด คุณจะทำอย่างไร?</t>
  </si>
  <si>
    <t>A) ให้กำลังใจและช่วยให้เขาผ่อนคลาย; B) ปล่อยให้เขาทำเอง; C) หยุดการต่อสู้; D) ตำหนิเขาดังๆ</t>
  </si>
  <si>
    <t>A) ให้กำลังใจและช่วยให้เขาผ่อนคลาย</t>
  </si>
  <si>
    <t>คุณรู้สึกว่าทีมของคุณเริ่มขาดความมั่นใจ คุณจะทำอย่างไร?</t>
  </si>
  <si>
    <t>A) ให้กำลังใจและเสริมความมั่นใจให้ทีม; B) ปล่อยให้ทีมทำตามอารมณ์; C) หยุดการต่อสู้; D) ตำหนิทีม</t>
  </si>
  <si>
    <t>A) ให้กำลังใจและเสริมความมั่นใจให้ทีม</t>
  </si>
  <si>
    <t>การให้กำลังใจช่วยให้ทีมมีความมั่นใจมากขึ้น.</t>
  </si>
  <si>
    <t>คุณรู้สึกว่าเกมกำลังจะไปในทิศทางที่ไม่ดี คุณจะทำอย่างไร?</t>
  </si>
  <si>
    <t>A) ปรับกลยุทธ์ทันที; B) หยุดการต่อสู้; C) เปลี่ยนแผนการทันที; D) ขอคำแนะนำจากผู้ฝึกสอน</t>
  </si>
  <si>
    <t>การปรับกลยุทธ์ช่วยให้คุณแก้ไขสถานการณ์ได้เร็วขึ้น.</t>
  </si>
  <si>
    <t>A) ปรับวิธีการควบคุมและเทคนิคการควบคุม; B) ปล่อยให้วัวทำตามอารมณ์; C) หยุดการต่อสู้; D) ขอคำแนะนำจากผู้ฝึกสอน</t>
  </si>
  <si>
    <t>A) ปรับวิธีการควบคุมและเทคนิคการควบคุม</t>
  </si>
  <si>
    <t>การปรับวิธีการควบคุมช่วยให้คุณได้เปรียบในการต่อสู้.</t>
  </si>
  <si>
    <t>สถานการณ์เริ่มยากขึ้นและคุณรู้สึกวิตกกังวล คุณจะทำอย่างไร?</t>
  </si>
  <si>
    <t>A) ตั้งสมาธิและจัดการความเครียด; B) หยุดการต่อสู้; C) เปลี่ยนแผนการทันที; D) ขอคำแนะนำจากผู้ฝึกสอน</t>
  </si>
  <si>
    <t>A) ตั้งสมาธิและจัดการความเครียด</t>
  </si>
  <si>
    <t>การจัดการความเครียดช่วยให้คุณคิดอย่างมีประสิทธิภาพในสถานการณ์ที่ยาก.</t>
  </si>
  <si>
    <t>คุณรู้สึกว่าวัวของคุณเริ่มสูญเสียความมั่นใจ คุณจะทำอย่างไร?</t>
  </si>
  <si>
    <t>A) กระตุ้นและเสริมความมั่นใจให้กับวัว; B) ปล่อยให้วัวทำตามอารมณ์; C) หยุดการต่อสู้; D) ขอคำแนะนำจากผู้ฝึกสอน</t>
  </si>
  <si>
    <t>A) กระตุ้นและเสริมความมั่นใจให้กับวัว</t>
  </si>
  <si>
    <t>การเสริมความมั่นใจให้วัวจะช่วยเพิ่มประสิทธิภาพในการต่อสู้.</t>
  </si>
  <si>
    <t>สถานการณ์เริ่มตึงเครียดและคุณรู้สึกเหนื่อยล้า คุณจะทำอย่างไร?</t>
  </si>
  <si>
    <t>A) ขอให้เพื่อนร่วมทีมสลับเวลา; B) หยุดการต่อสู้; C) ขอคำแนะนำจากผู้ฝึกสอน; D) ปรับกลยุทธ์ทันที</t>
  </si>
  <si>
    <t>การสลับเวลาจะช่วยลดความเหนื่อยล้าและให้พลังงานใหม่.</t>
  </si>
  <si>
    <t>คุณเห็นเพื่อนร่วมทีมกำลังเผชิญกับปัญหา คุณจะทำอย่างไร?</t>
  </si>
  <si>
    <t>A) ให้กำลังใจและเสนอคำแนะนำ; B) ปล่อยให้เขาทำเอง; C) หยุดการต่อสู้; D) ตำหนิเขาดังๆ</t>
  </si>
  <si>
    <t>A) ให้กำลังใจและเสนอคำแนะนำ</t>
  </si>
  <si>
    <t>การให้กำลังใจจะช่วยเพิ่มความมั่นใจและความเข้มแข็ง.</t>
  </si>
  <si>
    <t>คุณเห็นว่าวัวของคุณเริ่มมีอาการบาดเจ็บ คุณจะทำอย่างไร?</t>
  </si>
  <si>
    <t>A) หยุดการต่อสู้และดูแลวัว; B) ปล่อยให้วัวทำตามอารมณ์; C) ขอคำแนะนำจากผู้ฝึกสอน; D) พยายามทำต่อไป</t>
  </si>
  <si>
    <t>A) หยุดการต่อสู้และดูแลวัว</t>
  </si>
  <si>
    <t>การดูแลวัวช่วยหลีกเลี่ยงการบาดเจ็บที่รุนแรง.</t>
  </si>
  <si>
    <t>ทีมของคุณเริ่มแสดงอาการเครียด คุณจะทำอย่างไร?</t>
  </si>
  <si>
    <t>การให้กำลังใจจะช่วยลดความเครียดและเพิ่มสมาธิ.</t>
  </si>
  <si>
    <t>การต่อสู้เริ่มยากขึ้นและคุณรู้สึกวิตกกังวล คุณจะทำอย่างไร?</t>
  </si>
  <si>
    <t>สถานการณ์เริ่มไม่ดีขึ้น คุณจะทำอย่างไร?</t>
  </si>
  <si>
    <t>A) ปรับกลยุทธ์และเทคนิคการควบคุม; B) หยุดการต่อสู้; C) เปลี่ยนแผนการทันที; D) ขอคำแนะนำจากผู้ฝึกสอน</t>
  </si>
  <si>
    <t>A) ปรับกลยุทธ์และเทคนิคการควบคุม</t>
  </si>
  <si>
    <t>การปรับกลยุทธ์ช่วยให้คุณสามารถปรับตัวและรับมือกับสถานการณ์ได้.</t>
  </si>
  <si>
    <t>คุณรู้สึกว่าเพื่อนร่วมทีมเริ่มไม่มีสมาธิ คุณจะทำอย่างไร?</t>
  </si>
  <si>
    <t>A) ให้กำลังใจและกระตุ้นทีม; B) ปล่อยให้เขาทำตามอารมณ์; C) หยุดการต่อสู้; D) ตำหนิเขาดังๆ</t>
  </si>
  <si>
    <t>A) ให้กำลังใจและกระตุ้นทีม</t>
  </si>
  <si>
    <t>การให้กำลังใจและกระตุ้นจะช่วยเพิ่มสมาธิและพลังในทีม.</t>
  </si>
  <si>
    <t>คุณเห็นว่าวัวของคุณเริ่มมีอาการเหนื่อยล้า คุณจะทำอย่างไร?</t>
  </si>
  <si>
    <t>A) ปรับท่าทางและการควบคุมทันที; B) ปล่อยให้วัวทำตามอารมณ์; C) หยุดการต่อสู้; D) ขอคำแนะนำจากผู้ฝึกสอน</t>
  </si>
  <si>
    <t>การกระตุ้นจะช่วยเพิ่มพลังและความมุ่งมั่นในทีม.</t>
  </si>
  <si>
    <t>คุณรู้สึกว่าวัวของคุณเริ่มกระสับกระส่าย คุณจะทำอย่างไร?</t>
  </si>
  <si>
    <t>การปรับท่าทางจะช่วยให้วัวมีสมาธิและพร้อมในการต่อสู้.</t>
  </si>
  <si>
    <t>คุณเห็นเพื่อนร่วมทีมเริ่มเครียดและสูญเสียสมาธิ คุณจะทำอย่างไร?</t>
  </si>
  <si>
    <t>สถานการณ์เริ่มตึงเครียดและคุณรู้สึกไม่แน่ใจ คุณจะทำอย่างไร?</t>
  </si>
  <si>
    <t>A) ตั้งสมาธิและทำตามแผนที่วางไว้; B) หยุดการต่อสู้; C) เปลี่ยนแผนการทันที; D) ขอคำแนะนำจากผู้ฝึกสอน</t>
  </si>
  <si>
    <t>การทำตามแผนที่วางไว้จะช่วยให้คุณมั่นใจและสามารถรับมือกับสถานการณ์ได้ดีขึ้น.</t>
  </si>
  <si>
    <t>คุณเห็นว่าเพื่อนร่วมทีมของคุณทำผิดพลาด คุณจะทำอย่างไร?</t>
  </si>
  <si>
    <t>A) ช่วยเขาและให้คำแนะนำ; B) ปล่อยให้เขาทำเอง; C) หยุดการต่อสู้; D) ตำหนิเขาดังๆ</t>
  </si>
  <si>
    <t>A) ช่วยเขาและให้คำแนะนำ</t>
  </si>
  <si>
    <t>การช่วยเหลือเพื่อนร่วมทีมจะทำให้พวกเขามีความมั่นใจและกลับมาทำได้ดี.</t>
  </si>
  <si>
    <t>สถานการณ์เริ่มแย่ลงและคุณเริ่มวิตกกังวล คุณจะทำอย่างไร?</t>
  </si>
  <si>
    <t>A) ตั้งสมาธิและมองหาทางออก; B) หยุดการต่อสู้; C) เปลี่ยนแผนการทันที; D) ขอคำแนะนำจากผู้ฝึกสอน</t>
  </si>
  <si>
    <t>A) ตั้งสมาธิและมองหาทางออก</t>
  </si>
  <si>
    <t>การตั้งสมาธิจะช่วยให้คุณมองเห็นทางออกและแก้ไขปัญหาได้ดี.</t>
  </si>
  <si>
    <t>ทีมของคุณเริ่มขาดการประสานงาน คุณจะทำอย่างไร?</t>
  </si>
  <si>
    <t>A) กระตุ้นทีมและช่วยประสานงาน; B) ปล่อยให้ทีมทำตามอารมณ์; C) หยุดการต่อสู้; D) ตำหนิทีม</t>
  </si>
  <si>
    <t>A) กระตุ้นทีมและช่วยประสานงาน</t>
  </si>
  <si>
    <t>การประสานงานจะช่วยให้ทีมทำงานได้อย่างมีประสิทธิภาพ.</t>
  </si>
  <si>
    <t>คุณรู้สึกว่าการควบคุมวัวของคุณเริ่มยากขึ้น คุณจะทำอย่างไร?</t>
  </si>
  <si>
    <t>เพื่อนร่วมทีมเริ่มแสดงความกังวลเกี่ยวกับสถานการณ์ คุณจะทำอย่างไร?</t>
  </si>
  <si>
    <t>การให้กำลังใจจะช่วยลดความกังวลและเพิ่มพลังในทีม.</t>
  </si>
  <si>
    <t>คุณรู้สึกว่าเพื่อนร่วมทีมเริ่มไม่เต็มใจในการต่อสู้ คุณจะทำอย่างไร?</t>
  </si>
  <si>
    <t>A) กระตุ้นและให้กำลังใจเขา; B) ปล่อยให้เขาทำตามอารมณ์; C) หยุดการต่อสู้; D) ตำหนิเขาดังๆ</t>
  </si>
  <si>
    <t>การกระตุ้นและให้กำลังใจจะช่วยเพิ่มความมุ่งมั่นในทีม.</t>
  </si>
  <si>
    <t>คุณรู้สึกว่าความเร็วของวัวของคุณลดลงในระหว่างการต่อสู้ คุณจะทำอย่างไร?</t>
  </si>
  <si>
    <t>A) กระตุ้นและเพิ่มความเร็วของวัว; B) ปล่อยให้วัวทำตามอารมณ์; C) หยุดการต่อสู้; D) ขอคำแนะนำจากผู้ฝึกสอน</t>
  </si>
  <si>
    <t>A) กระตุ้นและเพิ่มความเร็วของวัว</t>
  </si>
  <si>
    <t>การกระตุ้นจะช่วยเพิ่มพลังและความเร็วในการต่อสู้.</t>
  </si>
  <si>
    <t>สถานการณ์เริ่มไม่เป็นไปตามแผน คุณจะทำอย่างไร?</t>
  </si>
  <si>
    <t>A) ปรับกลยุทธ์และหาทางออก; B) หยุดการต่อสู้; C) เปลี่ยนแผนการทันที; D) ขอคำแนะนำจากผู้ฝึกสอน</t>
  </si>
  <si>
    <t>A) ปรับกลยุทธ์และหาทางออก</t>
  </si>
  <si>
    <t>การปรับกลยุทธ์ช่วยให้คุณสามารถรับมือกับสถานการณ์ที่ไม่คาดคิดได้.</t>
  </si>
  <si>
    <t>คุณเห็นว่าวัวของคุณเริ่มไม่เชื่อฟังคุณ คุณจะทำอย่างไร?</t>
  </si>
  <si>
    <t>คุณรู้สึกว่าเพื่อนร่วมทีมเริ่มสูญเสียแรงจูงใจ คุณจะทำอย่างไร?</t>
  </si>
  <si>
    <t>การให้กำลังใจจะช่วยเพิ่มพลังให้ทีมและกลับมามีสมาธิ.</t>
  </si>
  <si>
    <t>ทีมของคุณเริ่มขาดการติดต่อสื่อสาร คุณจะทำอย่างไร?</t>
  </si>
  <si>
    <t>A) กระตุ้นทีมให้สื่อสารกันมากขึ้น; B) ปล่อยให้ทีมทำตามอารมณ์; C) หยุดการต่อสู้; D) ตำหนิทีม</t>
  </si>
  <si>
    <t>A) กระตุ้นทีมให้สื่อสารกันมากขึ้น</t>
  </si>
  <si>
    <t>การสื่อสารที่ดีช่วยให้ทีมประสานงานได้ดีขึ้น.</t>
  </si>
  <si>
    <t>คุณเห็นเพื่อนร่วมทีมเริ่มมีอาการวิตกกังวล คุณจะทำอย่างไร?</t>
  </si>
  <si>
    <t>การช่วยให้เพื่อนร่วมทีมผ่อนคลายจะช่วยลดความวิตกกังวล.</t>
  </si>
  <si>
    <t>การปรับท่าทางจะช่วยให้คุณควบคุมวัวได้ดียิ่งขึ้น.</t>
  </si>
  <si>
    <t>สถานการณ์เริ่มลำบากและคุณรู้สึกวิตกกังวล คุณจะทำอย่างไร?</t>
  </si>
  <si>
    <t>A) ตั้งสมาธิและหาทางออก; B) หยุดการต่อสู้; C) เปลี่ยนแผนการทันที; D) ขอคำแนะนำจากผู้ฝึกสอน</t>
  </si>
  <si>
    <t>A) ตั้งสมาธิและหาทางออก</t>
  </si>
  <si>
    <t>การตั้งสมาธิช่วยให้คุณสามารถคิดหาทางออกได้.</t>
  </si>
  <si>
    <t>คุณเห็นว่าเพื่อนร่วมทีมเริ่มเครียดจากความกดดัน คุณจะทำอย่างไร?</t>
  </si>
  <si>
    <t>การให้กำลังใจจะช่วยลดความเครียดและเพิ่มความมั่นใจ.</t>
  </si>
  <si>
    <t>สถานการณ์เริ่มยากขึ้นและคุณเริ่มรู้สึกเหนื่อย คุณจะทำอย่างไร?</t>
  </si>
  <si>
    <t>การสลับเวลาจะช่วยลดความเหนื่อยล้าและเพิ่มพลัง.</t>
  </si>
  <si>
    <t>คุณรู้สึกว่าวัวของคุณเริ่มเหนื่อยล้า คุณจะทำอย่างไร?</t>
  </si>
  <si>
    <t>A) กระตุ้นและให้กำลังใจวัว; B) ปล่อยให้วัวทำตามอารมณ์; C) หยุดการต่อสู้; D) ขอคำแนะนำจากผู้ฝึกสอน</t>
  </si>
  <si>
    <t>A) กระตุ้นและให้กำลังใจวัว</t>
  </si>
  <si>
    <t>การกระตุ้นจะช่วยให้วัวมีพลังในการต่อสู้ต่อไป.</t>
  </si>
  <si>
    <t>เพื่อนร่วมทีมของคุณเริ่มขาดสมาธิ คุณจะทำอย่างไร?</t>
  </si>
  <si>
    <t>A) ให้กำลังใจและช่วยให้เขามีสมาธิ; B) ปล่อยให้เขาทำตามอารมณ์; C) หยุดการต่อสู้; D) ตำหนิเขาดังๆ</t>
  </si>
  <si>
    <t>A) ให้กำลังใจและช่วยให้เขามีสมาธิ</t>
  </si>
  <si>
    <t>การให้กำลังใจจะช่วยเพิ่มสมาธิให้กับเพื่อนร่วมทีม.</t>
  </si>
  <si>
    <t>สถานการณ์เริ่มตึงเครียดและคุณเริ่มรู้สึกกังวล คุณจะทำอย่างไร?</t>
  </si>
  <si>
    <t>การตั้งสมาธิจะช่วยให้คุณสามารถดำเนินการได้ตามแผน.</t>
  </si>
  <si>
    <t>คุณเห็นเพื่อนร่วมทีมกำลังเผชิญกับความยากลำบาก คุณจะทำอย่างไร?</t>
  </si>
  <si>
    <t>A) ให้กำลังใจและช่วยให้เขาแก้ปัญหา; B) ปล่อยให้เขาทำเอง; C) หยุดการต่อสู้; D) ตำหนิเขาดังๆ</t>
  </si>
  <si>
    <t>A) ให้กำลังใจและช่วยให้เขาแก้ปัญหา</t>
  </si>
  <si>
    <t>การช่วยเหลือเพื่อนร่วมทีมจะช่วยให้พวกเขาแก้ไขสถานการณ์ได้.</t>
  </si>
  <si>
    <t>คุณรู้สึกว่าความเร็วในการเคลื่อนไหวของวัวลดลง คุณจะทำอย่างไร?</t>
  </si>
  <si>
    <t>A) กระตุ้นวัวให้เคลื่อนไหวเร็วขึ้น; B) ปล่อยให้วัวทำตามอารมณ์; C) หยุดการต่อสู้; D) ขอคำแนะนำจากผู้ฝึกสอน</t>
  </si>
  <si>
    <t>A) กระตุ้นวัวให้เคลื่อนไหวเร็วขึ้น</t>
  </si>
  <si>
    <t>การกระตุ้นจะช่วยเพิ่มความเร็วในการเคลื่อนไหว.</t>
  </si>
  <si>
    <t>สถานการณ์เริ่มแย่ลงและคุณเริ่มรู้สึกเครียด คุณจะทำอย่างไร?</t>
  </si>
  <si>
    <t>การตั้งสมาธิจะช่วยให้คุณคิดอย่างมีประสิทธิภาพ.</t>
  </si>
  <si>
    <t>คุณเห็นเพื่อนร่วมทีมเริ่มทำผิดพลาดในการต่อสู้ คุณจะทำอย่างไร?</t>
  </si>
  <si>
    <t>A) ให้กำลังใจและช่วยเขา; B) ปล่อยให้เขาทำเอง; C) หยุดการต่อสู้; D) ตำหนิเขาดังๆ</t>
  </si>
  <si>
    <t>A) ให้กำลังใจและช่วยเขา</t>
  </si>
  <si>
    <t>การให้กำลังใจจะช่วยเพิ่มความมั่นใจให้กับเพื่อนร่วมทีม.</t>
  </si>
  <si>
    <t>คุณรู้สึกว่าเพื่อนร่วมทีมของคุณเริ่มท้อแท้ คุณจะทำอย่างไร?</t>
  </si>
  <si>
    <t>การกระตุ้นและให้กำลังใจจะช่วยเพิ่มพลังให้กับทีม.</t>
  </si>
  <si>
    <t>สถานการณ์เริ่มยากขึ้นและคุณรู้สึกเหนื่อยล้า คุณจะทำอย่างไร?</t>
  </si>
  <si>
    <t>การสลับเวลาให้กับเพื่อนร่วมทีมจะช่วยลดความเหนื่อยล้า.</t>
  </si>
  <si>
    <t>A) หยุดการต่อสู้และดูแลวัว; B) ปล่อยให้วัวทำตามอารมณ์; C) ขอคำแนะนำจากผู้ฝึกสอน; D) ดำเนินการต่อไปตามปกติ</t>
  </si>
  <si>
    <t>การดูแลวัวอย่างถูกวิธีจะช่วยป้องกันอาการบาดเจ็บรุนแรง.</t>
  </si>
  <si>
    <t>Annotated</t>
  </si>
  <si>
    <t>Label</t>
  </si>
  <si>
    <t>Question-R</t>
  </si>
  <si>
    <t>A</t>
  </si>
  <si>
    <t>A-R</t>
  </si>
  <si>
    <t>B</t>
  </si>
  <si>
    <t>B-R</t>
  </si>
  <si>
    <t>C</t>
  </si>
  <si>
    <t>C-R</t>
  </si>
  <si>
    <t>D</t>
  </si>
  <si>
    <t>D-R</t>
  </si>
  <si>
    <t>Answer</t>
  </si>
  <si>
    <t>Answer-R</t>
  </si>
  <si>
    <t>นาย A เดิมพัน 100,000 บาทสำหรับ Bull A และนาย B เดิมพัน 20,000 บาทสำหรับ Bull B กระทิง A ชนะ</t>
  </si>
  <si>
    <t>บุคคล ก</t>
  </si>
  <si>
    <t>บุคคล B</t>
  </si>
  <si>
    <t>ทั้งคู่</t>
  </si>
  <si>
    <t>ไม่มี</t>
  </si>
  <si>
    <t>บูล A และ บูล B กำลังต่อสู้กัน เจ้าของกระทิงเอ โยนผ้าขาวขึ้นเวที จะเกิดอะไรขึ้นต่อไป?</t>
  </si>
  <si>
    <t>การต่อสู้หยุดลงและ Bull A ชนะ</t>
  </si>
  <si>
    <t>การต่อสู้หยุดลงและ Bull B ชนะ</t>
  </si>
  <si>
    <t>การต่อสู้หยุดชั่วคราวเพื่อพักผ่อน</t>
  </si>
  <si>
    <t>ไม่มีข้อใดข้อหนึ่งข้างต้น</t>
  </si>
  <si>
    <t>ถ้าวัวถอยไม่กลับมาก่อนที่กะลาจะจม</t>
  </si>
  <si>
    <t>การแข่งขันจะถูกจับสลาก</t>
  </si>
  <si>
    <t>วัวชนะ</t>
  </si>
  <si>
    <t>วัวแพ้</t>
  </si>
  <si>
    <t>การต่อสู้ดำเนินต่อไปอย่างไม่มีกำหนด</t>
  </si>
  <si>
    <t>จะเกิดอะไรขึ้นถ้าวัวทั้งสองล้มและลุกขึ้นไม่ได้?</t>
  </si>
  <si>
    <t>การแข่งขันดำเนินต่อไป</t>
  </si>
  <si>
    <t>วัวตัวสุดท้ายที่ล้มชนะ</t>
  </si>
  <si>
    <t>วัวตัวแรกที่ลุกขึ้นเป็นผู้ชนะ</t>
  </si>
  <si>
    <t>ในระหว่างการเตรียมตัวก่อนการต่อสู้</t>
  </si>
  <si>
    <t>ทำไมกล้วยสุกถึงถูกทาที่หน้าวัว?</t>
  </si>
  <si>
    <t>เพื่อเลี้ยงวัว</t>
  </si>
  <si>
    <t>เพื่อทำให้มันก้าวร้าว</t>
  </si>
  <si>
    <t>เพื่อปกปิดกลิ่นและลดแรงเสียดทาน</t>
  </si>
  <si>
    <t>หากเจ้าของวัวไม่สามารถทำตามจำนวนเงินเดิมพันได้</t>
  </si>
  <si>
    <t>ผู้จัดการสนามประลองทำอะไรได้บ้าง?</t>
  </si>
  <si>
    <t>บังคับให้เจ้าของถอนตัว</t>
  </si>
  <si>
    <t>อุดหนุนค่าขนส่งหรือหาผู้สนับสนุน</t>
  </si>
  <si>
    <t>ลดจำนวนเงินเดิมพัน</t>
  </si>
  <si>
    <t>เหตุใดผู้ฝึกสอนจึงหลีกเลี่ยงการให้พระภิกษุอยู่ใกล้วัวของตน?</t>
  </si>
  <si>
    <t>พวกเขาเชื่อว่ามันจะอวยพรวัวด้วยความเมตตาและทำให้วัวอ่อนแอลง</t>
  </si>
  <si>
    <t>พระสงฆ์นำโชคร้ายมาให้</t>
  </si>
  <si>
    <t>พระสงฆ์หันเหความสนใจของวัว</t>
  </si>
  <si>
    <t>ครูฝึกไม่ชอบการปฏิบัติทางศาสนา</t>
  </si>
  <si>
    <t>โดยทั่วไปวัวจะได้รับอาหารเสริมผสมกับไขมันเมื่อใด</t>
  </si>
  <si>
    <t>6:00 น</t>
  </si>
  <si>
    <t>12:00 น</t>
  </si>
  <si>
    <t>20:00 น</t>
  </si>
  <si>
    <t>22:00 น</t>
  </si>
  <si>
    <t>อะไรเป็นสัญญาณการเริ่มต้นของการสู้วัวกระทิง?</t>
  </si>
  <si>
    <t>เสียงนกหวีดจากผู้ตัดสิน</t>
  </si>
  <si>
    <t>เสียงตะโกนของเจ้าของ</t>
  </si>
  <si>
    <t>สัญญาณกลองที่สาม</t>
  </si>
  <si>
    <t>การเป่าสังข์</t>
  </si>
  <si>
    <t>ถ้าวัวล้มแล้วลุกไม่ได้</t>
  </si>
  <si>
    <t>เกิดอะไรขึ้น?</t>
  </si>
  <si>
    <t>การต่อสู้หยุดลง</t>
  </si>
  <si>
    <t>วัวได้รับน้ำและได้รับอนุญาตให้ดำเนินการต่อ</t>
  </si>
  <si>
    <t>ทำไมผู้ฝึกสอนจึงขัดเขาวัวด้วยน้ำผึ้งและน้ำยางว่านหางจระเข้?</t>
  </si>
  <si>
    <t>เพื่อทำความสะอาดพวกเขา</t>
  </si>
  <si>
    <t>เพื่อให้มันเงางาม</t>
  </si>
  <si>
    <t>เพื่อให้มีลักษณะเป็นสีดำมันและลับให้คมขึ้น</t>
  </si>
  <si>
    <t>เพื่อให้เขานุ่มขึ้น</t>
  </si>
  <si>
    <t>ผู้สนับสนุนจะช่วยได้อย่างไรหากเจ้าของไม่มีเงินเดิมพัน?</t>
  </si>
  <si>
    <t>พวกเขาปฏิเสธที่จะช่วยเหลือ</t>
  </si>
  <si>
    <t>พวกเขาให้การสนับสนุนด้านศีลธรรมเท่านั้น</t>
  </si>
  <si>
    <t>พวกเขารวบรวมทรัพยากรเพื่อครอบคลุมการเดิมพัน</t>
  </si>
  <si>
    <t>พวกเขาเดิมพันวัวตัวอื่น</t>
  </si>
  <si>
    <t>การอาบแดดช่วยอะไรกับวัวในระหว่างการฝึกซ้อม?</t>
  </si>
  <si>
    <t>เพิ่มความก้าวร้าว</t>
  </si>
  <si>
    <t>สร้างกล้ามเนื้อ</t>
  </si>
  <si>
    <t>ช่วยเพิ่มความอดทน</t>
  </si>
  <si>
    <t>ทำให้พวกเขาง่วงนอน</t>
  </si>
  <si>
    <t>จะเกิดอะไรขึ้นเมื่อวัวที่ถูกเขาแทงด้วยเลือดปลาไหลหมดความปรารถนาที่จะต่อสู้?</t>
  </si>
  <si>
    <t>มันได้รับความแข็งแกร่ง</t>
  </si>
  <si>
    <t>มันก้าวร้าวมากขึ้น</t>
  </si>
  <si>
    <t>มันสูญเสียความปรารถนาที่จะต่อสู้</t>
  </si>
  <si>
    <t>มันชนะอย่างง่ายดาย</t>
  </si>
  <si>
    <t>ทำไมบางครั้งเจ้าของร้านถึงเช่าแผงลอยใกล้สนามกีฬา?</t>
  </si>
  <si>
    <t>เพื่อการมองเห็นที่ดีขึ้น</t>
  </si>
  <si>
    <t>เพื่อหลีกเลี่ยงการเสียค่าธรรมเนียม</t>
  </si>
  <si>
    <t>วัวของพวกเขาจึงคุ้นเคยกับสนามประลอง</t>
  </si>
  <si>
    <t>สำหรับตกแต่ง</t>
  </si>
  <si>
    <t>หากวัวหลุดออกจากเวทีระหว่างการต่อสู้</t>
  </si>
  <si>
    <t>ผลลัพธ์คืออะไร?</t>
  </si>
  <si>
    <t>วัวชนะโดยอัตโนมัติ</t>
  </si>
  <si>
    <t>การแข่งขันถือเป็นโมฆะ</t>
  </si>
  <si>
    <t>วัวฝ่ายตรงข้ามชนะ</t>
  </si>
  <si>
    <t>ผู้ฝึกสอนใช้อะไรกับขาวัวเพื่อป้องกันการบาดเจ็บ</t>
  </si>
  <si>
    <t>น้ำมัน</t>
  </si>
  <si>
    <t>แปะสมุนไพร</t>
  </si>
  <si>
    <t>ผ้าพันแผล</t>
  </si>
  <si>
    <t>โคลน</t>
  </si>
  <si>
    <t>ทำไมหางวัวจึงมักผูกก่อนการแข่งขัน?</t>
  </si>
  <si>
    <t>เพื่อให้ดูเรียบร้อย</t>
  </si>
  <si>
    <t>เพื่อป้องกันการเสียสมาธิระหว่างการต่อสู้</t>
  </si>
  <si>
    <t>เพื่อแสดงความเป็นเจ้าของ</t>
  </si>
  <si>
    <t>หากวัวทั้งสองมีความแข็งแกร่งเท่ากันและไม่มีการถอยกลับ</t>
  </si>
  <si>
    <t>เจ้าของเป็นผู้ตัดสินผู้ชนะ</t>
  </si>
  <si>
    <t>กรรมการประกาศผู้ชนะ</t>
  </si>
  <si>
    <t>เจ้าของจะทราบได้อย่างไรว่าวัวของตนเหมาะสมสำหรับการต่อสู้หรือไม่?</t>
  </si>
  <si>
    <t>โดยการตรวจสอบน้ำหนักของมันเท่านั้น</t>
  </si>
  <si>
    <t>ผ่านการสังเกตระดับความก้าวร้าว</t>
  </si>
  <si>
    <t>โดยปรึกษาสัตวแพทย์</t>
  </si>
  <si>
    <t>พฤติกรรม</t>
  </si>
  <si>
    <t>นาย C เดิมพัน 50,000 บาทใน Bull A และนาย D เดิมพัน 75,000 บาทใน Bull B กระทิง B ชนะ</t>
  </si>
  <si>
    <t>บุคคล ค</t>
  </si>
  <si>
    <t>บุคคล D</t>
  </si>
  <si>
    <t>บูลเอพุ่งเข้าใส่อย่างดุดัน</t>
  </si>
  <si>
    <t>กรรมการประกาศให้บูลบีเป็นผู้ชนะ</t>
  </si>
  <si>
    <t>บูลเอ ชนะ</t>
  </si>
  <si>
    <t>การต่อสู้ดำเนินต่อไป</t>
  </si>
  <si>
    <t>การแข่งขันถูกหยุดชั่วคราว</t>
  </si>
  <si>
    <t>ถ้าบูลเอไม่ยอมชกหลังจากนาทีแรก</t>
  </si>
  <si>
    <t>การต่อสู้เริ่มต้นใหม่แล้ว</t>
  </si>
  <si>
    <t>กระทิง A และ กระทิง B ล็อคแตรโดยไม่มีการครอบงำที่ชัดเจนเป็นเวลา 30 นาที เกิดอะไรขึ้น?</t>
  </si>
  <si>
    <t>บูลบี ชนะ</t>
  </si>
  <si>
    <t>การต่อสู้ดำเนินต่อไปจนกระทั่งฝ่ายหนึ่งถอยกลับ</t>
  </si>
  <si>
    <t>กรรมการประกาศเสมอกัน</t>
  </si>
  <si>
    <t>เจ้าของกระทิงบีส่งสัญญาณยอมแพ้ยกมือทั้งสองข้าง จะเกิดอะไรขึ้นต่อไป?</t>
  </si>
  <si>
    <t>นาย A เดิมพัน 100,000 บาทใน Bull A และนาย B เดิมพัน 20,000 บาทใน Bull B ใครจะชนะถ้า Bull A ชนะการต่อสู้?</t>
  </si>
  <si>
    <t>ไม่มีใคร</t>
  </si>
  <si>
    <t>จะเกิดอะไรขึ้นถ้าเจ้าของบูลเอขว้างผ้าขาวระหว่างชก?</t>
  </si>
  <si>
    <t>การต่อสู้ถูกหยุดชั่วคราว</t>
  </si>
  <si>
    <t>ไม่มีใครชนะ</t>
  </si>
  <si>
    <t>การแข่งขันเสมอกัน</t>
  </si>
  <si>
    <t>หากวัวทั้งสองล้มแล้วลุกขึ้นไม่ได้</t>
  </si>
  <si>
    <t>กระทิงตัวแรกชนะ</t>
  </si>
  <si>
    <t>ทำไมต้องทากล้วยสุกบนใบหน้าวัวก่อนการต่อสู้?</t>
  </si>
  <si>
    <t>ลดการเสียดสีและซ่อนกลิ่น</t>
  </si>
  <si>
    <t>ป้องกันแสงแดด</t>
  </si>
  <si>
    <t>ทำให้มันก้าวร้าว</t>
  </si>
  <si>
    <t>หากเจ้าของไม่สามารถครอบคลุมการเดิมพันได้</t>
  </si>
  <si>
    <t>บังคับให้ถอนตัว</t>
  </si>
  <si>
    <t>ยกเลิกการแข่งขัน</t>
  </si>
  <si>
    <t>ค้นหาผู้สนับสนุนหรือครอบคลุมค่าใช้จ่าย</t>
  </si>
  <si>
    <t>ลดเดิมพันลง</t>
  </si>
  <si>
    <t>เหตุใดผู้ฝึกสอนจึงหลีกเลี่ยงพระภิกษุที่อยู่ใกล้โค?</t>
  </si>
  <si>
    <t>พระภิกษุหันเหความสนใจของวัว</t>
  </si>
  <si>
    <t>โชคร้าย</t>
  </si>
  <si>
    <t>พระพรทำให้วัวอ่อนแอลง</t>
  </si>
  <si>
    <t>ครูฝึกไม่ชอบพระภิกษุ</t>
  </si>
  <si>
    <t>เมื่อไหร่วัวจะได้อาหารผสมกับอ้วน?</t>
  </si>
  <si>
    <t>อะไรเป็นสัญญาณของการสู้วัวกระทิง?</t>
  </si>
  <si>
    <t>หอยสังข์เป่า</t>
  </si>
  <si>
    <t>ตีกลองครั้งที่สาม</t>
  </si>
  <si>
    <t>นกหวีดของผู้ตัดสิน</t>
  </si>
  <si>
    <t>จะเกิดอะไรขึ้นถ้าวัวล้มแล้วลุกขึ้นไม่ได้?</t>
  </si>
  <si>
    <t>การแข่งขันหยุดชั่วคราว</t>
  </si>
  <si>
    <t>วัวตัวอื่นชนะ</t>
  </si>
  <si>
    <t>เสมอกัน</t>
  </si>
  <si>
    <t>กระทิงให้น้ำ</t>
  </si>
  <si>
    <t>ทำไมต้องขัดเขาวัวด้วยน้ำผึ้งและว่านหางจระเข้?</t>
  </si>
  <si>
    <t>ให้เงางาม</t>
  </si>
  <si>
    <t>ทำให้เขานุ่มลง</t>
  </si>
  <si>
    <t>ทำความสะอาดพวกเขา</t>
  </si>
  <si>
    <t>ลับเขาให้คมขึ้นและเข้มขึ้น</t>
  </si>
  <si>
    <t>พวกเขาปฏิเสธ</t>
  </si>
  <si>
    <t>มีเพียงกำลังใจเท่านั้น</t>
  </si>
  <si>
    <t>ระดมเงินกัน</t>
  </si>
  <si>
    <t>เดิมพันวัวตัวอื่น</t>
  </si>
  <si>
    <t>ทำไมวัวถึงอาบแดดระหว่างการฝึก?</t>
  </si>
  <si>
    <t>ปรับปรุงความอดทน</t>
  </si>
  <si>
    <t>ทำให้ง่วงนอน</t>
  </si>
  <si>
    <t>หากวัวหมดความตั้งใจที่จะต่อสู้หลังจากถูกเขาแทงด้วยเลือดปลาไหล</t>
  </si>
  <si>
    <t>ได้รับความแข็งแกร่ง</t>
  </si>
  <si>
    <t>ก้าวร้าวมากขึ้น</t>
  </si>
  <si>
    <t>สูญเสียความปรารถนาที่จะต่อสู้</t>
  </si>
  <si>
    <t>ทำไมต้องเช่าแผงลอยใกล้สนามกีฬา?</t>
  </si>
  <si>
    <t>หลีกเลี่ยงค่าธรรมเนียม</t>
  </si>
  <si>
    <t>ตกแต่ง</t>
  </si>
  <si>
    <t>มุมมองที่ดีขึ้น</t>
  </si>
  <si>
    <t>มาทำความรู้จักกับวัว</t>
  </si>
  <si>
    <t>จะเกิดอะไรขึ้นถ้าวัวหนีออกจากเวทีกลางการต่อสู้?</t>
  </si>
  <si>
    <t>ชนะโดยอัตโนมัติ</t>
  </si>
  <si>
    <t>การต่อสู้หยุดชั่วคราว</t>
  </si>
  <si>
    <t>ใช้อะไรกับขาวัวเพื่อป้องกันการบาดเจ็บ?</t>
  </si>
  <si>
    <t>ทำไมต้องผูกหางวัวก่อนการต่อสู้?</t>
  </si>
  <si>
    <t>ดูเรียบร้อย</t>
  </si>
  <si>
    <t>ป้องกันการฟุ้งซ่าน</t>
  </si>
  <si>
    <t>แสดงความเป็นเจ้าของ</t>
  </si>
  <si>
    <t>การตกแต่ง</t>
  </si>
  <si>
    <t>หากวัวทั้งสองแข็งแกร่งและไม่ถอยกลับ</t>
  </si>
  <si>
    <t>จะตรวจสอบได้อย่างไรว่าวัวสามารถสู้ได้?</t>
  </si>
  <si>
    <t>ตรวจสัตวแพทย์เท่านั้น</t>
  </si>
  <si>
    <t>สังเกตความก้าวร้าว</t>
  </si>
  <si>
    <t>อาหาร</t>
  </si>
  <si>
    <t>การทดสอบความอดทน</t>
  </si>
  <si>
    <t>นาย C เดิมพัน 50,000 บาท กับ Bull A</t>
  </si>
  <si>
    <t>คน D เดิมพัน 75,000 บาทกับ Bull B ใครจะชนะถ้า Bull B ชนะ?</t>
  </si>
  <si>
    <t>ถ้ากระทิง A พุ่งชนกำแพงวงแหวนหลังจากที่กระทิง B หลบไป</t>
  </si>
  <si>
    <t>ถ้าบูลเอไม่ยอมสู้ต่ออีกสักนาที</t>
  </si>
  <si>
    <t>เริ่มการแข่งขันใหม่</t>
  </si>
  <si>
    <t>ถ้าบูลส์ A และ B ล็อคแตรเป็นเวลา 30 นาทีโดยไม่มีการครอบงำ</t>
  </si>
  <si>
    <t>หากเจ้าของบูลบียกมือทั้งสองข้างยอมแพ้</t>
  </si>
  <si>
    <t>ถ้านาย A เดิมพัน 100,000 บาทใน Bull A และนาย B เดิมพัน 20,000 บาทใน Bull B</t>
  </si>
  <si>
    <t>ใครได้กำไรถ้า Bull A ชนะ?</t>
  </si>
  <si>
    <t>ไม่ใช่ทั้งสองอย่าง</t>
  </si>
  <si>
    <t>จะเกิดอะไรขึ้นหากผู้ดูแล บูล เอ โบกผ้าขาวกลางไฟต์?</t>
  </si>
  <si>
    <t>บูลเอมีชัย</t>
  </si>
  <si>
    <t>บูลบีมีชัย</t>
  </si>
  <si>
    <t>การแข่งขันถูกระงับ</t>
  </si>
  <si>
    <t>ไม่มีผู้ชนะ</t>
  </si>
  <si>
    <t>ถ้าโคถอยกลับไม่กลับก่อนที่กะลาจะจมน้ำจะเกิดผลอย่างไร?</t>
  </si>
  <si>
    <t>ชัยชนะของวัว</t>
  </si>
  <si>
    <t>พ่ายแพ้ให้กับวัว</t>
  </si>
  <si>
    <t>การต่อสู้ดำเนินต่อ</t>
  </si>
  <si>
    <t>ประกาศจับสลาก</t>
  </si>
  <si>
    <t>หากวัวทั้งสองล้มลงและไม่สามารถลุกขึ้นได้</t>
  </si>
  <si>
    <t>คำตัดสินคืออะไร?</t>
  </si>
  <si>
    <t>ยืนหยัดก่อนเป็นฝ่ายชนะ</t>
  </si>
  <si>
    <t>ประกาศผูก</t>
  </si>
  <si>
    <t>ทำไมต้องใช้กล้วยสุกบดที่หน้าวัวก่อนการแข่งขัน?</t>
  </si>
  <si>
    <t>เพื่อบำรุงวัว</t>
  </si>
  <si>
    <t>ลดการเสียดสีและกลิ่นของหน้ากาก</t>
  </si>
  <si>
    <t>เกราะป้องกันจากแสงแดด</t>
  </si>
  <si>
    <t>ปลุกระดมความก้าวร้าว</t>
  </si>
  <si>
    <t>หากผู้ดูแลไม่สามารถครอบคลุมการเดิมพันได้</t>
  </si>
  <si>
    <t>ผู้จัดงานสามารถทำอะไรได้บ้าง?</t>
  </si>
  <si>
    <t>โทรออกการแข่งขัน</t>
  </si>
  <si>
    <t>บังคับปรับแพ้</t>
  </si>
  <si>
    <t>ลดสัดส่วนการถือหุ้น</t>
  </si>
  <si>
    <t>เหตุใดผู้ฝึกวัวจึงกันพระภิกษุให้ห่างจากสัตว์ของตน?</t>
  </si>
  <si>
    <t>ถือว่าโชคร้าย.</t>
  </si>
  <si>
    <t>พระพรจะระบายความเข้มแข็งของวัว</t>
  </si>
  <si>
    <t>วัวจะกินอาหารผสมที่มีไขมันในเวลาใด?</t>
  </si>
  <si>
    <t>สัญญาณการได้ยินอะไรเป็นจุดเริ่มต้นของการสู้วัวกระทิง?</t>
  </si>
  <si>
    <t>เสียงสังข์</t>
  </si>
  <si>
    <t>ฝ่ายจัดการโทรมา</t>
  </si>
  <si>
    <t>จะเกิดอะไรขึ้นถ้าวัวล้มลงและลุกขึ้นไม่ได้?</t>
  </si>
  <si>
    <t>หยุดการแข่งขันชั่วคราว</t>
  </si>
  <si>
    <t>ฝ่ายตรงข้ามประกาศชัยชนะ</t>
  </si>
  <si>
    <t>ผลลัพธ์คือเสมอกัน</t>
  </si>
  <si>
    <t>ถวายน้ำให้วัว</t>
  </si>
  <si>
    <t>เหตุใดเขาวัวจึงได้รับการบำบัดด้วยน้ำผึ้งและว่านหางจระเข้?</t>
  </si>
  <si>
    <t>เพิ่มความเงางาม</t>
  </si>
  <si>
    <t>เนื้อนุ่ม</t>
  </si>
  <si>
    <t>ฆ่าเชื้อพวกเขา</t>
  </si>
  <si>
    <t>แลดูเข้มขึ้น</t>
  </si>
  <si>
    <t>ผู้สนับสนุนจะช่วยเหลือได้อย่างไรหากเจ้าของไม่มีเงินเดิมพันเพียงพอ?</t>
  </si>
  <si>
    <t>ปฏิเสธการสนับสนุน</t>
  </si>
  <si>
    <t>เสนอกำลังใจทางศีลธรรม</t>
  </si>
  <si>
    <t>รวมทรัพยากร</t>
  </si>
  <si>
    <t>เดิมพันวัวคู่แข่ง</t>
  </si>
  <si>
    <t>เหตุใดการได้รับแสงแดดจึงเป็นส่วนหนึ่งของระบบการฝึกวัว?</t>
  </si>
  <si>
    <t>ขยายความก้าวร้าว</t>
  </si>
  <si>
    <t>เสริมสร้างร่างกายให้แข็งแรง</t>
  </si>
  <si>
    <t>เพิ่มความอดทน</t>
  </si>
  <si>
    <t>ทำให้เกิดอาการง่วงนอน</t>
  </si>
  <si>
    <t>การแทงด้วยเขาที่เคลือบด้วยเลือดปลาไหลมีผลอย่างไรต่อวัว?</t>
  </si>
  <si>
    <t>รับประกันชัยชนะ</t>
  </si>
  <si>
    <t>จิตวิญญาณแห่งการต่อสู้ของทรัพย์</t>
  </si>
  <si>
    <t>คืนความมีชีวิตชีวา</t>
  </si>
  <si>
    <t>ทำไมต้องเช่าปากกาใกล้สนามประลอง?</t>
  </si>
  <si>
    <t>หลบค่าธรรมเนียมพิเศษ</t>
  </si>
  <si>
    <t>มุมมองที่ได้รับการปรับปรุง</t>
  </si>
  <si>
    <t>เคยชินกับวัว</t>
  </si>
  <si>
    <t>จะเกิดอะไรขึ้นถ้าวัวหนีออกจากสนามกลางการต่อสู้?</t>
  </si>
  <si>
    <t>ชนะอัตโนมัติ</t>
  </si>
  <si>
    <t>หยุดการต่อสู้ชั่วคราว</t>
  </si>
  <si>
    <t>ฝ่ายตรงข้ามชนะ</t>
  </si>
  <si>
    <t>ผลเป็นโมฆะ</t>
  </si>
  <si>
    <t>สารอะไรทาที่ขาวัวเพื่อป้องกันอันตราย?</t>
  </si>
  <si>
    <t>ดินเหนียว</t>
  </si>
  <si>
    <t>ครีมสมุนไพร</t>
  </si>
  <si>
    <t>ทำไมต้องเลี้ยงหางวัวก่อนการแข่งขัน?</t>
  </si>
  <si>
    <t>หน้าตาเรียบร้อย</t>
  </si>
  <si>
    <t>ป้องกันการรบกวน</t>
  </si>
  <si>
    <t>ทำเครื่องหมายความเป็นเจ้าของ</t>
  </si>
  <si>
    <t>วัตถุประสงค์ในการตกแต่ง</t>
  </si>
  <si>
    <t>ถ้าวัวสองตัวดุร้ายพอ ๆ กันและไม่ยอมแพ้</t>
  </si>
  <si>
    <t>อะไรตามมา?</t>
  </si>
  <si>
    <t>ความพร้อมของวัวในการต่อสู้ได้รับการประเมินอย่างไร?</t>
  </si>
  <si>
    <t>การตรวจสอบโดยสัตวแพทย์เท่านั้น</t>
  </si>
  <si>
    <t>ความอดทน</t>
  </si>
  <si>
    <t>ทบทวนอาหาร</t>
  </si>
  <si>
    <t>และบุคคล D เดิมพัน 75,000 บาทกับ Bull B ใครได้กำไรถ้า Bull B มีชัย?</t>
  </si>
  <si>
    <t>หากกระทิง A พุ่งชนแต่ชนเข้ากับวงแหวนขณะที่กระทิง B หลบเลี่ยง</t>
  </si>
  <si>
    <t>กรรมการประกาศชัย บูลบี</t>
  </si>
  <si>
    <t>หาก Bull A ปฏิเสธที่จะเข้าร่วมหลังจาก 60 วินาที</t>
  </si>
  <si>
    <t>ถ้าบูลส์ A และ B ถูกขังอยู่ในเขาเป็นเวลา 30 นาทีโดยไม่มีการครอบงำ</t>
  </si>
  <si>
    <t>ตัดสินใจอะไร?</t>
  </si>
  <si>
    <t>กระทิงมีชัย</t>
  </si>
  <si>
    <t>การต่อสู้ยังคงมีอยู่</t>
  </si>
  <si>
    <t>กรรมการเรียกเสมอกัน</t>
  </si>
  <si>
    <t>ถ้าผู้ดูแลบูลบียกแขนทั้งสองข้างขึ้นยอมจำนน</t>
  </si>
  <si>
    <t>จะเกิดอะไรขึ้นถ้าวัวไม่ยอมออกจากมุม?</t>
  </si>
  <si>
    <t>กระทิงชนะ</t>
  </si>
  <si>
    <t>บูลแพ้</t>
  </si>
  <si>
    <t>การต่อสู้ล่าช้า</t>
  </si>
  <si>
    <t>ฝ่ายตรงข้ามถูกตัดสิทธิ์</t>
  </si>
  <si>
    <t>วัวจะได้รับการอาบน้ำเค็มเมื่อใด?</t>
  </si>
  <si>
    <t>ก่อนการฝึก</t>
  </si>
  <si>
    <t>หลังการแข่งขัน</t>
  </si>
  <si>
    <t>เช้าตรู่</t>
  </si>
  <si>
    <t>ในระหว่างการต่อสู้</t>
  </si>
  <si>
    <t>อะไรบ่งบอกถึงการยอมจำนนของวัว?</t>
  </si>
  <si>
    <t>ลดศีรษะ</t>
  </si>
  <si>
    <t>หันไป</t>
  </si>
  <si>
    <t>ล้มลง</t>
  </si>
  <si>
    <t>กรนเสียงดัง</t>
  </si>
  <si>
    <t>ทำไมต้องถูขมิ้นบนเขาวัว?</t>
  </si>
  <si>
    <t>สมานแผล</t>
  </si>
  <si>
    <t>เหตุผลเชิงสัญลักษณ์</t>
  </si>
  <si>
    <t>ลับแตร</t>
  </si>
  <si>
    <t>ขับไล่แมลง</t>
  </si>
  <si>
    <t>จะทำอย่างไรถ้าเขาวัวหักระหว่างการต่อสู้?</t>
  </si>
  <si>
    <t>สู้ต่อไป</t>
  </si>
  <si>
    <t>การแข่งขันเป็นโมฆะ</t>
  </si>
  <si>
    <t>อะไรใช้เพื่อทำให้วัวที่กระวนกระวายใจสงบลงก่อนการแข่งขัน?</t>
  </si>
  <si>
    <t>น้ำเย็น</t>
  </si>
  <si>
    <t>น้ำเชื่อมหวาน</t>
  </si>
  <si>
    <t>ควันสมุนไพร</t>
  </si>
  <si>
    <t>เพลงเบาๆ</t>
  </si>
  <si>
    <t>ผู้ควบคุมจะเพิ่มความอดทนของวัวได้อย่างไร?</t>
  </si>
  <si>
    <t>วิ่งระยะสั้น</t>
  </si>
  <si>
    <t>กิจวัตรการว่ายน้ำ</t>
  </si>
  <si>
    <t>งีบหลับทุกวัน</t>
  </si>
  <si>
    <t>พักผ่อนอย่างโดดเดี่ยว</t>
  </si>
  <si>
    <t>จังหวะกลองเดี่ยวมีความหมายว่าอะไร?</t>
  </si>
  <si>
    <t>เริ่มการต่อสู้</t>
  </si>
  <si>
    <t>สู้จบ.</t>
  </si>
  <si>
    <t>หยุดชั่วคราวในการแข่งขัน</t>
  </si>
  <si>
    <t>เรียกคนจัดการ</t>
  </si>
  <si>
    <t>ทำไมบางครั้งต้องเจาะจมูกวัว?</t>
  </si>
  <si>
    <t>การควบคุมที่ดีขึ้น</t>
  </si>
  <si>
    <t>วัตถุประสงค์ทางศาสนา</t>
  </si>
  <si>
    <t>ประเพณีเท่านั้น</t>
  </si>
  <si>
    <t>วัสดุอะไรมักผูกรอบคอวัว?</t>
  </si>
  <si>
    <t>ผ้าไหม</t>
  </si>
  <si>
    <t>สายหนัง</t>
  </si>
  <si>
    <t>เสน่ห์แห่งการปกป้อง</t>
  </si>
  <si>
    <t>สร้อยคอลูกปัด</t>
  </si>
  <si>
    <t>จะเกิดอะไรขึ้นถ้ากระทิงทั้งสองยืนนิ่งเป็นเวลา 15 นาที?</t>
  </si>
  <si>
    <t>กรรมการเข้าแทรกแซง</t>
  </si>
  <si>
    <t>ผู้ดูแลเข้ามา</t>
  </si>
  <si>
    <t>ทำไมวัวถึงได้รับน้ำตาลโตนดก่อนการต่อสู้?</t>
  </si>
  <si>
    <t>เพิ่มพลังงาน</t>
  </si>
  <si>
    <t>ประสาทสงบ</t>
  </si>
  <si>
    <t>ถ้าวัวทั้งสองหยุดสู้กันจะประกาศชัยชนะได้อย่างไร?</t>
  </si>
  <si>
    <t>ผู้พิพากษาเป็นผู้ตัดสิน</t>
  </si>
  <si>
    <t>สุ่มจับสลาก</t>
  </si>
  <si>
    <t>วัวตัวแรกที่กระพริบตาแพ้</t>
  </si>
  <si>
    <t>อะไรที่ใช้กับกีบวัวก่อนการต่อสู้?</t>
  </si>
  <si>
    <t>เรซิน</t>
  </si>
  <si>
    <t>น้ำ</t>
  </si>
  <si>
    <t>ทำไมวัวถึงแห่ต่อหน้าฝูงชน?</t>
  </si>
  <si>
    <t>แสดงความแข็งแกร่ง</t>
  </si>
  <si>
    <t>ข่มขู่คู่ต่อสู้</t>
  </si>
  <si>
    <t>พิธีถวายพระพร</t>
  </si>
  <si>
    <t>จากทั้งหมดที่กล่าวมา</t>
  </si>
  <si>
    <t>จะเกิดอะไรขึ้นหากวัวได้รับบาดเจ็บระหว่างการต่อสู้?</t>
  </si>
  <si>
    <t>หยุดชั่วคราวและตรวจสอบ</t>
  </si>
  <si>
    <t>ถูกตัดสิทธิ์</t>
  </si>
  <si>
    <t>พิธีกรรมก่อนการต่อสู้ทั่วไปคืออะไร?</t>
  </si>
  <si>
    <t>ให้อาหารกล้วย</t>
  </si>
  <si>
    <t>การจุดธูป</t>
  </si>
  <si>
    <t>สวดมนต์</t>
  </si>
  <si>
    <t>ทั้งหมดนี้</t>
  </si>
  <si>
    <t>ทำไมน้ำมะพร้าวต้องโรยวัว?</t>
  </si>
  <si>
    <t>ใจเย็นลง</t>
  </si>
  <si>
    <t>เพื่อโชคลาภ</t>
  </si>
  <si>
    <t>ทำความสะอาดบาดแผล</t>
  </si>
  <si>
    <t>วัวที่ก้าวร้าวจะควบคุมหลังการต่อสู้ได้อย่างไร?</t>
  </si>
  <si>
    <t>ผูกเชือก</t>
  </si>
  <si>
    <t>ผู้ดูแลที่สงบ</t>
  </si>
  <si>
    <t>น้ำกระเด็น</t>
  </si>
  <si>
    <t>ทั้งหมดรวมกัน</t>
  </si>
  <si>
    <t>เมื่อไหร่ฝูงชนจะโห่ร้องดัง?</t>
  </si>
  <si>
    <t>จบการต่อสู้</t>
  </si>
  <si>
    <t>เมื่อวัวพุ่งเข้าใส่</t>
  </si>
  <si>
    <t>อะไรบ่งบอกถึงความเหนือกว่าของวัว?</t>
  </si>
  <si>
    <t>เสียงดังคำราม</t>
  </si>
  <si>
    <t>ย่ำพื้น</t>
  </si>
  <si>
    <t>บังคับให้ฝ่ายตรงข้ามถอยกลับ</t>
  </si>
  <si>
    <t>ยืนนิ่ง</t>
  </si>
  <si>
    <t>ทำไมเจ้าของจึงฝึกวัวในพื้นที่ที่เต็มไปด้วยโคลน?</t>
  </si>
  <si>
    <t>ผิวแข็งแรงขึ้น</t>
  </si>
  <si>
    <t>ปรับปรุงความสมดุล</t>
  </si>
  <si>
    <t>ลดความเร็ว</t>
  </si>
  <si>
    <t>ร่างกายเย็นสบาย</t>
  </si>
  <si>
    <t>กรรมการมีหน้าที่อะไร?</t>
  </si>
  <si>
    <t>เริ่ม/หยุดการต่อสู้</t>
  </si>
  <si>
    <t>รับรองความเป็นธรรม</t>
  </si>
  <si>
    <t>ประกาศผู้ชนะ</t>
  </si>
  <si>
    <t>วัวรู้จักผู้ดูแลของมันได้อย่างไร?</t>
  </si>
  <si>
    <t>เสียง</t>
  </si>
  <si>
    <t>กลิ่น</t>
  </si>
  <si>
    <t>สัมผัส</t>
  </si>
  <si>
    <t>ทำไมวัวถึงถูกนวดก่อนการต่อสู้?</t>
  </si>
  <si>
    <t>ผ่อนคลายกล้ามเนื้อ</t>
  </si>
  <si>
    <t>เพิ่มการไหลเวียนของเลือด</t>
  </si>
  <si>
    <t>ลดความตึงเครียด</t>
  </si>
  <si>
    <t>การผูกผ้าบนเขาวัวมีไว้เพื่ออะไร?</t>
  </si>
  <si>
    <t>ระบุวัว</t>
  </si>
  <si>
    <t>สัญลักษณ์แห่งความภาคภูมิใจ</t>
  </si>
  <si>
    <t>ทำให้ฝ่ายตรงข้ามหวาดกลัว</t>
  </si>
  <si>
    <t>หากวัวทั้งสองหนีจากสังเวียนจะส่งผลอย่างไร?</t>
  </si>
  <si>
    <t>การตัดสินของผู้ตัดสิน</t>
  </si>
  <si>
    <t>รีแมตช์</t>
  </si>
  <si>
    <t>ทำไมวัวถึงได้รับอ้อยหลังการต่อสู้?</t>
  </si>
  <si>
    <t>รางวัล</t>
  </si>
  <si>
    <t>การให้ความชุ่มชื้น</t>
  </si>
  <si>
    <t>พลังงาน</t>
  </si>
  <si>
    <t>การต่อสู้จะจบลงอย่างเป็นทางการเมื่อไหร่?</t>
  </si>
  <si>
    <t>กรรมการประกาศ</t>
  </si>
  <si>
    <t>วัวทั้งสองยอมแพ้</t>
  </si>
  <si>
    <t>วัวตัวหนึ่งชนะ</t>
  </si>
  <si>
    <t>ทำไมวัวถึงกระทืบเท้าก่อนพุ่ง?</t>
  </si>
  <si>
    <t>แสดงความก้าวร้าว</t>
  </si>
  <si>
    <t>คลายดิน</t>
  </si>
  <si>
    <t>สงบสติอารมณ์เสียเอง</t>
  </si>
  <si>
    <t>ผู้ดูแลสวมใส่อะไรในระหว่างการต่อสู้?</t>
  </si>
  <si>
    <t>เครื่องแบบ</t>
  </si>
  <si>
    <t>เครื่องแต่งกายแบบดั้งเดิม</t>
  </si>
  <si>
    <t>เสื้อผ้าแบบสุ่ม</t>
  </si>
  <si>
    <t>อุปกรณ์ป้องกัน</t>
  </si>
  <si>
    <t>เหตุใดวัวจึงถูกเก็บไว้ในที่ร่มก่อนการต่อสู้?</t>
  </si>
  <si>
    <t>หลีกเลี่ยงภาวะขาดน้ำ</t>
  </si>
  <si>
    <t>ใจเย็นๆ นะ</t>
  </si>
  <si>
    <t>ป้องกันความร้อนสูงเกินไป</t>
  </si>
  <si>
    <t>ผู้ฝึกสอนจะทดสอบความก้าวร้าวของวัวได้อย่างไร</t>
  </si>
  <si>
    <t>แนะนำคู่แข่ง</t>
  </si>
  <si>
    <t>อดอาหารช่วงสั้นๆ</t>
  </si>
  <si>
    <t>โชว์กระจก</t>
  </si>
  <si>
    <t>เล่นเสียงดัง</t>
  </si>
  <si>
    <t>โรยอะไรรอบแหวนเพื่อความเป็นสิริมงคล?</t>
  </si>
  <si>
    <t>กลีบดอกไม้</t>
  </si>
  <si>
    <t>เมล็ดข้าว</t>
  </si>
  <si>
    <t>เกลือ</t>
  </si>
  <si>
    <t>ทราย</t>
  </si>
  <si>
    <t>จะเกิดอะไรขึ้นถ้าวัวกัดอีกตัว?</t>
  </si>
  <si>
    <t>คำเตือน</t>
  </si>
  <si>
    <t>ดำเนินไปตามปกติ</t>
  </si>
  <si>
    <t>ทำไมวัวถึงมีรอยสี?</t>
  </si>
  <si>
    <t>ระบุเจ้าของ</t>
  </si>
  <si>
    <t>ทำเครื่องหมายความสำเร็จ</t>
  </si>
  <si>
    <t>ธรรมเนียม</t>
  </si>
  <si>
    <t>การตรวจสุขภาพของวัวหลังการชกเป็นอย่างไร?</t>
  </si>
  <si>
    <t>การตรวจสอบอัตราการเต้นของหัวใจ</t>
  </si>
  <si>
    <t>การตรวจร่างกาย</t>
  </si>
  <si>
    <t>การตรวจเลือด</t>
  </si>
  <si>
    <t>การสังเกต</t>
  </si>
  <si>
    <t>ทำไมเจ้าของต้องปิดตาวัวก่อนเข้า?</t>
  </si>
  <si>
    <t>วัวใจเย็น</t>
  </si>
  <si>
    <t>วัวจะอาบด้วยน้ำสมุนไพรเมื่อใด?</t>
  </si>
  <si>
    <t>ก่อนจะทะเลาะกัน</t>
  </si>
  <si>
    <t>หลังการฝึกอบรม</t>
  </si>
  <si>
    <t>ในช่วงเทศกาลต่างๆ</t>
  </si>
  <si>
    <t>ทำไมระฆังถึงผูกรอบคอวัว?</t>
  </si>
  <si>
    <t>แจ้งเตือนการปรากฏตัว</t>
  </si>
  <si>
    <t>พิธีกรรมหลังการต่อสู้โดยทั่วไปคืออะไร?</t>
  </si>
  <si>
    <t>ถวายดอกไม้</t>
  </si>
  <si>
    <t>อธิษฐาน</t>
  </si>
  <si>
    <t>เลี้ยงวัว</t>
  </si>
  <si>
    <t>เหตุใดวัวจึงได้รับเนยใสเป็นครั้งคราว?</t>
  </si>
  <si>
    <t>เสื้อคลุมมันเงา</t>
  </si>
  <si>
    <t>จะเกิดอะไรขึ้นถ้าวัวปฏิเสธอาหารก่อนการต่อสู้?</t>
  </si>
  <si>
    <t>ถือเป็นลางร้าย</t>
  </si>
  <si>
    <t>บ่งบอกถึงความเจ็บป่วย</t>
  </si>
  <si>
    <t>แสดงถึงความเครียด</t>
  </si>
  <si>
    <t>ทำไมวัวถึงมีกำไลข้อเท้าระหว่างขบวนพาเหรด?</t>
  </si>
  <si>
    <t>เสียงเตือน</t>
  </si>
  <si>
    <t>ผู้ดูแลตะโกนอะไรระหว่างการต่อสู้?</t>
  </si>
  <si>
    <t>คำสั่ง</t>
  </si>
  <si>
    <t>กำลังใจ</t>
  </si>
  <si>
    <t>ชื่อ</t>
  </si>
  <si>
    <t>เหตุใดวัวจึงถูกส่องกระจกระหว่างการฝึกซ้อม?</t>
  </si>
  <si>
    <t>เพิ่มความมั่นใจ</t>
  </si>
  <si>
    <t>กระตุ้นความก้าวร้าว</t>
  </si>
  <si>
    <t>ตรวจสอบลักษณะที่ปรากฏ</t>
  </si>
  <si>
    <t>วัวประสาทสงบได้อย่างไร?</t>
  </si>
  <si>
    <t>สัมผัสอ่อนโยน</t>
  </si>
  <si>
    <t>คำพูดที่นุ่มนวล</t>
  </si>
  <si>
    <t>ให้อาหารถือว่า</t>
  </si>
  <si>
    <t>จะเกิดอะไรขึ้นถ้าฝนตกกลางการต่อสู้?</t>
  </si>
  <si>
    <t>หยุดชั่วคราว</t>
  </si>
  <si>
    <t>ยกเลิกการต่อสู้</t>
  </si>
  <si>
    <t>ตัดสินใจในภายหลัง</t>
  </si>
  <si>
    <t>ทำไมผู้ดูแลถึงถือไม้เท้า?</t>
  </si>
  <si>
    <t>คู่มือบูลส์</t>
  </si>
  <si>
    <t>ป้องกันหากจำเป็น</t>
  </si>
  <si>
    <t>แสดงอำนาจ</t>
  </si>
  <si>
    <t>อะไรบ่งบอกว่าวัวเหนื่อย?</t>
  </si>
  <si>
    <t>หัวห้อย</t>
  </si>
  <si>
    <t>การเคลื่อนไหวช้าลง</t>
  </si>
  <si>
    <t>ความก้าวร้าวน้อยลง</t>
  </si>
  <si>
    <t xml:space="preserve">Question </t>
  </si>
  <si>
    <t>Options</t>
  </si>
  <si>
    <t>คุณสังเกตเห็นว่าเพื่อนร่วมทีมในการแข่งเรือดูเหนื่อยล้า คุณจะทำอย่างไร?</t>
  </si>
  <si>
    <t>ผู้ฝึกสอนขอให้คุณนำร้องเพลงเชียร์ทีมในการแข่งเรือ คุณจะทำอย่างไร?</t>
  </si>
  <si>
    <t>ขณะแข่งเรือคุณสังเกตว่าเส้นทางไม่ตรง คุณจะทำอย่างไร?</t>
  </si>
  <si>
    <t>A) ปรับทิศทางเรือทันที; B) เพิกเฉยและแข่งต่อ; C) แจ้งผู้ฝึกสอน; D) หยุดแข่ง</t>
  </si>
  <si>
    <t>A) ปรับทิศทางเรือทันที</t>
  </si>
  <si>
    <t>การรักษาทิศทางให้ตรงสำคัญต่อการทำเวลาในการแข่ง.</t>
  </si>
  <si>
    <t>เพื่อนร่วมทีมทำจังหวะพลาดในระหว่างการแข่งเรือ คุณจะทำอย่างไร?</t>
  </si>
  <si>
    <t>A) ช่วยเขาอย่างเงียบๆ; B) ตำหนิเขาดังๆ; C) แข่งต่อไปตามปกติ; D) หยุดการแข่งขัน</t>
  </si>
  <si>
    <t>เรือของคุณได้รับผลกระทบจากคลื่นใหญ่ คุณจะทำอย่างไร?</t>
  </si>
  <si>
    <t>A) รักษาจังหวะและควบคุมเรือให้ดี; B) หยุดและรอคลื่นลดลง; C) แจ้งผู้ฝึกสอน; D) เปลี่ยนทิศทางทันที</t>
  </si>
  <si>
    <t>A) รักษาจังหวะและควบคุมเรือให้ดี</t>
  </si>
  <si>
    <t>การควบคุมเรือให้มั่นคงในช่วงคลื่นช่วยให้สามารถแข่งได้ตามปกติ.</t>
  </si>
  <si>
    <t>ในระหว่างการแข่งเรือ คุณสังเกตเห็นว่ามีเรือทีมอื่นชนกัน คุณจะทำอย่างไร?</t>
  </si>
  <si>
    <t>A) หลีกเลี่ยงและรักษาระยะห่าง; B) พยายามเร่งความเร็วให้เร็วที่สุด; C) แจ้งผู้ฝึกสอน; D) หยุดแข่ง</t>
  </si>
  <si>
    <t>A) หลีกเลี่ยงและรักษาระยะห่าง</t>
  </si>
  <si>
    <t>การรักษาระยะห่างช่วยให้คุณสามารถแข่งได้อย่างปลอดภัย.</t>
  </si>
  <si>
    <t>ทีมของคุณกำลังอยู่ในอันดับที่ 2 และใกล้ถึงเส้นชัย คุณจะทำอย่างไร?</t>
  </si>
  <si>
    <t>A) พยายามเร่งความเร็วอย่างสุดความสามารถ; B) ลดความเร็วและรักษาตำแหน่ง; C) พยายามรักษาจังหวะและรอจังหวะ; D) ปรึกษาผู้ฝึกสอน</t>
  </si>
  <si>
    <t>A) พยายามเร่งความเร็วอย่างสุดความสามารถ</t>
  </si>
  <si>
    <t>การเร่งความเร็วในจังหวะนี้จะช่วยให้ได้ชัยชนะ.</t>
  </si>
  <si>
    <t>เมื่อทีมของคุณเกือบจะแพ้ คุณจะทำอย่างไร?</t>
  </si>
  <si>
    <t>A) กระตุ้นเพื่อนร่วมทีมและพยายามเพิ่มความเร็ว; B) ลดความกดดันและยอมรับผลการแข่งขัน; C) หยุดแข่งขัน; D) ตำหนิเพื่อนร่วมทีม</t>
  </si>
  <si>
    <t>A) กระตุ้นเพื่อนร่วมทีมและพยายามเพิ่มความเร็ว</t>
  </si>
  <si>
    <t>การกระตุ้นทีมในช่วงท้ายสามารถเพิ่มความมั่นใจและผลลัพธ์ได้.</t>
  </si>
  <si>
    <t>เมื่อฝนตกหนักระหว่างการแข่งขันเรือ คุณจะทำอย่างไร?</t>
  </si>
  <si>
    <t>A) ประเมินสภาพอากาศและทำการปรับกลยุทธ์; B) ยอมรับความเสี่ยงและแข่งต่อไป; C) หยุดแข่งทันที; D) ขอคำแนะนำจากผู้ฝึกสอน</t>
  </si>
  <si>
    <t>A) ประเมินสภาพอากาศและทำการปรับกลยุทธ์</t>
  </si>
  <si>
    <t>การปรับกลยุทธ์ในสภาพอากาศไม่ดีช่วยให้แข่งได้อย่างปลอดภัย.</t>
  </si>
  <si>
    <t>คุณเห็นว่าเพื่อนร่วมทีมไม่ได้ตั้งใจในการฝึกซ้อม คุณจะทำอย่างไร?</t>
  </si>
  <si>
    <t>A) กระตุ้นเขาให้กลับมาฝึกซ้อม; B) ปล่อยให้เขาทำตามใจ; C) แจ้งผู้ฝึกสอน; D) หลีกเลี่ยงและไม่พูดอะไร</t>
  </si>
  <si>
    <t>A) กระตุ้นเขาให้กลับมาฝึกซ้อม</t>
  </si>
  <si>
    <t>การกระตุ้นเพื่อนร่วมทีมช่วยเพิ่มพลังให้กับการฝึกซ้อม.</t>
  </si>
  <si>
    <t>คุณได้รับคำติชมจากผู้ฝึกสอนว่าไม่ค่อยระวังในการแข่ง คุณจะทำอย่างไร?</t>
  </si>
  <si>
    <t>A) รับฟังและพยายามปรับปรุง; B) ปฏิเสธและไม่เปลี่ยนแปลงอะไร; C) ท้อแท้และหยุดพยายาม; D) บ่นให้เพื่อนร่วมทีมฟัง</t>
  </si>
  <si>
    <t>A) รับฟังและพยายามปรับปรุง</t>
  </si>
  <si>
    <t>การรับฟังคำติชมช่วยพัฒนาฝีมือในการแข่งขัน.</t>
  </si>
  <si>
    <t>เพื่อนร่วมทีมแนะนำให้เปลี่ยนวิธีการพายเรือ คุณจะทำอย่างไร?</t>
  </si>
  <si>
    <t>A) ลองวิธีการใหม่และประเมินผล; B) ปฏิเสธและทำตามวิธีเดิม; C) แจ้งผู้ฝึกสอน; D) ไม่สนใจ</t>
  </si>
  <si>
    <t>A) ลองวิธีการใหม่และประเมินผล</t>
  </si>
  <si>
    <t>การทดลองวิธีใหม่อาจช่วยเพิ่มประสิทธิภาพในการแข่ง.</t>
  </si>
  <si>
    <t>คุณรู้สึกเครียดก่อนการแข่งขัน คุณจะทำอย่างไร?</t>
  </si>
  <si>
    <t>A) ผ่อนคลายและทำใจให้สบาย; B) กังวลและพยายามฝึกฝนมากขึ้น; C) หลีกเลี่ยงการพูดถึงการแข่งขัน; D) ขอคำปรึกษาจากเพื่อนร่วมทีม</t>
  </si>
  <si>
    <t>A) ผ่อนคลายและทำใจให้สบาย</t>
  </si>
  <si>
    <t>การผ่อนคลายช่วยให้คุณมีสมาธิในการแข่งขัน.</t>
  </si>
  <si>
    <t>คุณรู้สึกว่ามีปัญหากับการประสานงานในทีม คุณจะทำอย่างไร?</t>
  </si>
  <si>
    <t>A) พูดคุยและหาทางปรับปรุงการทำงานร่วมกัน; B) ทนเงียบๆ และเล่นต่อไป; C) แจ้งผู้ฝึกสอน; D) ปล่อยให้ทีมจัดการเอง</t>
  </si>
  <si>
    <t>A) พูดคุยและหาทางปรับปรุงการทำงานร่วมกัน</t>
  </si>
  <si>
    <t>การสื่อสารและประสานงานกันในทีมช่วยให้การแข่งขันราบรื่น.</t>
  </si>
  <si>
    <t>ทีมของคุณกำลังเผชิญกับทีมที่แข็งแกร่ง คุณจะทำอย่างไร?</t>
  </si>
  <si>
    <t>A) พยายามรักษาจังหวะและประเมินการแข่งอย่างระมัดระวัง; B) เร่งความเร็วและพยายามแซง; C) ลดความเร็วและยอมรับการแข่งขัน; D) แจ้งผู้ฝึกสอน</t>
  </si>
  <si>
    <t>A) พยายามรักษาจังหวะและประเมินการแข่งอย่างระมัดระวัง</t>
  </si>
  <si>
    <t>การรักษาจังหวะในขณะที่แข่งกับทีมที่แข็งแกร่งช่วยให้มีโอกาสชนะ.</t>
  </si>
  <si>
    <t>คุณรู้สึกไม่สบายระหว่างการแข่งขัน คุณจะทำอย่างไร?</t>
  </si>
  <si>
    <t>A) แจ้งผู้ฝึกสอนและขอพัก; B) ฝืนแข่งขันจนเสร็จ; C) หยุดการแข่งขันทันที; D) ลองพยายามแข่งต่อไปโดยไม่พูดอะไร</t>
  </si>
  <si>
    <t>A) แจ้งผู้ฝึกสอนและขอพัก</t>
  </si>
  <si>
    <t>การแจ้งผู้ฝึกสอนช่วยให้มีการดูแลที่เหมาะสม.</t>
  </si>
  <si>
    <t>ทีมของคุณต้องการการสนับสนุนจากคุณในช่วงเวลาสำคัญ คุณจะทำอย่างไร?</t>
  </si>
  <si>
    <t>A) เพิ่มความมุ่งมั่นและสนับสนุนทีมเต็มที่; B) ลดความพยายามและปล่อยให้ทีมจัดการเอง; C) หลีกเลี่ยงสถานการณ์นั้น; D) หันไปขอความช่วยเหลือจากผู้ฝึกสอน</t>
  </si>
  <si>
    <t>A) เพิ่มความมุ่งมั่นและสนับสนุนทีมเต็มที่</t>
  </si>
  <si>
    <t>การให้การสนับสนุนในช่วงสำคัญช่วยให้ทีมมีแรงผลักดัน.</t>
  </si>
  <si>
    <t>ในระหว่างการแข่งเรือคุณเห็นว่าคู่แข่งมีเทคนิคที่เหนือกว่า คุณจะทำอย่างไร?</t>
  </si>
  <si>
    <t>A) ปรับกลยุทธ์และพยายามหาทางชนะ; B) ปล่อยให้คู่แข่งชนะ; C) แจ้งผู้ฝึกสอน; D) หยุดการแข่งขัน</t>
  </si>
  <si>
    <t>A) ปรับกลยุทธ์และพยายามหาทางชนะ.</t>
  </si>
  <si>
    <t/>
  </si>
  <si>
    <t>คุณเห็นว่าเพื่อนร่วมทีมมีความกังวลเกี่ยวกับการแข่งขัน คุณจะทำอย่างไร?</t>
  </si>
  <si>
    <t>A) กระตุ้นและให้กำลังใจเพื่อนร่วมทีม; B) ปล่อยให้เขาจัดการกับความกังวลเอง; C) หลีกเลี่ยงการพูดถึงการแข่งขัน; D) บอกให้เขาหยุดคิดถึงการแข่งขัน</t>
  </si>
  <si>
    <t>A) กระตุ้นและให้กำลังใจเพื่อนร่วมทีม</t>
  </si>
  <si>
    <t>การให้กำลังใจช่วยลดความกังวลและเสริมสร้างความมั่นใจ.</t>
  </si>
  <si>
    <t>การพายเรือของคุณช้ากว่าที่ตั้งใจไว้ คุณจะทำอย่างไร?</t>
  </si>
  <si>
    <t>A) ปรับท่าพายและพยายามเร่งความเร็ว; B) ยอมรับและพายตามจังหวะปกติ; C) หยุดและถามผู้ฝึกสอน; D) ลดความเร็วเพื่อรักษาความเสถียร</t>
  </si>
  <si>
    <t>A) ปรับท่าพายและพยายามเร่งความเร็ว</t>
  </si>
  <si>
    <t>การปรับท่าพายช่วยให้สามารถเพิ่มความเร็วในการแข่งได้.</t>
  </si>
  <si>
    <t>คุณสังเกตเห็นว่าเพื่อนร่วมทีมไม่ได้ทำตามกลยุทธ์ที่ตกลงกันไว้ คุณจะทำอย่างไร?</t>
  </si>
  <si>
    <t>A) พูดคุยและพยายามหาทางปรับปรุงกลยุทธ์; B) ตำหนิเขา; C) ปล่อยให้เขาทำตามใจ; D) หยุดการฝึกซ้อม</t>
  </si>
  <si>
    <t>A) พูดคุยและพยายามหาทางปรับปรุงกลยุทธ์</t>
  </si>
  <si>
    <t>การพูดคุยและปรับปรุงกลยุทธ์ช่วยให้ทีมสามารถทำงานร่วมกันได้ดีขึ้น.</t>
  </si>
  <si>
    <t>การแข่งขันกำลังดำเนินไปอย่างรวดเร็วและคุณรู้สึกเหนื่อยล้า คุณจะทำอย่างไร?</t>
  </si>
  <si>
    <t>A) หายใจลึกและพยายามควบคุมการหายใจ; B) หยุดพายเรือ; C) ปรับจังหวะการพายเพื่อประหยัดพลังงาน; D) พยายามเร่งความเร็วให้มากขึ้น</t>
  </si>
  <si>
    <t>C) ปรับจังหวะการพายเพื่อประหยัดพลังงาน</t>
  </si>
  <si>
    <t>การปรับจังหวะช่วยให้สามารถรักษาพลังงานในระยะยาว.</t>
  </si>
  <si>
    <t>ทีมของคุณต้องการพลังใจในช่วงเวลาสำคัญ คุณจะทำอย่างไร?</t>
  </si>
  <si>
    <t>A) กระตุ้นทีมด้วยคำพูดให้กำลังใจ; B) รอให้ทีมทำงานเอง; C) ลดความพยายามและไม่กระตุ้นอะไร; D) ปล่อยให้ทีมเงียบ</t>
  </si>
  <si>
    <t>A) กระตุ้นทีมด้วยคำพูดให้กำลังใจ</t>
  </si>
  <si>
    <t>การให้กำลังใจช่วยเพิ่มพลังใจให้กับทีม.</t>
  </si>
  <si>
    <t>คุณได้ยินเสียงวิจารณ์เกี่ยวกับการพายเรือของคุณจากทีมอื่น คุณจะทำอย่างไร?</t>
  </si>
  <si>
    <t>A) ไม่สนใจและมุ่งมั่นในการพายเรือ; B) ตอบโต้และเถียงกลับ; C) หยุดพายเรือ; D) บ่นให้เพื่อนร่วมทีมฟัง</t>
  </si>
  <si>
    <t>A) ไม่สนใจและมุ่งมั่นในการพายเรือ</t>
  </si>
  <si>
    <t>การไม่ให้ความสนใจกับเสียงวิจารณ์ช่วยให้คุณโฟกัสที่การแข่ง.</t>
  </si>
  <si>
    <t>ในระหว่างการแข่งขันเรือ คุณพบว่าเรือเริ่มมีปัญหาทางเทคนิค คุณจะทำอย่างไร?</t>
  </si>
  <si>
    <t>A) พยายามแก้ไขและแข่งต่อ; B) หยุดและขอความช่วยเหลือจากผู้ฝึกสอน; C) หยุดการแข่งขันทันที; D) บ่นให้เพื่อนร่วมทีมฟัง</t>
  </si>
  <si>
    <t>B) หยุดและขอความช่วยเหลือจากผู้ฝึกสอน</t>
  </si>
  <si>
    <t>การขอความช่วยเหลือจากผู้ฝึกสอนช่วยแก้ไขปัญหาได้เร็วขึ้น.</t>
  </si>
  <si>
    <t>เพื่อนร่วมทีมพายเรือไม่ตรงตามทิศทาง คุณจะทำอย่างไร?</t>
  </si>
  <si>
    <t>A) เตือนให้เขาปรับทิศทางทันที; B) รอให้เขาแก้ไขเอง; C) ไม่ทำอะไรและแข่งต่อไป; D) หยุดพายเรือ</t>
  </si>
  <si>
    <t>A) เตือนให้เขาปรับทิศทางทันที</t>
  </si>
  <si>
    <t>การเตือนเพื่อนร่วมทีมช่วยรักษาทิศทางในการแข่งขัน.</t>
  </si>
  <si>
    <t>ทีมของคุณต้องการเปลี่ยนกลยุทธ์กลางการแข่งขัน คุณจะทำอย่างไร?</t>
  </si>
  <si>
    <t>A) ปรับตัวและทำตามกลยุทธ์ใหม่ทันที; B) ยืนยันกลยุทธ์เดิมและไม่เปลี่ยนแปลง; C) หยุดและถามคำแนะนำจากผู้ฝึกสอน; D) ปล่อยให้ทีมทำเอง</t>
  </si>
  <si>
    <t>A) ปรับตัวและทำตามกลยุทธ์ใหม่ทันที</t>
  </si>
  <si>
    <t>การปรับตัวตามกลยุทธ์ใหม่ช่วยให้ทีมสามารถแข่งขันได้ดีขึ้น.</t>
  </si>
  <si>
    <t>คุณมีข้อขัดแย้งกับเพื่อนร่วมทีมในระหว่างการแข่งขัน คุณจะทำอย่างไร?</t>
  </si>
  <si>
    <t>A) คุยกับเขาเพื่อหาทางแก้ไข; B) ปล่อยให้ข้อขัดแย้งนั้นเกิดขึ้น; C) ตำหนิเขาอย่างเปิดเผย; D) หลีกเลี่ยงการพูดคุย</t>
  </si>
  <si>
    <t>A) คุยกับเขาเพื่อหาทางแก้ไข</t>
  </si>
  <si>
    <t>การพูดคุยและหาทางแก้ไขช่วยเสริมสร้างความเข้าใจในทีม.</t>
  </si>
  <si>
    <t>คุณรู้สึกท้อแท้หลังจากการแข่งขันที่ไม่ดี คุณจะทำอย่างไร?</t>
  </si>
  <si>
    <t>A) ทบทวนผลการแข่งขันและพยายามปรับปรุง; B) ปล่อยให้ผลการแข่งขันที่ไม่ดีส่งผลกระทบกับคุณ; C) หยุดฝึกซ้อม; D) ตำหนิทีมอื่นๆ</t>
  </si>
  <si>
    <t>A) ทบทวนผลการแข่งขันและพยายามปรับปรุง</t>
  </si>
  <si>
    <t>การทบทวนผลและการปรับปรุงช่วยเพิ่มประสิทธิภาพในการแข่งขันครั้งถัดไป.</t>
  </si>
  <si>
    <t>ทีมของคุณมีความกดดันจากการต้องชนะในครั้งนี้ คุณจะทำอย่างไร?</t>
  </si>
  <si>
    <t>A) รักษาความสงบและเน้นที่การพายเรือ; B) กังวลและพยายามเร่งความเร็วมากเกินไป; C) ปล่อยให้ทีมจัดการความกดดันเอง; D) หลีกเลี่ยงการแข่งขัน</t>
  </si>
  <si>
    <t>A) รักษาความสงบและเน้นที่การพายเรือ</t>
  </si>
  <si>
    <t>การรักษาความสงบช่วยให้สามารถทำงานได้เต็มที่ภายใต้ความกดดัน.</t>
  </si>
  <si>
    <t>ในระหว่างการแข่งเรือ ทีมของคุณเริ่มตกจากตำแหน่ง คุณจะทำอย่างไร?</t>
  </si>
  <si>
    <t>A) พยายามเร่งความเร็วและตามทันทีมอื่น; B) ลดความเร็วและรอให้เกิดการเปลี่ยนแปลงในทีมอื่น; C) หยุดแข่งทันที; D) ตำหนิทีมสำหรับการตกจากตำแหน่ง</t>
  </si>
  <si>
    <t>A) พยายามเร่งความเร็วและตามทันทีมอื่น</t>
  </si>
  <si>
    <t>การเร่งความเร็วช่วยเพิ่มโอกาสในการไล่ตามทีมอื่น.</t>
  </si>
  <si>
    <t>คุณรู้สึกว่าเพื่อนร่วมทีมมีท่าทางไม่มั่นใจในช่วงการแข่งขัน คุณจะทำอย่างไร?</t>
  </si>
  <si>
    <t>A) พูดคุยและให้กำลังใจเพื่อเพิ่มความมั่นใจ; B) ปล่อยให้เขาคิดตามใจ; C) ตำหนิเขาดังๆ; D) หลีกเลี่ยงการพูดคุย</t>
  </si>
  <si>
    <t>A) พูดคุยและให้กำลังใจเพื่อเพิ่มความมั่นใจ</t>
  </si>
  <si>
    <t>การให้กำลังใจช่วยเพิ่มความมั่นใจและประสิทธิภาพในการแข่งขัน.</t>
  </si>
  <si>
    <t>คุณมีเวลาน้อยในการเตรียมตัวก่อนการแข่งขัน คุณจะทำอย่างไร?</t>
  </si>
  <si>
    <t>A) ใช้เวลาในการเตรียมตัวให้ดีที่สุด; B) ข้ามการฝึกซ้อมและแข่งไปเลย; C) กังวลและคิดว่าอาจจะแพ้; D) หลีกเลี่ยงการแข่ง</t>
  </si>
  <si>
    <t>A) ใช้เวลาในการเตรียมตัวให้ดีที่สุด</t>
  </si>
  <si>
    <t>การเตรียมตัวล่วงหน้าช่วยให้พร้อมสำหรับการแข่งขัน.</t>
  </si>
  <si>
    <t>คุณสังเกตเห็นว่ามีคู่แข่งใช้เทคนิคที่ไม่ดีในระหว่างการแข่งขัน คุณจะทำอย่างไร?</t>
  </si>
  <si>
    <t>A) โฟกัสที่ทีมของตัวเองและไม่สนใจคู่แข่ง; B) พยายามใช้เทคนิคใหม่ๆ เพื่อลบล้างคู่แข่ง; C) พยายามขัดขวางคู่แข่ง; D) หยุดการแข่งขัน</t>
  </si>
  <si>
    <t>A) โฟกัสที่ทีมของตัวเองและไม่สนใจคู่แข่ง</t>
  </si>
  <si>
    <t>การโฟกัสที่ทีมของตนเองช่วยให้สามารถทำผลงานได้ดีขึ้น.</t>
  </si>
  <si>
    <t>เมื่อการแข่งขันยากลำบาก คุณรู้สึกท้อแท้ คุณจะทำอย่างไร?</t>
  </si>
  <si>
    <t>A) หาจุดมุ่งหมายใหม่และมุ่งไปข้างหน้า; B) ยอมแพ้และออกจากการแข่งขัน; C) ปล่อยให้เพื่อนร่วมทีมทำหน้าที่แทน; D) หลีกเลี่ยงการแข่ง</t>
  </si>
  <si>
    <t>A) หาจุดมุ่งหมายใหม่และมุ่งไปข้างหน้า</t>
  </si>
  <si>
    <t>การตั้งเป้าหมายใหม่ช่วยให้ฟื้นฟูพลังและความมุ่งมั่นในการแข่งขัน.</t>
  </si>
  <si>
    <t>ในระหว่างการแข่งขันคุณพบว่าคู่แข่งมีจุดอ่อน คุณจะทำอย่างไร?</t>
  </si>
  <si>
    <t>A) ใช้จุดอ่อนของคู่แข่งให้เป็นประโยชน์และปรับกลยุทธ์; B) ละเลยจุดอ่อนและแข่งตามปกติ; C) พยายามขัดขวางคู่แข่ง; D) หลีกเลี่ยงการแข่ง</t>
  </si>
  <si>
    <t>A) ใช้จุดอ่อนของคู่แข่งให้เป็นประโยชน์และปรับกลยุทธ์</t>
  </si>
  <si>
    <t>การใช้จุดอ่อนของคู่แข่งให้เป็นประโยชน์ช่วยให้สามารถสร้างความได้เปรียบ.</t>
  </si>
  <si>
    <t>คุณรู้สึกว่าเรือของคุณไม่เหมาะสมกับสภาพน้ำในขณะนั้น คุณจะทำอย่างไร?</t>
  </si>
  <si>
    <t>A) ปรับเปลี่ยนกลยุทธ์การพายให้เหมาะสมกับสภาพน้ำ; B) พยายามพายเรือในแบบเดิม; C) หยุดพายเรือ; D) ขอให้ผู้ฝึกสอนช่วย</t>
  </si>
  <si>
    <t>A) ปรับเปลี่ยนกลยุทธ์การพายให้เหมาะสมกับสภาพน้ำ</t>
  </si>
  <si>
    <t>การปรับกลยุทธ์การพายให้เหมาะสมกับสภาพน้ำช่วยให้การแข่งขันมีประสิทธิภาพ.</t>
  </si>
  <si>
    <t>การแข่งขันเรือของคุณกำลังมาถึงจุดที่ยากที่สุด คุณจะทำอย่างไร?</t>
  </si>
  <si>
    <t>A) กระตุ้นทีมและรักษาจังหวะ; B) ลดความพยายามและรอให้การแข่งขันจบลง; C) ตำหนิผู้ร่วมทีม; D) หยุดพายเรือ</t>
  </si>
  <si>
    <t>A) กระตุ้นทีมและรักษาจังหวะ</t>
  </si>
  <si>
    <t>การกระตุ้นทีมช่วยให้ทีมสามารถฝ่าฟันสถานการณ์ที่ยากลำบากไปได้.</t>
  </si>
  <si>
    <t>ทีมของคุณต้องการให้มีการเปลี่ยนแปลงนักพายเรือระหว่างการแข่งขัน คุณจะทำอย่างไร?</t>
  </si>
  <si>
    <t>A) ตกลงและทำการเปลี่ยนแปลงทันที; B) ปฏิเสธการเปลี่ยนแปลงและยืนยันที่จะทำงานร่วมกัน; C) รอคำแนะนำจากผู้ฝึกสอน; D) หลีกเลี่ยงการเปลี่ยนแปลง</t>
  </si>
  <si>
    <t>A) ตกลงและทำการเปลี่ยนแปลงทันที</t>
  </si>
  <si>
    <t>การเปลี่ยนแปลงนักพายเรือสามารถช่วยปรับปรุงผลการแข่งขัน.</t>
  </si>
  <si>
    <t>หลังจากการแข่งขันที่เหนื่อยล้า คุณจะทำอย่างไร?</t>
  </si>
  <si>
    <t>A) พักผ่อนและฟื้นฟูพลัง; B) ฝึกซ้อมเพิ่มเติมเพื่อเตรียมตัวสำหรับการแข่งขันครั้งต่อไป; C) ไม่ทำอะไรและนั่งเฉยๆ; D) ไปทำกิจกรรมอื่นๆ ทันที</t>
  </si>
  <si>
    <t>A) พักผ่อนและฟื้นฟูพลัง</t>
  </si>
  <si>
    <t>การพักผ่อนหลังการแข่งขันช่วยฟื้นฟูร่างกายและเตรียมพร้อมสำหรับการแข่งขันครั้งถัดไป.</t>
  </si>
  <si>
    <t>คุณรู้สึกว่าเพื่อนร่วมทีมมีความวิตกกังวลก่อนการแข่งขัน คุณจะทำอย่างไร?</t>
  </si>
  <si>
    <t>A) กระตุ้นและให้คำแนะนำ; B) ปล่อยให้เขาจัดการเอง; C) พูดถึงการแข่งขันเพื่อเตือนเขา; D) หลีกเลี่ยงการพูดคุย</t>
  </si>
  <si>
    <t>A) กระตุ้นและให้คำแนะนำ</t>
  </si>
  <si>
    <t>การให้คำแนะนำและการกระตุ้นช่วยลดความวิตกกังวลและเพิ่มความมั่นใจ.</t>
  </si>
  <si>
    <t>ในการแข่งครั้งนี้คุณสังเกตว่าเรือของคุณมีการเสียสมดุล คุณจะทำอย่างไร?</t>
  </si>
  <si>
    <t>A) ปรับท่าพายให้เหมาะสม; B) หยุดพายและขอความช่วยเหลือ; C) รอให้ทีมปรับท่าพายเอง; D) พยายามพายด้วยความเร็วสูงขึ้น</t>
  </si>
  <si>
    <t>A) ปรับท่าพายให้เหมาะสม</t>
  </si>
  <si>
    <t>การปรับท่าพายช่วยให้เรือมีความสมดุลและเพิ่มความเร็ว.</t>
  </si>
  <si>
    <t>คุณพบว่าเรือของคุณเริ่มช้าเมื่อเทียบกับทีมอื่นๆ คุณจะทำอย่างไร?</t>
  </si>
  <si>
    <t>A) พยายามเร่งความเร็ว; B) ปรับท่าพายให้มีประสิทธิภาพมากขึ้น; C) ปล่อยให้ทีมทำตามวิธีการของตัวเอง; D) หยุดและรอให้ทีมอื่นผิดพลาด</t>
  </si>
  <si>
    <t>B) ปรับท่าพายให้มีประสิทธิภาพมากขึ้น</t>
  </si>
  <si>
    <t>การปรับท่าพายทำให้สามารถเพิ่มความเร็วได้โดยไม่ต้องเสี่ยงในการเร่งเกินไป.</t>
  </si>
  <si>
    <t>การแข่งขันกำลังอยู่ในช่วงที่ตึงเครียด คุณรู้สึกว่าทีมมีความเครียด คุณจะทำอย่างไร?</t>
  </si>
  <si>
    <t>A) กระตุ้นทีมและทำให้ทุกคนผ่อนคลาย; B) ปล่อยให้ทุกคนจัดการความเครียดเอง; C) ลดความพยายามและไม่กระตุ้นอะไร; D) หลีกเลี่ยงการพูดคุย</t>
  </si>
  <si>
    <t>A) กระตุ้นทีมและทำให้ทุกคนผ่อนคลาย</t>
  </si>
  <si>
    <t>การกระตุ้นและทำให้ทีมผ่อนคลายช่วยเพิ่มความมั่นใจและประสิทธิภาพ.</t>
  </si>
  <si>
    <t>คุณมีโอกาสทำแต้มสำคัญในเกม คุณจะทำอย่างไร?</t>
  </si>
  <si>
    <t>A) ตั้งใจพยายามพายเรือให้ดีที่สุด; B) ลังเลและไม่ทำอะไร; C) พยายามเล่นให้ปลอดภัย; D) รีบเร่งความเร็วมากเกินไป</t>
  </si>
  <si>
    <t>A) ตั้งใจพยายามพายเรือให้ดีที่สุด</t>
  </si>
  <si>
    <t>การตั้งใจทำให้ดีที่สุดช่วยเพิ่มโอกาสในการทำแต้มสำคัญ.</t>
  </si>
  <si>
    <t>คุณรู้สึกว่าเรือของคุณไม่สามารถทนทานกับแรงต้านของน้ำได้ คุณจะทำอย่างไร?</t>
  </si>
  <si>
    <t>A) ปรับกลยุทธ์การพายให้เหมาะสมกับสภาพน้ำ; B) พยายามพายเรือให้เร็วขึ้น; C) หยุดพายและขอให้ผู้ฝึกสอนช่วย; D) ปล่อยให้ทีมทำตามวิธีเดิม</t>
  </si>
  <si>
    <t>A) ปรับกลยุทธ์การพายให้เหมาะสมกับสภาพน้ำ</t>
  </si>
  <si>
    <t>การปรับกลยุทธ์ช่วยเพิ่มประสิทธิภาพในการแข่งขัน.</t>
  </si>
  <si>
    <t>การแข่งขันกำลังใกล้เสร็จสิ้นและคุณเริ่มรู้สึกเหนื่อย คุณจะทำอย่างไร?</t>
  </si>
  <si>
    <t>A) พยายามดึงพลังกลับมาและสู้ต่อ; B) ปล่อยให้ทีมทำงานหนักแทน; C) หยุดพายและรอการแข่งขันจบลง; D) ลดความเร็วและไม่พยายามต่อ</t>
  </si>
  <si>
    <t>A) พยายามดึงพลังกลับมาและสู้ต่อ</t>
  </si>
  <si>
    <t>การพยายามดึงพลังกลับมาช่วยให้ทีมสามารถแข่งขันจนถึงจุดสุดท้าย.</t>
  </si>
  <si>
    <t>เพื่อนร่วมทีมทำพลาดในระหว่างการแข่งขันและส่งผลต่อผลการแข่งขัน คุณจะทำอย่างไร?</t>
  </si>
  <si>
    <t>A) ช่วยเหลือเขาและพยายามทำให้ทีมกลับมามีความมั่นใจ; B) ตำหนิเขา; C) หยุดการแข่งขันและขอความช่วยเหลือจากผู้ฝึกสอน; D) ปล่อยให้เขาจัดการกับความผิดพลาดเอง</t>
  </si>
  <si>
    <t>A) ช่วยเหลือเขาและพยายามทำให้ทีมกลับมามีความมั่นใจ</t>
  </si>
  <si>
    <t>การช่วยเหลือเพื่อนร่วมทีมช่วยเสริมสร้างความสัมพันธ์และความมั่นใจในทีม.</t>
  </si>
  <si>
    <t>ในระหว่างการแข่งเรือมีสถานการณ์ที่ไม่คาดคิดเกิดขึ้น คุณจะทำอย่างไร?</t>
  </si>
  <si>
    <t>A) ปรับตัวและทำงานร่วมกันเพื่อรับมือกับสถานการณ์; B) หยุดพายเรือและรอคำแนะนำจากผู้ฝึกสอน; C) ปล่อยให้ทีมทำตามความสะดวก; D) รีบเร่งความเร็วและไม่สนใจสถานการณ์</t>
  </si>
  <si>
    <t>A) ปรับตัวและทำงานร่วมกันเพื่อรับมือกับสถานการณ์</t>
  </si>
  <si>
    <t>การปรับตัวและทำงานร่วมกันช่วยให้สามารถจัดการสถานการณ์ที่ไม่คาดคิดได้.</t>
  </si>
  <si>
    <t>คุณรู้สึกว่าคุณไม่สามารถทนต่อแรงกดดันจากการแข่งขันได้ คุณจะทำอย่างไร?</t>
  </si>
  <si>
    <t>A) หายใจลึกและมุ่งมั่นต่อการแข่ง; B) หยุดพายเรือ; C) บ่นให้เพื่อนร่วมทีมฟัง; D) หลีกเลี่ยงการพูดถึงการแข่งขัน</t>
  </si>
  <si>
    <t>A) หายใจลึกและมุ่งมั่นต่อการแข่ง</t>
  </si>
  <si>
    <t>การหายใจลึกและมุ่งมั่นช่วยลดความเครียดและเพิ่มความตั้งใจในการแข่งขัน.</t>
  </si>
  <si>
    <t>คุณเห็นว่าเพื่อนร่วมทีมเริ่มหมดแรงในช่วงกลางการแข่งขัน คุณจะทำอย่างไร?</t>
  </si>
  <si>
    <t>A) กระตุ้นเขาและขอให้เขาเพิ่มความพยายาม; B) ปล่อยให้เขาทำตามใจ; C) หยุดและรอให้เขาฟื้นตัว; D) แสดงความผิดหวัง</t>
  </si>
  <si>
    <t>A) กระตุ้นเขาและขอให้เขาเพิ่มความพยายาม</t>
  </si>
  <si>
    <t>การกระตุ้นเพื่อนร่วมทีมช่วยให้เขาฟื้นฟูพลังและทำงานร่วมกันได้ดีขึ้น.</t>
  </si>
  <si>
    <t>การแข่งขันเรือเริ่มใกล้เสร็จสิ้นและคุณมีโอกาสที่จะทำคะแนนสำคัญ คุณจะทำอย่างไร?</t>
  </si>
  <si>
    <t>A) พยายามพายเรือให้เร็วขึ้นและทำแต้ม; B) ลดความเร็วเพื่อรักษาความเสถียร; C) หยุดพายและรอให้การแข่งขันจบลง; D) พยายามบอกเพื่อนร่วมทีมให้เร็วขึ้น</t>
  </si>
  <si>
    <t>A) พยายามพายเรือให้เร็วขึ้นและทำแต้ม</t>
  </si>
  <si>
    <t>การพยายามเพิ่มความเร็วในช่วงสำคัญช่วยเพิ่มโอกาสในการทำคะแนน.</t>
  </si>
  <si>
    <t>การแข่งขันเริ่มมีความดุเดือด คุณจะทำอย่างไร?</t>
  </si>
  <si>
    <t>A) รักษาสมาธิและทำตามกลยุทธ์ที่วางไว้; B) กังวลและตกใจ; C) รีบเร่งความเร็วมากเกินไป; D) ปล่อยให้สถานการณ์เป็นไปตามที่มันควรจะเป็น</t>
  </si>
  <si>
    <t>A) รักษาสมาธิและทำตามกลยุทธ์ที่วางไว้</t>
  </si>
  <si>
    <t>การรักษาสมาธิช่วยให้สามารถปฏิบัติตามกลยุทธ์ได้แม้ในช่วงเวลาที่ตึงเครียด.</t>
  </si>
  <si>
    <t>คุณรู้สึกว่าเรือของคุณไม่เหมาะสมกับการแข่ง คุณจะทำอย่างไร?</t>
  </si>
  <si>
    <t>A) ปรับกลยุทธ์การพายให้เข้ากับเรือ; B) หยุดพายเรือทันที; C) แจ้งผู้ฝึกสอนและขอให้เปลี่ยนเรือ; D) ปล่อยให้มันเป็นไปตามสถานการณ์</t>
  </si>
  <si>
    <t>A) ปรับกลยุทธ์การพายให้เข้ากับเรือ</t>
  </si>
  <si>
    <t>การปรับกลยุทธ์ให้เข้ากับสภาพเรือช่วยเพิ่มประสิทธิภาพในการพาย.</t>
  </si>
  <si>
    <t>คุณเห็นว่าเพื่อนร่วมทีมเริ่มรู้สึกไม่มั่นใจ คุณจะทำอย่างไร?</t>
  </si>
  <si>
    <t>A) ให้คำแนะนำและกำลังใจเพื่อเพิ่มความมั่นใจ; B) ปล่อยให้เขาจัดการกับความไม่มั่นใจเอง; C) ตำหนิเขา; D) หลีกเลี่ยงการพูดถึงความไม่มั่นใจ</t>
  </si>
  <si>
    <t>A) ให้คำแนะนำและกำลังใจเพื่อเพิ่มความมั่นใจ</t>
  </si>
  <si>
    <t>การให้กำลังใจช่วยเพิ่มความมั่นใจให้กับเพื่อนร่วมทีม.</t>
  </si>
  <si>
    <t>ในการแข่งเรือที่ท้าทาย คุณรู้สึกท้อแท้และเหนื่อยล้า คุณจะทำอย่างไร?</t>
  </si>
  <si>
    <t>A) พยายามดึงพลังกลับมาและสู้ต่อ; B) หยุดพายและออกจากการแข่งขัน; C) หลีกเลี่ยงการพยายามเพิ่มความเร็ว; D) ปล่อยให้ทีมทำหน้าที่แทน</t>
  </si>
  <si>
    <t>การฟื้นฟูพลังและสู้ต่อช่วยเพิ่มโอกาสในการแข่งขัน.</t>
  </si>
  <si>
    <t>คุณรู้สึกว่าเรือของคุณไม่ไปในทิศทางที่ถูกต้อง คุณจะทำอย่างไร?</t>
  </si>
  <si>
    <t>A) ปรับท่าพายและทิศทางให้เหมาะสม; B) พยายามพายให้เร็วขึ้นโดยไม่คิดถึงทิศทาง; C) หยุดพายเรือ; D) แจ้งผู้ฝึกสอนและขอความช่วยเหลือ</t>
  </si>
  <si>
    <t>A) ปรับท่าพายและทิศทางให้เหมาะสม</t>
  </si>
  <si>
    <t>การปรับทิศทางการพายช่วยให้เรือไปในทิศทางที่ถูกต้องและเพิ่มประสิทธิภาพ.</t>
  </si>
  <si>
    <t>คุณเห็นว่าเรือของคุณเสียเวลาไปมากในการเปลี่ยนทิศทาง คุณจะทำอย่างไร?</t>
  </si>
  <si>
    <t>A) ปรับท่าพายให้คล่องแคล่วขึ้นเพื่อไม่เสียเวลา; B) ละเลยการปรับทิศทางและพยายามพายต่อไป; C) หยุดและขอให้ผู้ฝึกสอนแนะนำ; D) ลดความเร็วลง</t>
  </si>
  <si>
    <t>A) ปรับท่าพายให้คล่องแคล่วขึ้นเพื่อไม่เสียเวลา</t>
  </si>
  <si>
    <t>การปรับท่าพายช่วยลดเวลาในการเปลี่ยนทิศทางและเพิ่มความเร็ว.</t>
  </si>
  <si>
    <t>คุณเห็นว่าเรือของคุณเริ่มไม่เสถียรในน้ำ คุณจะทำอย่างไร?</t>
  </si>
  <si>
    <t>A) ปรับท่าพายเพื่อเสริมความเสถียร; B) พยายามพายให้เร็วขึ้น; C) ปล่อยให้เรือลอยไปตามทิศทาง; D) หยุดพายเรือ</t>
  </si>
  <si>
    <t>A) ปรับท่าพายเพื่อเสริมความเสถียร</t>
  </si>
  <si>
    <t>การปรับท่าพายช่วยให้เรือมีเสถียรภาพและสามารถแข่งขันได้ดีขึ้น.</t>
  </si>
  <si>
    <t>ในระหว่างการแข่งขันมีปัญหากับการประสานงานในทีม คุณจะทำอย่างไร?</t>
  </si>
  <si>
    <t>A) สื่อสารและทำงานร่วมกันเพื่อแก้ไขปัญหา; B) ปล่อยให้ทีมทำตามวิธีของตัวเอง; C) ตำหนิเพื่อนร่วมทีม; D) หลีกเลี่ยงการพูดถึงปัญหา</t>
  </si>
  <si>
    <t>A) สื่อสารและทำงานร่วมกันเพื่อแก้ไขปัญหา</t>
  </si>
  <si>
    <t>การสื่อสารและทำงานร่วมกันช่วยแก้ไขปัญหาที่เกิดขึ้นและเพิ่มประสิทธิภาพในทีม.</t>
  </si>
  <si>
    <t>ในการแข่งขันเรือคุณพบว่าคู่แข่งเริ่มทำผิดพลาด คุณจะทำอย่างไร?</t>
  </si>
  <si>
    <t>A) ใช้โอกาสนี้เพื่อเร่งสปีดและทำคะแนน; B) ปล่อยให้คู่แข่งทำผิดพลาดไป; C) ลดความเร็วและเล่นอย่างปลอดภัย; D) หลีกเลี่ยงการแข่งขัน</t>
  </si>
  <si>
    <t>A) ใช้โอกาสนี้เพื่อเร่งสปีดและทำคะแนน</t>
  </si>
  <si>
    <t>การใช้ข้อผิดพลาดของคู่แข่งเป็นโอกาสช่วยให้ทีมได้เปรียบ.</t>
  </si>
  <si>
    <t>ทีมของคุณประสบปัญหาความเหนื่อยล้า คุณจะทำอย่างไร?</t>
  </si>
  <si>
    <t>A) กระตุ้นทีมให้กลับมามีพลัง; B) ปล่อยให้ทีมทำตามความสะดวก; C) ลดความพยายามและรอให้ทีมฟื้นตัว; D) หยุดพายเรือ</t>
  </si>
  <si>
    <t>A) กระตุ้นทีมให้กลับมามีพลัง</t>
  </si>
  <si>
    <t>การกระตุ้นและให้กำลังใจจะช่วยฟื้นฟูพลังของทีม.</t>
  </si>
  <si>
    <t>ในระหว่างการแข่งขันคุณรู้สึกว่าไม่มีความมั่นใจในตัวเอง คุณจะทำอย่างไร?</t>
  </si>
  <si>
    <t>A) ใช้เวลาสักครู่เพื่อรวบรวมความมั่นใจ; B) ยอมแพ้และหยุดพายเรือ; C) ปล่อยให้เพื่อนร่วมทีมจัดการ; D) พยายามเร่งการพายให้เร็วขึ้น</t>
  </si>
  <si>
    <t>A) ใช้เวลาสักครู่เพื่อรวบรวมความมั่นใจ</t>
  </si>
  <si>
    <t>การทำให้มั่นใจในตัวเองช่วยเพิ่มประสิทธิภาพในการแข่งขัน.</t>
  </si>
  <si>
    <t>คุณเห็นว่าเรือของคุณมีปัญหาเรื่องความเร็ว คุณจะทำอย่างไร?</t>
  </si>
  <si>
    <t>A) ปรับท่าพายให้มีประสิทธิภาพมากขึ้น; B) หยุดและขอให้ผู้ฝึกสอนช่วย; C) พยายามเพิ่มความเร็วโดยไม่คิดถึงท่าพาย; D) ปล่อยให้ทีมทำตามปกติ</t>
  </si>
  <si>
    <t>A) ปรับท่าพายให้มีประสิทธิภาพมากขึ้น</t>
  </si>
  <si>
    <t>การปรับท่าพายช่วยเพิ่มความเร็วโดยไม่เสี่ยงต่อการบาดเจ็บ.</t>
  </si>
  <si>
    <t>คุณรู้สึกว่าทีมของคุณเริ่มเสียสมาธิในการแข่งขัน คุณจะทำอย่างไร?</t>
  </si>
  <si>
    <t>A) ช่วยทีมรวมพลังและกลับสู่โฟกัส; B) ปล่อยให้ทีมแก้ไขปัญหาเอง; C) ลดความพยายามและรอให้การแข่งขันจบลง; D) หลีกเลี่ยงการกระตุ้น</t>
  </si>
  <si>
    <t>A) ช่วยทีมรวมพลังและกลับสู่โฟกัส</t>
  </si>
  <si>
    <t>การรวมพลังและกลับสู่โฟกัสช่วยให้ทีมสามารถกลับมาในเกมได้.</t>
  </si>
  <si>
    <t>ในช่วงกลางการแข่งขันคุณสังเกตว่าเพื่อนร่วมทีมเริ่มเหนื่อย คุณจะทำอย่างไร?</t>
  </si>
  <si>
    <t>A) ให้กำลังใจและขอให้เขาผ่อนคลาย; B) ปล่อยให้เขาพยายามทำต่อไปเอง; C) ลดความเร็วเพื่อไม่ให้เกิดความเหนื่อยล้า; D) พยายามพายเรือให้เร็วขึ้น</t>
  </si>
  <si>
    <t>A) ให้กำลังใจและขอให้เขาผ่อนคลาย</t>
  </si>
  <si>
    <t>การให้กำลังใจช่วยเพื่อนร่วมทีมฟื้นฟูพลังและความมั่นใจ.</t>
  </si>
  <si>
    <t>คุณรู้สึกว่าคุณเริ่มทำพลาดในการแข่งขัน คุณจะทำอย่างไร?</t>
  </si>
  <si>
    <t>A) ขอโทษและพยายามแก้ไขความผิดพลาด; B) หลีกเลี่ยงการพยายามทำให้ดีขึ้น; C) โทษเพื่อนร่วมทีม; D) ยอมแพ้และหยุดการแข่งขัน</t>
  </si>
  <si>
    <t>A) ขอโทษและพยายามแก้ไขความผิดพลาด</t>
  </si>
  <si>
    <t>การยอมรับและแก้ไขข้อผิดพลาดช่วยเสริมสร้างความไว้วางใจในทีม.</t>
  </si>
  <si>
    <t>การแข่งเรือกำลังถึงช่วงที่ท้าทายที่สุด คุณจะทำอย่างไร?</t>
  </si>
  <si>
    <t>A) รักษาสมาธิและทำตามกลยุทธ์; B) รีบเร่งความเร็วเพื่อหนีจากสถานการณ์; C) หลีกเลี่ยงการเพิ่มความพยายาม; D) หยุดพายเรือ</t>
  </si>
  <si>
    <t>A) รักษาสมาธิและทำตามกลยุทธ์</t>
  </si>
  <si>
    <t>การรักษาสมาธิและทำตามกลยุทธ์ช่วยให้ทีมสามารถเผชิญกับสถานการณ์ท้าทายได้.</t>
  </si>
  <si>
    <t>คุณเห็นว่าเพื่อนร่วมทีมมีท่าทางไม่มั่นใจในการพายเรือ คุณจะทำอย่างไร?</t>
  </si>
  <si>
    <t>A) พูดคุยและให้คำแนะนำเพื่อเพิ่มความมั่นใจ; B) ปล่อยให้เขาจัดการความไม่มั่นใจเอง; C) หลีกเลี่ยงการพูดถึงมัน; D) ลดความพยายามในการแข่งขัน</t>
  </si>
  <si>
    <t>A) พูดคุยและให้คำแนะนำเพื่อเพิ่มความมั่นใจ</t>
  </si>
  <si>
    <t>การสนับสนุนและช่วยเหลือเพื่อนร่วมทีมเสริมสร้างความมั่นใจในการแข่งขัน.</t>
  </si>
  <si>
    <t>คุณต้องการเปลี่ยนแปลงกลยุทธ์การพายเรือ แต่ทีมไม่เห็นด้วย คุณจะทำอย่างไร?</t>
  </si>
  <si>
    <t>A) อธิบายเหตุผลและทำงานร่วมกันเพื่อปรับเปลี่ยน; B) ยอมรับและทำตามกลยุทธ์เดิม; C) ปล่อยให้ทีมตัดสินใจเอง; D) หลีกเลี่ยงการพูดถึงเรื่องนี้</t>
  </si>
  <si>
    <t>A) อธิบายเหตุผลและทำงานร่วมกันเพื่อปรับเปลี่ยน</t>
  </si>
  <si>
    <t>การอธิบายเหตุผลและทำงานร่วมกันช่วยให้การปรับกลยุทธ์มีประสิทธิภาพ.</t>
  </si>
  <si>
    <t>ในระหว่างการแข่งขันคุณรู้สึกว่าการประสานงานในทีมไม่ดีเท่าที่ควร คุณจะทำอย่างไร?</t>
  </si>
  <si>
    <t>A) พยายามสื่อสารและปรับปรุงการประสานงาน; B) ปล่อยให้ทีมทำตามวิธีของตัวเอง; C) หลีกเลี่ยงการพูดถึงมัน; D) ลดความพยายามในการแข่งขัน</t>
  </si>
  <si>
    <t>A) พยายามสื่อสารและปรับปรุงการประสานงาน</t>
  </si>
  <si>
    <t>การสื่อสารที่ดีช่วยให้การประสานงานในทีมดีขึ้นและการแข่งขันมีประสิทธิภาพ.</t>
  </si>
  <si>
    <t>ในระหว่างการแข่งขันคุณรู้สึกว่าคุณเริ่มขาดความมั่นใจในทักษะของตัวเอง คุณจะทำอย่างไร?</t>
  </si>
  <si>
    <t>A) ย้อนกลับไปทบทวนการฝึกซ้อมและมุ่งมั่นต่อ; B) หยุดและปล่อยให้ทีมทำงานแทน; C) ปล่อยให้ความไม่มั่นใจส่งผลต่อการเล่น; D) หลีกเลี่ยงการพยายามเพิ่มประสิทธิภาพ</t>
  </si>
  <si>
    <t>A) ย้อนกลับไปทบทวนการฝึกซ้อมและมุ่งมั่นต่อ</t>
  </si>
  <si>
    <t>การทบทวนการฝึกซ้อมช่วยเพิ่มความมั่นใจและประสิทธิภาพ.</t>
  </si>
  <si>
    <t>ทีมของคุณกำลังเผชิญกับสถานการณ์ที่ตึงเครียด คุณจะทำอย่างไร?</t>
  </si>
  <si>
    <t>A) ทำให้ทีมสงบและกระตุ้นให้ทำงานร่วมกัน; B) หลีกเลี่ยงการพูดถึงสถานการณ์นี้; C) ลดความพยายามและรอให้สถานการณ์จบลง; D) โทษเพื่อนร่วมทีม</t>
  </si>
  <si>
    <t>A) ทำให้ทีมสงบและกระตุ้นให้ทำงานร่วมกัน</t>
  </si>
  <si>
    <t>การทำให้ทีมสงบช่วยให้สามารถฝ่าฟันสถานการณ์ตึงเครียดได้.</t>
  </si>
  <si>
    <t>คุณรู้สึกว่าเรือของคุณมีแรงต้านมากเกินไป คุณจะทำอย่างไร?</t>
  </si>
  <si>
    <t>A) ปรับการพายให้เหมาะสมกับแรงต้าน; B) พยายามพายให้เร็วขึ้นเพื่อเอาชนะแรงต้าน; C) หยุดพายเรือทันที; D) ปล่อยให้มันเป็นไปตามธรรมชาติ</t>
  </si>
  <si>
    <t>A) ปรับการพายให้เหมาะสมกับแรงต้าน</t>
  </si>
  <si>
    <t>การปรับกลยุทธ์การพายช่วยเอาชนะแรงต้านได้.</t>
  </si>
  <si>
    <t>ในการแข่งขันคุณพบว่าทีมของคุณเริ่มเหนื่อยล้าอย่างรวดเร็ว คุณจะทำอย่างไร?</t>
  </si>
  <si>
    <t>A) กระตุ้นทีมให้ฟื้นฟูพลังและสู้ต่อ; B) หลีกเลี่ยงการกระตุ้นและปล่อยให้ทุกคนทำตามปกติ; C) ลดความพยายามและรอให้การแข่งขันจบลง; D) หยุดพายเรือ</t>
  </si>
  <si>
    <t>A) กระตุ้นทีมให้ฟื้นฟูพลังและสู้ต่อ</t>
  </si>
  <si>
    <t>การกระตุ้นและฟื้นฟูพลังช่วยให้ทีมสามารถแข่งขันจนถึงจุดสุดท้าย.</t>
  </si>
  <si>
    <t>การแข่งขันกำลังเข้าใกล้ช่วงสุดท้าย คุณจะทำอย่างไรเพื่อเพิ่มความเร็ว?</t>
  </si>
  <si>
    <t>A) เพิ่มความพยายามและรีบเร่งพายให้เร็วที่สุด; B) ลดความพยายามและรักษาความเสถียร; C) พยายามให้ทีมรักษาระดับการพายไว้เหมือนเดิม; D) หลีกเลี่ยงการเพิ่มความเร็ว</t>
  </si>
  <si>
    <t>A) เพิ่มความพยายามและรีบเร่งพายให้เร็วที่สุด</t>
  </si>
  <si>
    <t>การเพิ่มความพยายามในช่วงท้ายช่วยให้ทีมสามารถทำคะแนนได้มากขึ้น.</t>
  </si>
  <si>
    <t>คุณเห็นว่าเพื่อนร่วมทีมเริ่มเหนื่อยล้าในช่วงท้าย คุณจะทำอย่างไร?</t>
  </si>
  <si>
    <t>A) กระตุ้นให้เขาผ่อนคลายและให้กำลังใจ; B) ปล่อยให้เขาพักตามที่ต้องการ; C) ลดความพยายามและรอให้การแข่งขันจบลง; D) พยายามพายให้เร็วขึ้น</t>
  </si>
  <si>
    <t>A) กระตุ้นให้เขาผ่อนคลายและให้กำลังใจ</t>
  </si>
  <si>
    <t>การกระตุ้นช่วยให้เพื่อนร่วมทีมฟื้นฟูพลังและทำงานร่วมกันได้ดีขึ้น.</t>
  </si>
  <si>
    <t>ในระหว่างการแข่งขันคุณสังเกตว่าคู่แข่งใช้กลยุทธ์ใหม่ คุณจะทำอย่างไร?</t>
  </si>
  <si>
    <t>A) ปรับกลยุทธ์ของคุณเพื่อตอบโต้; B) ปล่อยให้คู่แข่งทำตามกลยุทธ์ของตัวเอง; C) หลีกเลี่ยงการเปลี่ยนกลยุทธ์; D) ลดความพยายามในการแข่งขัน</t>
  </si>
  <si>
    <t>A) ปรับกลยุทธ์ของคุณเพื่อตอบโต้</t>
  </si>
  <si>
    <t>การปรับกลยุทธ์ให้เข้ากับสถานการณ์ช่วยให้ทีมสามารถเอาชนะคู่แข่งได้.</t>
  </si>
  <si>
    <t>ในระหว่างการแข่งขันคุณพบว่าเรือของคุณเริ่มมีปัญหาด้านความเสถียร คุณจะทำอย่างไร?</t>
  </si>
  <si>
    <t>A) ปรับท่าพายและหาทางแก้ไขเพื่อให้เรือเสถียรขึ้น; B) พยายามพายให้เร็วขึ้น; C) หยุดพายและขอความช่วยเหลือ; D) ปล่อยให้เรือเคลื่อนที่ไปตามทาง</t>
  </si>
  <si>
    <t>A) ปรับท่าพายและหาทางแก้ไขเพื่อให้เรือเสถียรขึ้น</t>
  </si>
  <si>
    <t>การปรับท่าพายช่วยให้เรือมีความเสถียรและคงความเร็วได้ดี.</t>
  </si>
  <si>
    <t>คุณรู้สึกว่าทีมของคุณขาดความสามัคคี คุณจะทำอย่างไร?</t>
  </si>
  <si>
    <t>A) สื่อสารและทำงานร่วมกันเพื่อเสริมสร้างความสามัคคี; B) ปล่อยให้ทีมทำงานตามวิธีของตัวเอง; C) ลดความพยายามและรอให้การแข่งขันจบลง; D) หลีกเลี่ยงการพูดถึงปัญหา</t>
  </si>
  <si>
    <t>A) สื่อสารและทำงานร่วมกันเพื่อเสริมสร้างความสามัคคี</t>
  </si>
  <si>
    <t>การทำงานร่วมกันและสื่อสารจะช่วยเสริมสร้างความสามัคคีในทีม.</t>
  </si>
  <si>
    <t>คุณสังเกตเห็นว่ามีความผิดพลาดในท่าพายของคุณ คุณจะทำอย่างไร?</t>
  </si>
  <si>
    <t>A) ปรับท่าพายและลองใหม่; B) หลีกเลี่ยงการปรับท่าพายและพยายามพายต่อไป; C) ลดความเร็วลง; D) แจ้งผู้ฝึกสอน</t>
  </si>
  <si>
    <t>A) ปรับท่าพายและลองใหม่</t>
  </si>
  <si>
    <t>การปรับท่าพายช่วยให้คุณสามารถเพิ่มประสิทธิภาพและความเร็วได้.</t>
  </si>
  <si>
    <t>คุณพบว่าเรือของคุณเริ่มเสียสมดุลระหว่างการแข่งขัน คุณจะทำอย่างไร?</t>
  </si>
  <si>
    <t>A) ปรับท่าพายเพื่อเพิ่มความเสถียร; B) พยายามพายให้เร็วขึ้นโดยไม่คิดถึงความเสถียร; C) หยุดพายเรือ; D) สั่งให้ทีมทำการปรับสมดุล</t>
  </si>
  <si>
    <t>A) ปรับท่าพายเพื่อเพิ่มความเสถียร</t>
  </si>
  <si>
    <t>การปรับท่าพายช่วยให้เรือมีความเสถียรและสามารถควบคุมได้ดีขึ้น.</t>
  </si>
  <si>
    <t>ทีมของคุณเริ่มเสียแรงจูงใจในระหว่างการแข่งขัน คุณจะทำอย่างไร?</t>
  </si>
  <si>
    <t>A) กระตุ้นทีมและทำงานร่วมกันเพื่อฟื้นฟูพลัง; B) ปล่อยให้ทีมพยายามทำเอง; C) ลดความพยายามและเล่นแบบไม่สนใจ; D) หลีกเลี่ยงการพูดถึงปัญหานี้</t>
  </si>
  <si>
    <t>A) กระตุ้นทีมและทำงานร่วมกันเพื่อฟื้นฟูพลัง</t>
  </si>
  <si>
    <t>การกระตุ้นทีมจะช่วยให้กลับมามีพลังและสามารถทำงานได้อย่างมีประสิทธิภาพ.</t>
  </si>
  <si>
    <t>ในระหว่างการแข่งขันคุณเห็นว่าทีมของคุณมีการประสานงานไม่ดี คุณจะทำอย่างไร?</t>
  </si>
  <si>
    <t>A) สื่อสารและปรับการประสานงาน; B) ปล่อยให้ทีมทำตามวิธีของตัวเอง; C) หลีกเลี่ยงการสื่อสารเพื่อไม่ให้เกิดความขัดแย้ง; D) ลดความพยายามในการแข่งขัน</t>
  </si>
  <si>
    <t>A) สื่อสารและปรับการประสานงาน</t>
  </si>
  <si>
    <t>การสื่อสารและทำงานร่วมกันจะช่วยให้ทีมมีประสิทธิภาพในการแข่งขัน.</t>
  </si>
  <si>
    <t>คุณรู้สึกว่าเรือของคุณเริ่มช้าลงเมื่อเทียบกับคู่แข่ง คุณจะทำอย่างไร?</t>
  </si>
  <si>
    <t>A) ปรับท่าพายและพยายามเพิ่มความเร็ว; B) หยุดพายเรือเพื่อประเมินสถานการณ์; C) ลดความพยายามและรอให้คู่แข่งทำผิดพลาด; D) ปล่อยให้เรือเคลื่อนที่ไปตามทาง</t>
  </si>
  <si>
    <t>A) ปรับท่าพายและพยายามเพิ่มความเร็ว</t>
  </si>
  <si>
    <t>การปรับท่าพายช่วยเพิ่มประสิทธิภาพและความเร็วในการแข่งขัน.</t>
  </si>
  <si>
    <t>คุณสังเกตว่าเพื่อนร่วมทีมเริ่มแสดงอาการเหนื่อยล้าในระหว่างการแข่งขัน คุณจะทำอย่างไร?</t>
  </si>
  <si>
    <t>A) กระตุ้นให้เขาผ่อนคลายและให้กำลังใจ; B) ปล่อยให้เขาพักตามที่ต้องการ; C) ลดความพยายามในการแข่งขัน; D) หลีกเลี่ยงการช่วยเหลือเขา</t>
  </si>
  <si>
    <t>การให้กำลังใจและการช่วยเหลือสามารถเพิ่มพลังและความมุ่งมั่นให้กับเพื่อนร่วมทีม.</t>
  </si>
  <si>
    <t>การแข่งขันเรือกำลังถึงช่วงสุดท้าย คุณจะทำอย่างไรเพื่อไม่ให้ทีมล้มเหลว?</t>
  </si>
  <si>
    <t>A) รักษาความมุ่งมั่นและเพิ่มความพยายาม; B) หลีกเลี่ยงความเสี่ยงและเล่นอย่างระมัดระวัง; C) ลดความพยายามและรักษาสมดุล; D) หยุดพายเรือ</t>
  </si>
  <si>
    <t>A) รักษาความมุ่งมั่นและเพิ่มความพยายาม</t>
  </si>
  <si>
    <t>การรักษาความมุ่งมั่นและเพิ่มความพยายามในช่วงท้ายช่วยให้ทีมสามารถต่อสู้จนถึงที่สุด.</t>
  </si>
  <si>
    <t>คุณเห็นว่าทีมของคุณไม่สามารถประสานงานได้ดีในการแข่งขัน คุณจะทำอย่างไร?</t>
  </si>
  <si>
    <t>A) พยายามสื่อสารและปรับกลยุทธ์; B) ปล่อยให้ทีมทำตามวิธีของตัวเอง; C) ลดความพยายามในการแข่งขัน; D) หลีกเลี่ยงการพูดถึงปัญหา</t>
  </si>
  <si>
    <t>A) พยายามสื่อสารและปรับกลยุทธ์</t>
  </si>
  <si>
    <t>การปรับกลยุทธ์และการสื่อสารช่วยให้ทีมสามารถกลับมาแข็งแกร่งได้.</t>
  </si>
  <si>
    <t>ในการแข่งขันคู่แข่งพยายามใช้กลยุทธ์ใหม่ คุณจะทำอย่างไร?</t>
  </si>
  <si>
    <t>A) ปรับกลยุทธ์ของคุณเพื่อรับมือกับกลยุทธ์ใหม่; B) ปล่อยให้คู่แข่งทำตามกลยุทธ์ของตัวเอง; C) ลดความพยายามในการแข่งขัน; D) หลีกเลี่ยงการปรับกลยุทธ์</t>
  </si>
  <si>
    <t>A) ปรับกลยุทธ์ของคุณเพื่อรับมือกับกลยุทธ์ใหม่</t>
  </si>
  <si>
    <t>การปรับกลยุทธ์ให้เหมาะสมช่วยให้ทีมสามารถรับมือกับคู่แข่งได้ดีขึ้น.</t>
  </si>
  <si>
    <t>ทีมของคุณเริ่มทำผิดพลาดซ้ำๆ คุณจะทำอย่างไร?</t>
  </si>
  <si>
    <t>A) ช่วยแก้ไขข้อผิดพลาดและทำงานร่วมกัน; B) ปล่อยให้ทีมทำตามวิธีของตัวเอง; C) หลีกเลี่ยงการพูดถึงข้อผิดพลาด; D) ลดความพยายามในการแข่งขัน</t>
  </si>
  <si>
    <t>A) ช่วยแก้ไขข้อผิดพลาดและทำงานร่วมกัน</t>
  </si>
  <si>
    <t>การช่วยกันแก้ไขข้อผิดพลาดช่วยให้ทีมสามารถพัฒนากลยุทธ์ได้ดีขึ้น.</t>
  </si>
  <si>
    <t>คุณสังเกตเห็นว่าเพื่อนร่วมทีมมีความไม่มั่นใจในทักษะของตัวเอง คุณจะทำอย่างไร?</t>
  </si>
  <si>
    <t>A) พูดคุยและให้คำแนะนำเพื่อเพิ่มความมั่นใจ; B) ปล่อยให้เขาทำตามที่ต้องการ; C) หลีกเลี่ยงการพูดถึงมัน; D) ลดความพยายามในการแข่งขัน</t>
  </si>
  <si>
    <t>การให้คำแนะนำและช่วยเหลือเพื่อนร่วมทีมเสริมสร้างความมั่นใจ.</t>
  </si>
  <si>
    <t>การแข่งขันกำลังอยู่ในช่วงสุดท้าย คุณจะทำอย่างไรเพื่อเพิ่มโอกาสในการชนะ?</t>
  </si>
  <si>
    <t>A) เพิ่มความพยายามและไม่ยอมแพ้; B) ลดความพยายามและปล่อยให้ทีมทำตามวิธีเดิม; C) พยายามรักษาระดับความเร็วเท่าเดิม; D) หลีกเลี่ยงการเสี่ยง</t>
  </si>
  <si>
    <t>A) เพิ่มความพยายามและไม่ยอมแพ้</t>
  </si>
  <si>
    <t>การเพิ่มความพยายามในช่วงท้ายช่วยเพิ่มโอกาสในการชนะ.</t>
  </si>
  <si>
    <t>ทีมของคุณเริ่มรู้สึกเหนื่อยล้า คุณจะทำอย่างไร?</t>
  </si>
  <si>
    <t>A) กระตุ้นและสร้างแรงบันดาลใจให้ทีม; B) ปล่อยให้ทีมทำตามวิธีของตัวเอง; C) ลดความพยายามในการแข่งขัน; D) หลีกเลี่ยงการกระตุ้น</t>
  </si>
  <si>
    <t>A) กระตุ้นและสร้างแรงบันดาลใจให้ทีม</t>
  </si>
  <si>
    <t>การกระตุ้นทีมจะช่วยให้ทีมสามารถฟื้นฟูพลังและทำงานได้อย่างมีประสิทธิภาพ.</t>
  </si>
  <si>
    <t>คุณเห็นว่าเรือของคุณมีการเคลื่อนไหวที่ไม่เสถียร คุณจะทำอย่างไร?</t>
  </si>
  <si>
    <t>A) ปรับท่าพายเพื่อเพิ่มเสถียรภาพ; B) พยายามพายให้เร็วขึ้น; C) หยุดพายเรือและขอคำแนะนำ; D) ปล่อยให้เรือเคลื่อนที่ไปตามทาง</t>
  </si>
  <si>
    <t>A) ปรับท่าพายเพื่อเพิ่มเสถียรภาพ</t>
  </si>
  <si>
    <t>การปรับท่าพายช่วยให้เรือมีเสถียรภาพและการควบคุมดีขึ้น.</t>
  </si>
  <si>
    <t>คุณสังเกตเห็นว่าทีมของคุณเริ่มสูญเสียสมาธิในระหว่างการแข่งขัน คุณจะทำอย่างไร?</t>
  </si>
  <si>
    <t>A) กระตุ้นให้ทีมฟื้นฟูสมาธิและกลับสู่การเล่น; B) ปล่อยให้ทีมทำตามวิธีของตัวเอง; C) หลีกเลี่ยงการพูดถึงปัญหานี้; D) ลดความพยายามในการแข่งขัน</t>
  </si>
  <si>
    <t>A) กระตุ้นให้ทีมฟื้นฟูสมาธิและกลับสู่การเล่น</t>
  </si>
  <si>
    <t>การกระตุ้นให้ทีมกลับมามีสมาธิช่วยเพิ่มประสิทธิภาพในการแข่งขัน.</t>
  </si>
  <si>
    <t>คุณพบว่าทีมของคุณเริ่มประสบปัญหาด้านการสื่อสาร คุณจะทำอย่างไร?</t>
  </si>
  <si>
    <t>A) พยายามปรับปรุงการสื่อสารภายในทีม; B) ปล่อยให้ทีมทำตามวิธีของตัวเอง; C) หลีกเลี่ยงการพูดถึงปัญหานี้; D) ลดความพยายามในการแข่งขัน</t>
  </si>
  <si>
    <t>A) พยายามปรับปรุงการสื่อสารภายในทีม</t>
  </si>
  <si>
    <t>การสื่อสารที่ดีช่วยให้ทีมสามารถทำงานร่วมกันได้มีประสิทธิภาพ.</t>
  </si>
  <si>
    <t>การแข่งขันใกล้จบและคุณต้องการเพิ่มพลังให้ทีม คุณจะทำอย่างไร?</t>
  </si>
  <si>
    <t>A) กระตุ้นทีมและเพิ่มพลังในการแข่งขัน; B) ลดความพยายามและรอให้การแข่งขันจบลง; C) หลีกเลี่ยงการกระตุ้นเพื่อไม่ให้เกิดความเครียด; D) ให้ทีมผ่อนคลายและรอผลการแข่งขัน</t>
  </si>
  <si>
    <t>A) กระตุ้นทีมและเพิ่มพลังในการแข่งขัน</t>
  </si>
  <si>
    <t>การกระตุ้นทีมในช่วงท้ายช่วยเพิ่มแรงบันดาลใจและพลังในการแข่งขัน.</t>
  </si>
  <si>
    <t>คุณรู้สึกว่าทีมของคุณขาดความร่วมมือ คุณจะทำอย่างไร?</t>
  </si>
  <si>
    <t>A) สื่อสารและทำงานร่วมกันเพื่อเสริมสร้างความร่วมมือ; B) ปล่อยให้ทีมทำตามวิธีของตัวเอง; C) หลีกเลี่ยงการพูดถึงปัญหานี้; D) ลดความพยายามในการแข่งขัน</t>
  </si>
  <si>
    <t>A) สื่อสารและทำงานร่วมกันเพื่อเสริมสร้างความร่วมมือ</t>
  </si>
  <si>
    <t>การทำงานร่วมกันจะช่วยให้ทีมสามารถเสริมสร้างความร่วมมือและประสบความสำเร็จได้.</t>
  </si>
  <si>
    <t>ทีมของคุณมีผู้เล่นที่ไม่เข้าใจบทบาทของตน คุณจะทำอย่างไร?</t>
  </si>
  <si>
    <t>A) อธิบายบทบาทของแต่ละคนให้ชัดเจน; B) ปล่อยให้ผู้เล่นทำตามที่ต้องการ; C) หลีกเลี่ยงการพูดถึงบทบาท; D) ลดความพยายามในการแข่งขัน</t>
  </si>
  <si>
    <t>A) อธิบายบทบาทของแต่ละคนให้ชัดเจน</t>
  </si>
  <si>
    <t>การอธิบายบทบาทให้ชัดเจนช่วยให้ผู้เล่นรู้บทบาทของตัวเองและทำงานร่วมกันได้ดีขึ้น.</t>
  </si>
  <si>
    <t>ในระหว่างการแข่งขันคุณพบว่าเรือของคุณเสียสมดุล คุณจะทำอย่างไร?</t>
  </si>
  <si>
    <t>A) ปรับท่าพายและหาทางทำให้เรือเสถียรขึ้น; B) พยายามพายให้เร็วขึ้น; C) หยุดพายและขอความช่วยเหลือ; D) ปล่อยให้เรือเคลื่อนที่ไปตามทาง</t>
  </si>
  <si>
    <t>A) ปรับท่าพายและหาทางทำให้เรือเสถียรขึ้น</t>
  </si>
  <si>
    <t>การปรับท่าพายช่วยให้เรือกลับมาเสถียรและทำให้สามารถแข่งขันได้ดียิ่งขึ้น.</t>
  </si>
  <si>
    <t>คุณรู้สึกว่าเพื่อนร่วมทีมทำผิดพลาดบ่อยๆ ในระหว่างการแข่งขัน คุณจะทำอย่างไร?</t>
  </si>
  <si>
    <t>A) ช่วยเขาแก้ไขข้อผิดพลาด; B) ตำหนิเขาดังๆ; C) ปล่อยให้เขาทำเอง; D) หลีกเลี่ยงการพูดถึงปัญหานี้</t>
  </si>
  <si>
    <t>A) ช่วยเขาแก้ไขข้อผิดพลาด</t>
  </si>
  <si>
    <t>การช่วยเพื่อนร่วมทีมแก้ไขข้อผิดพลาดจะทำให้ทีมแข็งแกร่งขึ้น.</t>
  </si>
  <si>
    <t>ทีมของคุณเริ่มเสียสมาธิในช่วงกลางการแข่งขัน คุณจะทำอย่างไร?</t>
  </si>
  <si>
    <t>A) กระตุ้นให้ทีมกลับมามีสมาธิและเพิ่มความพยายาม; B) ปล่อยให้ทีมทำตามวิธีของตัวเอง; C) หลีกเลี่ยงการกระตุ้น; D) ลดความพยายามในการแข่งขัน</t>
  </si>
  <si>
    <t>A) กระตุ้นให้ทีมกลับมามีสมาธิและเพิ่มความพยายาม</t>
  </si>
  <si>
    <t>การกระตุ้นทีมให้กลับมามีสมาธิจะช่วยให้ทีมกลับมาแข็งแกร่งขึ้น.</t>
  </si>
  <si>
    <t>คุณรู้สึกว่าเรือของคุณลื่นและไม่เสถียรในระหว่างการแข่งขัน คุณจะทำอย่างไร?</t>
  </si>
  <si>
    <t>A) ปรับท่าพายเพื่อให้เรือเสถียรขึ้น; B) พยายามพายให้เร็วขึ้น; C) หยุดพายและขอความช่วยเหลือ; D) ปล่อยให้เรือเคลื่อนที่ไปตามทาง</t>
  </si>
  <si>
    <t>A) ปรับท่าพายเพื่อให้เรือเสถียรขึ้น</t>
  </si>
  <si>
    <t>การปรับท่าพายจะช่วยเพิ่มความเสถียรและการควบคุมของเรือ.</t>
  </si>
  <si>
    <t>คู่แข่งพยายามใช้กลยุทธ์ใหม่ที่คุณไม่เคยเจอมาก่อน คุณจะทำอย่างไร?</t>
  </si>
  <si>
    <t>A) ปรับกลยุทธ์ของคุณเพื่อตอบโต้; B) ปล่อยให้คู่แข่งใช้กลยุทธ์ของตัวเอง; C) หลีกเลี่ยงการเปลี่ยนกลยุทธ์; D) ลดความพยายามในการแข่งขัน</t>
  </si>
  <si>
    <t>การปรับกลยุทธ์ให้เหมาะสมช่วยให้คุณสามารถรับมือกับคู่แข่งได้ดีขึ้น.</t>
  </si>
  <si>
    <t>คุณสังเกตว่าเพื่อนร่วมทีมมีท่าทางไม่มั่นใจ คุณจะทำอย่างไร?</t>
  </si>
  <si>
    <t>การให้คำแนะนำจะช่วยเพิ่มความมั่นใจและพัฒนาการเล่น.</t>
  </si>
  <si>
    <t>ในช่วงสุดท้ายของการแข่งขันคุณรู้สึกว่าเรือเริ่มช้าลง คุณจะทำอย่างไร?</t>
  </si>
  <si>
    <t>A) พยายามเพิ่มความเร็วด้วยการปรับท่าพาย; B) ลดความพยายามและพายให้ช้าลง; C) หยุดพายและขอคำแนะนำ; D) รักษาความเร็วเดิม</t>
  </si>
  <si>
    <t>A) พยายามเพิ่มความเร็วด้วยการปรับท่าพาย</t>
  </si>
  <si>
    <t>การปรับท่าพายช่วยเพิ่มความเร็วและประสิทธิภาพในการแข่งขัน.</t>
  </si>
  <si>
    <t>คุณเห็นว่าเรือของคุณไม่เสถียรในระหว่างการแข่งขัน คุณจะทำอย่างไร?</t>
  </si>
  <si>
    <t>การปรับท่าพายจะช่วยให้เรือมีความเสถียรและควบคุมได้ดีขึ้น.</t>
  </si>
  <si>
    <t>ทีมของคุณเริ่มรู้สึกเหนื่อยล้าในช่วงท้ายของการแข่งขัน คุณจะทำอย่างไร?</t>
  </si>
  <si>
    <t>A) กระตุ้นทีมให้ฟื้นฟูพลังและเพิ่มความพยายาม; B) ปล่อยให้ทีมทำตามวิธีของตัวเอง; C) ลดความพยายามในการแข่งขัน; D) หลีกเลี่ยงการกระตุ้น</t>
  </si>
  <si>
    <t>A) กระตุ้นทีมให้ฟื้นฟูพลังและเพิ่มความพยายาม</t>
  </si>
  <si>
    <t>การกระตุ้นทีมในช่วงท้ายจะช่วยเพิ่มพลังและความมุ่งมั่น.</t>
  </si>
  <si>
    <t>คุณพบว่ามีสมาชิกในทีมเริ่มทำผิดพลาดซ้ำๆ คุณจะทำอย่างไร?</t>
  </si>
  <si>
    <t>A) ให้คำแนะนำและช่วยเหลือเขา; B) ตำหนิเขาดังๆ; C) ปล่อยให้เขาทำเอง; D) หลีกเลี่ยงการพูดถึงมัน</t>
  </si>
  <si>
    <t>A) ให้คำแนะนำและช่วยเหลือเขา</t>
  </si>
  <si>
    <t>การช่วยเหลือและให้คำแนะนำช่วยให้ทีมมีความร่วมมือและประสบความสำเร็จ.</t>
  </si>
  <si>
    <t>ทีมของคุณเริ่มทำผิดพลาดซ้ำๆ ในระหว่างการแข่งขัน คุณจะทำอย่างไร?</t>
  </si>
  <si>
    <t>A) ทำงานร่วมกันเพื่อแก้ไขข้อผิดพลาด; B) ปล่อยให้ทีมทำตามวิธีของตัวเอง; C) หลีกเลี่ยงการพูดถึงปัญหา; D) ลดความพยายามในการแข่งขัน</t>
  </si>
  <si>
    <t>A) ทำงานร่วมกันเพื่อแก้ไขข้อผิดพลาด</t>
  </si>
  <si>
    <t>การร่วมมือกันในการแก้ไขข้อผิดพลาดช่วยให้ทีมสามารถกลับมาแข็งแกร่งขึ้น.</t>
  </si>
  <si>
    <t>คุณเห็นว่าเพื่อนร่วมทีมเริ่มแสดงอาการเครียด คุณจะทำอย่างไร?</t>
  </si>
  <si>
    <t>A) พูดคุยและช่วยเหลือเพื่อลดความเครียด; B) ปล่อยให้เขาทำตามวิธีของตัวเอง; C) หลีกเลี่ยงการพูดถึงมัน; D) ลดความพยายามในการแข่งขัน</t>
  </si>
  <si>
    <t>A) พูดคุยและช่วยเหลือเพื่อลดความเครียด</t>
  </si>
  <si>
    <t>การพูดคุยและการช่วยเหลือสามารถลดความเครียดและทำให้ทีมกลับมามีพลัง.</t>
  </si>
  <si>
    <t>A) สื่อสารและทำงานร่วมกันเพื่อเสริมสร้างความสามัคคี; B) ปล่อยให้ทีมทำตามวิธีของตัวเอง; C) หลีกเลี่ยงการพูดถึงปัญหานี้; D) ลดความพยายามในการแข่งขัน</t>
  </si>
  <si>
    <t>การสื่อสารและทำงานร่วมกันจะช่วยเสริมสร้างความสามัคคีในทีม.</t>
  </si>
  <si>
    <t>ในการแข่งขันคุณรู้สึกว่าเรือของคุณไม่มีเสถียรภาพ คุณจะทำอย่างไร?</t>
  </si>
  <si>
    <t>A) ปรับท่าพายเพื่อเพิ่มเสถียรภาพ; B) พยายามพายให้เร็วขึ้น; C) หยุดพายและขอความช่วยเหลือ; D) ปล่อยให้เรือเคลื่อนที่ไปตามทาง</t>
  </si>
  <si>
    <t>การปรับท่าพายเพื่อเพิ่มเสถียรภาพจะช่วยให้เรือควบคุมได้ดียิ่งขึ้น.</t>
  </si>
  <si>
    <t>ทีมของคุณมีอาการเหนื่อยล้าในช่วงกลางการแข่งขัน คุณจะทำอย่างไร?</t>
  </si>
  <si>
    <t>A) กระตุ้นให้ทีมพักและฟื้นฟูพลัง; B) ปล่อยให้ทีมทำตามวิธีของตัวเอง; C) ลดความพยายามในการแข่งขัน; D) หลีกเลี่ยงการพูดถึงปัญหานี้</t>
  </si>
  <si>
    <t>A) กระตุ้นให้ทีมพักและฟื้นฟูพลัง</t>
  </si>
  <si>
    <t>การกระตุ้นและให้ทีมพักจะช่วยเพิ่มพลังและความสดชื่น.</t>
  </si>
  <si>
    <t>คุณเห็นว่าเรือของคุณเริ่มช้าลงในช่วงท้ายของการแข่งขัน คุณจะทำอย่างไร?</t>
  </si>
  <si>
    <t>A) ปรับท่าพายเพื่อเพิ่มความเร็ว; B) พยายามพายให้เร็วขึ้นโดยไม่คิดถึงการควบคุม; C) หยุดพายและขอคำแนะนำ; D) ลดความพยายามและรอให้การแข่งขันจบลง</t>
  </si>
  <si>
    <t>A) ปรับท่าพายเพื่อเพิ่มความเร็ว</t>
  </si>
  <si>
    <t>การปรับท่าพายจะช่วยเพิ่มประสิทธิภาพในการแข่งขัน.</t>
  </si>
  <si>
    <t>ทีมของคุณเริ่มประสบปัญหาด้านการสื่อสาร คุณจะทำอย่างไร?</t>
  </si>
  <si>
    <t>การสื่อสารที่ดีช่วยให้ทีมทำงานร่วมกันได้มีประสิทธิภาพ.</t>
  </si>
  <si>
    <t>ในระหว่างการแข่งขันคู่แข่งเริ่มใช้กลยุทธ์ใหม่ คุณจะทำอย่างไร?</t>
  </si>
  <si>
    <t>A) ปรับกลยุทธ์ของคุณเพื่อรับมือ; B) ปล่อยให้คู่แข่งใช้กลยุทธ์ของตัวเอง; C) หลีกเลี่ยงการเปลี่ยนแปลงกลยุทธ์; D) ลดความพยายามในการแข่งขัน</t>
  </si>
  <si>
    <t>A) ปรับกลยุทธ์ของคุณเพื่อรับมือ</t>
  </si>
  <si>
    <t>เพื่อนร่วมทีมมีอาการบาดเจ็บเล็กน้อยในระหว่างการแข่งขัน คุณจะทำอย่างไร?</t>
  </si>
  <si>
    <t>A) ขอให้เขาพักและตรวจสอบอาการ; B) ปล่อยให้เขาเล่นต่อ; C) หลีกเลี่ยงการพูดถึงอาการบาดเจ็บ; D) ลดความพยายามในการแข่งขัน</t>
  </si>
  <si>
    <t>A) ขอให้เขาพักและตรวจสอบอาการ</t>
  </si>
  <si>
    <t>การดูแลเพื่อนร่วมทีมจะช่วยให้เขาฟื้นตัวและกลับมาเล่นได้เร็วขึ้น.</t>
  </si>
  <si>
    <t>ทีมของคุณทำการเปลี่ยนตัวผู้เล่นในระหว่างการแข่งขัน คุณจะทำอย่างไร?</t>
  </si>
  <si>
    <t>A) ให้กำลังใจผู้เล่นใหม่และช่วยเขาปรับตัว; B) ปล่อยให้เขาทำตามที่ต้องการ; C) หลีกเลี่ยงการพูดถึงการเปลี่ยนตัว; D) ลดความพยายามในการแข่งขัน</t>
  </si>
  <si>
    <t>A) ให้กำลังใจผู้เล่นใหม่และช่วยเขาปรับตัว</t>
  </si>
  <si>
    <t>การสนับสนุนผู้เล่นใหม่จะช่วยให้เขาทำผลงานได้ดีขึ้น.</t>
  </si>
  <si>
    <t>คุณสังเกตว่าเรือของคุณเริ่มหมุนเบี่ยงไปข้างหนึ่ง คุณจะทำอย่างไร?</t>
  </si>
  <si>
    <t>A) ปรับท่าพายเพื่อทำให้เรือกลับมาตรง; B) พยายามพายให้เร็วขึ้น; C) หยุดพายและขอความช่วยเหลือ; D) ปล่อยให้เรือเคลื่อนที่ไปตามทาง</t>
  </si>
  <si>
    <t>A) ปรับท่าพายเพื่อทำให้เรือกลับมาตรง</t>
  </si>
  <si>
    <t>การปรับท่าพายช่วยให้เรือกลับมาอยู่ในเส้นทางที่ตรง.</t>
  </si>
  <si>
    <t>คุณพบว่าเรือของคุณเริ่มเอียงไปข้างหนึ่งในระหว่างการแข่งขัน คุณจะทำอย่างไร?</t>
  </si>
  <si>
    <t>A) ปรับท่าพายให้สมดุลเพื่อทำให้เรือกลับมาทรงตัว; B) พยายามพายให้เร็วขึ้น; C) หยุดพายและขอความช่วยเหลือ; D) ปล่อยให้เรือเคลื่อนที่ไปตามทาง</t>
  </si>
  <si>
    <t>A) ปรับท่าพายให้สมดุลเพื่อทำให้เรือกลับมาทรงตัว</t>
  </si>
  <si>
    <t>การปรับท่าพายจะช่วยให้เรือคงความเสถียรและเพิ่มประสิทธิภาพในการแข่งขัน.</t>
  </si>
  <si>
    <t>คุณเห็นว่าเพื่อนร่วมทีมของคุณเริ่มเสียสมาธิ คุณจะทำอย่างไร?</t>
  </si>
  <si>
    <t>A) กระตุ้นให้เขากลับมามีสมาธิ; B) ปล่อยให้เขาทำตามวิธีของตัวเอง; C) หลีกเลี่ยงการพูดถึงมัน; D) ลดความพยายามในการแข่งขัน</t>
  </si>
  <si>
    <t>A) กระตุ้นให้เขากลับมามีสมาธิ</t>
  </si>
  <si>
    <t>การกระตุ้นเพื่อนร่วมทีมจะช่วยให้เขากลับมามีสมาธิและเพิ่มประสิทธิภาพในการแข่งขัน.</t>
  </si>
  <si>
    <t>คุณรู้สึกว่าเรือของคุณเสียสมดุลในระหว่างการแข่งขัน คุณจะทำอย่างไร?</t>
  </si>
  <si>
    <t>A) ปรับท่าพายเพื่อเพิ่มเสถียรภาพของเรือ; B) พยายามพายให้เร็วขึ้น; C) หยุดพายและขอความช่วยเหลือ; D) ปล่อยให้เรือเคลื่อนที่ไปตามทาง</t>
  </si>
  <si>
    <t>A) ปรับท่าพายเพื่อเพิ่มเสถียรภาพของเรือ</t>
  </si>
  <si>
    <t>การปรับท่าพายจะช่วยให้เรือมีเสถียรภาพและทำให้สามารถแข่งขันได้ดีขึ้น.</t>
  </si>
  <si>
    <t>ทีมของคุณต้องการการเปลี่ยนแปลงในกลยุทธ์ คุณจะทำอย่างไร?</t>
  </si>
  <si>
    <t>A) ปรับกลยุทธ์เพื่อให้เหมาะสมกับสถานการณ์; B) ปล่อยให้ทีมทำตามวิธีของตัวเอง; C) หลีกเลี่ยงการเปลี่ยนแปลงกลยุทธ์; D) ลดความพยายามในการแข่งขัน</t>
  </si>
  <si>
    <t>A) ปรับกลยุทธ์เพื่อให้เหมาะสมกับสถานการณ์</t>
  </si>
  <si>
    <t>การปรับกลยุทธ์ให้เหมาะสมจะช่วยให้ทีมสามารถรับมือกับสถานการณ์ต่างๆ ได้ดีขึ้น.</t>
  </si>
  <si>
    <t>คุณเห็นว่าเพื่อนร่วมทีมเริ่มทำผิดพลาดหลายครั้งในระหว่างการแข่งขัน คุณจะทำอย่างไร?</t>
  </si>
  <si>
    <t>การช่วยเหลือเพื่อนร่วมทีมจะทำให้ทีมมีความแข็งแกร่งและสามารถพัฒนาไปพร้อมกัน.</t>
  </si>
  <si>
    <t>ในระหว่างการแข่งขันคุณเห็นว่าเรือของคุณไม่เสถียร คุณจะทำอย่างไร?</t>
  </si>
  <si>
    <t>A) ปรับท่าพายเพื่อเพิ่มความเสถียร; B) พยายามพายให้เร็วขึ้น; C) หยุดพายและขอคำแนะนำ; D) ปล่อยให้เรือเคลื่อนที่ไปตามทาง</t>
  </si>
  <si>
    <t>การปรับท่าพายจะช่วยเพิ่มความเสถียรและการควบคุมเรือ.</t>
  </si>
  <si>
    <t>คุณสังเกตว่าเพื่อนร่วมทีมมีความเครียดในระหว่างการแข่งขัน คุณจะทำอย่างไร?</t>
  </si>
  <si>
    <t>A) พูดคุยและให้กำลังใจเพื่อลดความเครียด; B) ปล่อยให้เขาทำตามวิธีของตัวเอง; C) หลีกเลี่ยงการพูดถึงความเครียด; D) ลดความพยายามในการแข่งขัน</t>
  </si>
  <si>
    <t>A) พูดคุยและให้กำลังใจเพื่อลดความเครียด</t>
  </si>
  <si>
    <t>การพูดคุยและให้กำลังใจจะช่วยลดความเครียดและเพิ่มพลังใจให้กับเพื่อนร่วมทีม.</t>
  </si>
  <si>
    <t>ทีมของคุณเริ่มขาดความสามัคคี คุณจะทำอย่างไร?</t>
  </si>
  <si>
    <t>การทำงานร่วมกันจะช่วยเสริมสร้างความสามัคคีและประสิทธิภาพในทีม.</t>
  </si>
  <si>
    <t>ในช่วงท้ายของการแข่งขันคุณเริ่มรู้สึกว่าเรือของคุณช้าลง คุณจะทำอย่างไร?</t>
  </si>
  <si>
    <t>A) ปรับท่าพายเพื่อเพิ่มความเร็ว; B) พยายามพายให้เร็วขึ้น; C) หยุดพายและขอคำแนะนำ; D) ลดความพยายามและรอให้การแข่งขันจบลง</t>
  </si>
  <si>
    <t>การปรับท่าพายให้เหมาะสมจะช่วยเพิ่มความเร็วของเรือ.</t>
  </si>
  <si>
    <t>คุณเห็นว่าเรือของคุณเริ่มเอียงไปข้างหนึ่งในระหว่างการแข่งขัน คุณจะทำอย่างไร?</t>
  </si>
  <si>
    <t>การปรับท่าพายจะช่วยให้เรืออยู่ในเส้นทางที่ตรงและมั่นคง.</t>
  </si>
  <si>
    <t>การสื่อสารที่ดีช่วยให้ทีมทำงานร่วมกันได้อย่างมีประสิทธิภาพ.</t>
  </si>
  <si>
    <t>ในระหว่างการแข่งขันคุณเห็นว่าทีมของคุณเริ่มทำผิดพลาดซ้ำๆ คุณจะทำอย่างไร?</t>
  </si>
  <si>
    <t>A) ทำงานร่วมกันเพื่อแก้ไขข้อผิดพลาด; B) ปล่อยให้ทีมทำตามวิธีของตัวเอง; C) หลีกเลี่ยงการพูดถึงปัญหานี้; D) ลดความพยายามในการแข่งขัน</t>
  </si>
  <si>
    <t>การร่วมมือกันเพื่อแก้ไขข้อผิดพลาดช่วยให้ทีมสามารถกลับมาแข็งแกร่งขึ้น.</t>
  </si>
  <si>
    <t>การให้ทีมพักจะช่วยเพิ่มพลังและความสดชื่นในการแข่งขัน.</t>
  </si>
  <si>
    <t>ในระหว่างการแข่งขันคุณรู้สึกว่าเรือของคุณลื่นและไม่เสถียร คุณจะทำอย่างไร?</t>
  </si>
  <si>
    <t>การปรับท่าพายช่วยให้เรือเสถียรและควบคุมได้ดีขึ้น.</t>
  </si>
  <si>
    <t>การกระตุ้นให้ทีมมีสมาธิจะช่วยให้ทีมทำผลงานได้ดีขึ้น.</t>
  </si>
  <si>
    <t>คุณเห็นว่าเพื่อนร่วมทีมเริ่มทำผิดพลาดบ่อยๆ ในระหว่างการแข่งขัน คุณจะทำอย่างไร?</t>
  </si>
  <si>
    <t>การช่วยเหลือเพื่อนร่วมทีมจะทำให้ทีมแข็งแกร่งและพัฒนาการไปพร้อมกัน.</t>
  </si>
  <si>
    <t>ทีมของคุณเริ่มประสบปัญหาจากความเครียด คุณจะทำอย่างไร?</t>
  </si>
  <si>
    <t>A) พูดคุยและให้กำลังใจเพื่อลดความเครียด; B) ปล่อยให้ทีมทำตามวิธีของตัวเอง; C) หลีกเลี่ยงการพูดถึงความเครียด; D) ลดความพยายามในการแข่งขัน</t>
  </si>
  <si>
    <t>การพูดคุยและให้กำลังใจจะช่วยลดความเครียดและทำให้ทีมมีพลังใจ.</t>
  </si>
  <si>
    <t>คุณพบว่าเพื่อนร่วมทีมเริ่มเหนื่อยล้าในระหว่างการแข่งขัน คุณจะทำอย่างไร?</t>
  </si>
  <si>
    <t>A) กระตุ้นให้เขาพักและฟื้นฟูพลัง; B) ปล่อยให้เขาทำตามวิธีของตัวเอง; C) หลีกเลี่ยงการพูดถึงความเหนื่อยล้า; D) ลดความพยายามในการแข่งขัน</t>
  </si>
  <si>
    <t>A) กระตุ้นให้เขาพักและฟื้นฟูพลัง</t>
  </si>
  <si>
    <t>การให้พักจะช่วยให้เพื่อนร่วมทีมฟื้นฟูพลังและกลับมาทำผลงานได้ดีขึ้น.</t>
  </si>
  <si>
    <t>คุณรู้สึกว่าทีมของคุณเริ่มขาดความสามัคคีในระหว่างการแข่งขัน คุณจะทำอย่างไร?</t>
  </si>
  <si>
    <t>การสื่อสารและทำงานร่วมกันช่วยเสริมสร้างความสามัคคีและเพิ่มประสิทธิภาพในทีม.</t>
  </si>
  <si>
    <t>คุณรู้สึกว่าทีมของคุณเริ่มเสียสมาธิและไม่ให้ความสำคัญกับการแข่งขัน คุณจะทำอย่างไร?</t>
  </si>
  <si>
    <t>การกระตุ้นทีมจะช่วยเพิ่มความมุ่งมั่นและทำให้ทีมกลับมามีสมาธิในการแข่งขัน.</t>
  </si>
  <si>
    <t>ทีมของคุณประสบปัญหาจากการขาดความเข้าใจในกลยุทธ์ คุณจะทำอย่างไร?</t>
  </si>
  <si>
    <t>A) อธิบายและปรับกลยุทธ์ใหม่; B) ปล่อยให้ทีมทำตามวิธีของตัวเอง; C) หลีกเลี่ยงการพูดถึงปัญหานี้; D) ลดความพยายามในการแข่งขัน</t>
  </si>
  <si>
    <t>A) อธิบายและปรับกลยุทธ์ใหม่</t>
  </si>
  <si>
    <t>การอธิบายและปรับกลยุทธ์ช่วยให้ทีมเข้าใจและทำงานร่วมกันได้ดียิ่งขึ้น.</t>
  </si>
  <si>
    <t>คุณพบว่าเรือของคุณมีปัญหากับการพายไปในทิศทางที่ถูกต้อง คุณจะทำอย่างไร?</t>
  </si>
  <si>
    <t>A) ปรับท่าพายและควบคุมทิศทางใหม่; B) พยายามพายให้เร็วขึ้น; C) หยุดพายและขอความช่วยเหลือ; D) ปล่อยให้เรือเคลื่อนที่ไปตามทาง</t>
  </si>
  <si>
    <t>A) ปรับท่าพายและควบคุมทิศทางใหม่</t>
  </si>
  <si>
    <t>การปรับท่าพายจะช่วยให้คุณสามารถควบคุมทิศทางของเรือได้ดียิ่งขึ้น.</t>
  </si>
  <si>
    <t>คุณรู้สึกว่าทีมของคุณเริ่มเหนื่อยล้าในช่วงครึ่งหลังของการแข่งขัน คุณจะทำอย่างไร?</t>
  </si>
  <si>
    <t>A) กระตุ้นให้ทีมพักและฟื้นฟูพลัง; B) ปล่อยให้ทีมทำตามวิธีของตัวเอง; C) หลีกเลี่ยงการพูดถึงความเหนื่อยล้า; D) ลดความพยายามในการแข่งขัน</t>
  </si>
  <si>
    <t>การให้ทีมพักและฟื้นฟูพลังจะทำให้ทีมสามารถกลับมาแข็งแกร่งและสดชื่น.</t>
  </si>
  <si>
    <t>คุณพบว่าเพื่อนร่วมทีมไม่สามารถทำงานร่วมกันได้ดี คุณจะทำอย่างไร?</t>
  </si>
  <si>
    <t>A) สื่อสารและปรับวิธีการทำงานร่วมกัน; B) ปล่อยให้พวกเขาทำตามวิธีของตัวเอง; C) หลีกเลี่ยงการพูดถึงปัญหานี้; D) ลดความพยายามในการแข่งขัน</t>
  </si>
  <si>
    <t>A) สื่อสารและปรับวิธีการทำงานร่วมกัน</t>
  </si>
  <si>
    <t>การสื่อสารที่ดีจะช่วยให้ทีมทำงานร่วมกันได้ดีขึ้น.</t>
  </si>
  <si>
    <t>ในระหว่างการแข่งขันคุณรู้สึกว่าเรือของคุณเริ่มขาดเสถียรภาพ คุณจะทำอย่างไร?</t>
  </si>
  <si>
    <t>A) ปรับท่าพายเพื่อให้เรือกลับมามีเสถียรภาพ; B) พยายามพายให้เร็วขึ้น; C) หยุดพายและขอคำแนะนำ; D) ปล่อยให้เรือเคลื่อนที่ไปตามทาง</t>
  </si>
  <si>
    <t>A) ปรับท่าพายเพื่อให้เรือกลับมามีเสถียรภาพ</t>
  </si>
  <si>
    <t>การปรับท่าพายช่วยให้เรือกลับมามีเสถียรภาพและควบคุมได้ดีขึ้น.</t>
  </si>
  <si>
    <t>คุณเห็นว่าเพื่อนร่วมทีมทำผิดพลาดบ่อยๆ คุณจะทำอย่างไร?</t>
  </si>
  <si>
    <t>การช่วยเหลือเพื่อนร่วมทีมจะช่วยให้ทีมสามารถพัฒนาไปด้วยกัน.</t>
  </si>
  <si>
    <t>ทีมของคุณต้องการการเปลี่ยนแปลงกลยุทธ์ในระหว่างการแข่งขัน คุณจะทำอย่างไร?</t>
  </si>
  <si>
    <t>A) ปรับกลยุทธ์ให้เหมาะสมกับสถานการณ์; B) ปล่อยให้ทีมทำตามวิธีของตัวเอง; C) หลีกเลี่ยงการเปลี่ยนแปลงกลยุทธ์; D) ลดความพยายามในการแข่งขัน</t>
  </si>
  <si>
    <t>A) ปรับกลยุทธ์ให้เหมาะสมกับสถานการณ์</t>
  </si>
  <si>
    <t>การปรับกลยุทธ์ให้เหมาะสมช่วยให้ทีมสามารถรับมือกับสถานการณ์ได้ดีขึ้น.</t>
  </si>
  <si>
    <t>คุณสังเกตว่าเพื่อนร่วมทีมเริ่มเสียสมาธิในระหว่างการแข่งขัน คุณจะทำอย่างไร?</t>
  </si>
  <si>
    <t>การกระตุ้นให้เขากลับมามีสมาธิจะช่วยให้เขามีสมาธิและทำผลงานได้ดีขึ้น.</t>
  </si>
  <si>
    <t>การสื่อสารที่ดีช่วยเสริมสร้างความสามัคคีในทีม.</t>
  </si>
  <si>
    <t>ในระหว่างการแข่งขันคุณพบว่าเรือของคุณมีการหมุนเบี่ยง คุณจะทำอย่างไร?</t>
  </si>
  <si>
    <t>การปรับท่าพายจะช่วยให้เรือกลับมาตรงและเสถียรขึ้น.</t>
  </si>
  <si>
    <t>การพูดคุยและให้กำลังใจจะช่วยลดความเครียดและเพิ่มพลังใจให้กับทีม.</t>
  </si>
  <si>
    <t>คุณเห็นว่าเรือของคุณเริ่มเบี่ยงออกจากเส้นทางในระหว่างการแข่งขัน คุณจะทำอย่างไร?</t>
  </si>
  <si>
    <t>A) ปรับท่าพายเพื่อทำให้เรือกลับมาตรง; B) พยายามพายให้เร็วขึ้น; C) หยุดพายและขอคำแนะนำ; D) ปล่อยให้เรือเคลื่อนที่ไปตามทาง</t>
  </si>
  <si>
    <t>การปรับท่าพายจะช่วยให้เรือกลับมาอยู่ในเส้นทางที่ถูกต้อง.</t>
  </si>
  <si>
    <t>ทีมของคุณกำลังประสบปัญหาการสื่อสารในระหว่างการแข่งขัน คุณจะทำอย่างไร?</t>
  </si>
  <si>
    <t>การสื่อสารที่ดีทำให้ทีมสามารถทำงานร่วมกันได้อย่างมีประสิทธิภาพ.</t>
  </si>
  <si>
    <t>คุณรู้สึกว่าเรือของคุณเริ่มลื่นและไม่เสถียร คุณจะทำอย่างไร?</t>
  </si>
  <si>
    <t>A) ปรับท่าพายเพื่อเพิ่มเสถียรภาพ; B) พยายามพายให้เร็วขึ้น; C) หยุดพายและขอคำแนะนำ; D) ปล่อยให้เรือเคลื่อนที่ไปตามทาง</t>
  </si>
  <si>
    <t>การปรับท่าพายช่วยให้เรือมีความเสถียรและเพิ่มประสิทธิภาพในการแข่งขัน.</t>
  </si>
  <si>
    <t>ทีมของคุณเริ่มสูญเสียสมาธิในช่วงกลางการแข่งขัน คุณจะทำอย่างไร?</t>
  </si>
  <si>
    <t>การกระตุ้นทีมจะช่วยให้ทีมกลับมามีสมาธิและทำผลงานได้ดีขึ้น.</t>
  </si>
  <si>
    <t>คุณเห็นว่าเพื่อนร่วมทีมทำผิดพลาดหลายครั้งในระหว่างการแข่งขัน คุณจะทำอย่างไร?</t>
  </si>
  <si>
    <t>การช่วยเหลือเพื่อนร่วมทีมทำให้ทีมสามารถพัฒนาและทำงานร่วมกันได้ดีขึ้น.</t>
  </si>
  <si>
    <t>ทีมของคุณเริ่มขาดความมุ่งมั่นในระหว่างการแข่งขัน คุณจะทำอย่างไร?</t>
  </si>
  <si>
    <t>ทีมของคุณเริ่มประสบปัญหาจากการขาดประสบการณ์ คุณจะทำอย่างไร?</t>
  </si>
  <si>
    <t>A) สอนและให้คำแนะนำเพื่อเพิ่มประสบการณ์; B) ปล่อยให้ทีมทำตามวิธีของตัวเอง; C) หลีกเลี่ยงการพูดถึงปัญหานี้; D) ลดความพยายามในการแข่งขัน</t>
  </si>
  <si>
    <t>A) สอนและให้คำแนะนำเพื่อเพิ่มประสบการณ์</t>
  </si>
  <si>
    <t>การสอนและให้คำแนะนำช่วยเพิ่มประสบการณ์และเสริมความสามารถของทีม.</t>
  </si>
  <si>
    <t>ทีมของคุณเริ่มรู้สึกเครียดจากแรงกดดัน คุณจะทำอย่างไร?</t>
  </si>
  <si>
    <t>A) พูดคุยและให้กำลังใจเพื่อช่วยลดความเครียด; B) ปล่อยให้ทีมทำตามวิธีของตัวเอง; C) หลีกเลี่ยงการพูดถึงความเครียด; D) ลดความพยายามในการแข่งขัน</t>
  </si>
  <si>
    <t>A) พูดคุยและให้กำลังใจเพื่อช่วยลดความเครียด</t>
  </si>
  <si>
    <t>การให้กำลังใจช่วยลดความเครียดและทำให้ทีมมีกำลังใจในการแข่งขัน.</t>
  </si>
  <si>
    <t>คุณเห็นว่าเพื่อนร่วมทีมเริ่มประสบปัญหาทางจิตใจจากความเครียด คุณจะทำอย่างไร?</t>
  </si>
  <si>
    <t>A) พูดคุยและให้กำลังใจเพื่อช่วยให้เขาผ่อนคลาย; B) ปล่อยให้เขาทำตามวิธีของตัวเอง; C) หลีกเลี่ยงการพูดถึงความเครียด; D) ลดความพยายามในการแข่งขัน</t>
  </si>
  <si>
    <t>A) พูดคุยและให้กำลังใจเพื่อช่วยให้เขาผ่อนคลาย</t>
  </si>
  <si>
    <t>การพูดคุยและให้กำลังใจช่วยลดความเครียดและทำให้เพื่อนร่วมทีมรู้สึกดีขึ้น.</t>
  </si>
  <si>
    <t>ทีมของคุณเริ่มทำพลาดบ่อยในระหว่างการแข่งขัน คุณจะทำอย่างไร?</t>
  </si>
  <si>
    <t>A) ช่วยให้คำแนะนำและปรับปรุงกลยุทธ์; B) ปล่อยให้ทีมทำตามวิธีของตัวเอง; C) หลีกเลี่ยงการพูดถึงข้อผิดพลาด; D) ลดความพยายามในการแข่งขัน</t>
  </si>
  <si>
    <t>A) ช่วยให้คำแนะนำและปรับปรุงกลยุทธ์</t>
  </si>
  <si>
    <t>การให้คำแนะนำและปรับปรุงกลยุทธ์จะช่วยให้ทีมทำงานได้ดีขึ้น.</t>
  </si>
  <si>
    <t>คุณรู้สึกว่าเพื่อนร่วมทีมเริ่มขาดความเชื่อมั่นในตัวเอง คุณจะทำอย่างไร?</t>
  </si>
  <si>
    <t>A) กระตุ้นและให้กำลังใจเพื่อเพิ่มความมั่นใจ; B) ปล่อยให้เขาทำตามวิธีของตัวเอง; C) หลีกเลี่ยงการพูดถึงความไม่มั่นใจ; D) ลดความพยายามในการแข่งขัน</t>
  </si>
  <si>
    <t>A) กระตุ้นและให้กำลังใจเพื่อเพิ่มความมั่นใจ</t>
  </si>
  <si>
    <t>การกระตุ้นและให้กำลังใจจะช่วยเพิ่มความมั่นใจในตัวเองของเพื่อนร่วมทีม.</t>
  </si>
  <si>
    <t>ทีมของคุณประสบปัญหาในการประสานงานระหว่างสมาชิก คุณจะทำอย่างไร?</t>
  </si>
  <si>
    <t>A) สื่อสารและปรับปรุงการประสานงานในทีม; B) ปล่อยให้ทีมทำตามวิธีของตัวเอง; C) หลีกเลี่ยงการพูดถึงปัญหานี้; D) ลดความพยายามในการแข่งขัน</t>
  </si>
  <si>
    <t>A) สื่อสารและปรับปรุงการประสานงานในทีม</t>
  </si>
  <si>
    <t>การสื่อสารที่ดีจะช่วยเพิ่มประสิทธิภาพในการทำงานร่วมกัน.</t>
  </si>
  <si>
    <t>คุณเห็นว่าเพื่อนร่วมทีมทำผิดพลาดในตอนท้ายของการแข่งขัน คุณจะทำอย่างไร?</t>
  </si>
  <si>
    <t>A) ช่วยเขาแก้ไขข้อผิดพลาดอย่างเงียบๆ; B) ตำหนิเขาดังๆ; C) ปล่อยให้เขาทำเอง; D) หลีกเลี่ยงการพูดถึงปัญหานี้</t>
  </si>
  <si>
    <t>A) ช่วยเขาแก้ไขข้อผิดพลาดอย่างเงียบๆ</t>
  </si>
  <si>
    <t>การช่วยแก้ไขข้อผิดพลาดโดยไม่ทำให้เขารู้สึกแย่จะช่วยเพิ่มความสามัคคีในทีม.</t>
  </si>
  <si>
    <t>ทีมของคุณกำลังเผชิญหน้ากับความล้มเหลวจากการประสานงาน คุณจะทำอย่างไร?</t>
  </si>
  <si>
    <t>A) ปรับปรุงการประสานงานและหาทางออก; B) ปล่อยให้ทีมทำตามวิธีของตัวเอง; C) หลีกเลี่ยงการพูดถึงปัญหานี้; D) ลดความพยายามในการแข่งขัน</t>
  </si>
  <si>
    <t>A) ปรับปรุงการประสานงานและหาทางออก</t>
  </si>
  <si>
    <t>การแก้ไขปัญหาการประสานงานจะช่วยให้ทีมทำงานได้ดีขึ้น.</t>
  </si>
  <si>
    <t>คุณเห็นว่าทีมของคุณเสียสมาธิจากการเจอกับปัญหาภายนอก คุณจะทำอย่างไร?</t>
  </si>
  <si>
    <t>A) กระตุ้นให้ทีมกลับมามีสมาธิในการแข่งขัน; B) ปล่อยให้ทีมทำตามวิธีของตัวเอง; C) หลีกเลี่ยงการพูดถึงปัญหาภายนอก; D) ลดความพยายามในการแข่งขัน</t>
  </si>
  <si>
    <t>A) กระตุ้นให้ทีมกลับมามีสมาธิในการแข่งขัน</t>
  </si>
  <si>
    <t>การกระตุ้นให้ทีมกลับมามีสมาธิจะช่วยเพิ่มประสิทธิภาพในการแข่งขัน.</t>
  </si>
  <si>
    <t>ในระหว่างการแข่งขันคุณรู้สึกว่าเรือของคุณเคลื่อนที่ไม่ตรงตามที่ควร คุณจะทำอย่างไร?</t>
  </si>
  <si>
    <t>A) ปรับท่าพายเพื่อให้เรือกลับมาตรง; B) พยายามพายให้เร็วขึ้น; C) หยุดพายและขอคำแนะนำ; D) ปล่อยให้เรือเคลื่อนที่ไปตามทาง</t>
  </si>
  <si>
    <t>A) ปรับท่าพายเพื่อให้เรือกลับมาตรง</t>
  </si>
  <si>
    <t>การปรับท่าพายจะช่วยให้เรือกลับมาตรงและเสถียร.</t>
  </si>
  <si>
    <t>คุณรู้สึกว่าเพื่อนร่วมทีมทำให้ทีมเสียเปรียบในระหว่างการแข่งขัน คุณจะทำอย่างไร?</t>
  </si>
  <si>
    <t>A) ให้คำแนะนำเพื่อช่วยแก้ไขสถานการณ์; B) ตำหนิเขาดังๆ; C) ปล่อยให้เขาทำตามวิธีของตัวเอง; D) หลีกเลี่ยงการพูดถึงมัน</t>
  </si>
  <si>
    <t>A) ให้คำแนะนำเพื่อช่วยแก้ไขสถานการณ์</t>
  </si>
  <si>
    <t>การให้คำแนะนำช่วยแก้ไขสถานการณ์และทำให้ทีมสามารถปรับตัวได้.</t>
  </si>
  <si>
    <t>ทีมของคุณเริ่มประสบปัญหาจากการขาดความสมดุลในกลยุทธ์ คุณจะทำอย่างไร?</t>
  </si>
  <si>
    <t>A) ปรับกลยุทธ์เพื่อเพิ่มความสมดุลในทีม; B) ปล่อยให้ทีมทำตามวิธีของตัวเอง; C) หลีกเลี่ยงการปรับกลยุทธ์; D) ลดความพยายามในการแข่งขัน</t>
  </si>
  <si>
    <t>A) ปรับกลยุทธ์เพื่อเพิ่มความสมดุลในทีม</t>
  </si>
  <si>
    <t>การปรับกลยุทธ์จะช่วยทำให้ทีมมีความสมดุลและประสิทธิภาพในการแข่งขัน.</t>
  </si>
  <si>
    <t>คุณเห็นว่าเพื่อนร่วมทีมกำลังประสบปัญหาจากการขาดความมั่นใจในตัวเอง คุณจะทำอย่างไร?</t>
  </si>
  <si>
    <t>A) กระตุ้นและให้กำลังใจเพื่อเพิ่มความมั่นใจ; B) ปล่อยให้เขาทำตามวิธีของตัวเอง; C) หลีกเลี่ยงการพูดถึงมัน; D) ลดความพยายามในการแข่งขัน</t>
  </si>
  <si>
    <t>ทีมของคุณเริ่มประสบปัญหาจากการขาดพลังงานในช่วงท้ายของการแข่งขัน คุณจะทำอย่างไร?</t>
  </si>
  <si>
    <t>การให้ทีมพักและฟื้นฟูพลังจะช่วยให้ทีมกลับมาทำผลงานได้ดีขึ้น.</t>
  </si>
  <si>
    <t>ทีมของคุณเริ่มรู้สึกเครียดจากความกดดัน คุณจะทำอย่างไร?</t>
  </si>
  <si>
    <t>การพูดคุยและให้กำลังใจช่วยลดความเครียดและเพิ่มพลังใจให้กับทีม.</t>
  </si>
  <si>
    <t>คุณเห็นว่าเพื่อนร่วมทีมกำลังเสียสมาธิจากการขาดการโฟกัส คุณจะทำอย่างไร?</t>
  </si>
  <si>
    <t>A) กระตุ้นให้เพื่อนร่วมทีมกลับมามีสมาธิ; B) ปล่อยให้เขาทำตามวิธีของตัวเอง; C) หลีกเลี่ยงการพูดถึงมัน; D) ลดความพยายามในการแข่งขัน</t>
  </si>
  <si>
    <t>A) กระตุ้นให้เพื่อนร่วมทีมกลับมามีสมาธิ</t>
  </si>
  <si>
    <t>การกระตุ้นให้กลับมามีสมาธิจะช่วยให้ทีมกลับมาโฟกัสและทำงานได้ดียิ่งขึ้น.</t>
  </si>
  <si>
    <t>ทีมของคุณประสบปัญหาจากการขาดประสบการณ์ในการแข่งขัน คุณจะทำอย่างไร?</t>
  </si>
  <si>
    <t>การสอนและให้คำแนะนำจะช่วยเสริมสร้างประสบการณ์และความมั่นใจให้กับทีม.</t>
  </si>
  <si>
    <t>คุณรู้สึกว่าทีมของคุณเริ่มขาดความสามัคคี คุณจะทำอย่างไร?</t>
  </si>
  <si>
    <t>การสื่อสารและทำงานร่วมกันจะช่วยเสริมสร้างความสามัคคีและความเข้าใจในทีม.</t>
  </si>
  <si>
    <t>คุณรู้สึกว่าเรือของคุณเริ่มเคลื่อนที่ออกจากเส้นทาง คุณจะทำอย่างไร?</t>
  </si>
  <si>
    <t>การปรับท่าพายจะช่วยให้เรือกลับมาบนเส้นทางเดิมและลดความเสี่ยง.</t>
  </si>
  <si>
    <t>ทีมของคุณเริ่มรู้สึกอ่อนล้าและเหนื่อยล้า คุณจะทำอย่างไร?</t>
  </si>
  <si>
    <t>A) กระตุ้นให้ทีมฟื้นฟูพลังและเตรียมตัวให้พร้อม; B) ปล่อยให้ทีมทำตามวิธีของตัวเอง; C) หลีกเลี่ยงการพูดถึงความเหนื่อยล้า; D) ลดความพยายามในการแข่งขัน</t>
  </si>
  <si>
    <t>A) กระตุ้นให้ทีมฟื้นฟูพลังและเตรียมตัวให้พร้อม</t>
  </si>
  <si>
    <t>การฟื้นฟูพลังและกระตุ้นทีมจะช่วยให้ทีมกลับมาทำผลงานได้ดีขึ้น.</t>
  </si>
  <si>
    <t>ทีมของคุณเริ่มขาดความมุ่งมั่นในการแข่งขัน คุณจะทำอย่างไร?</t>
  </si>
  <si>
    <t>การกระตุ้นทีมจะช่วยให้ทีมกลับมามีสมาธิและเพิ่มความพยายาม.</t>
  </si>
  <si>
    <t>ทีมของคุณเริ่มเผชิญกับปัญหาทางจิตใจจากความเครียด คุณจะทำอย่างไร?</t>
  </si>
  <si>
    <t>การให้กำลังใจจะช่วยลดความเครียดและช่วยให้ทีมมีกำลังใจ.</t>
  </si>
  <si>
    <t>ทีมของคุณกำลังเผชิญกับความกดดันจากคู่แข่ง คุณจะทำอย่างไร?</t>
  </si>
  <si>
    <t>A) กระตุ้นให้ทีมมีกำลังใจและรักษาความสงบ; B) ปล่อยให้ทีมทำตามวิธีของตัวเอง; C) หลีกเลี่ยงการพูดถึงความกดดัน; D) ลดความพยายามในการแข่งขัน</t>
  </si>
  <si>
    <t>A) กระตุ้นให้ทีมมีกำลังใจและรักษาความสงบ</t>
  </si>
  <si>
    <t>การกระตุ้นทีมจะช่วยรักษาความสงบและทำให้ทีมมีกำลังใจในการแข่งขัน.</t>
  </si>
  <si>
    <t>คุณรู้สึกว่าเพื่อนร่วมทีมกำลังสูญเสียความสนใจในการแข่งขัน คุณจะทำอย่างไร?</t>
  </si>
  <si>
    <t>A) กระตุ้นให้ทีมกลับมามีสมาธิและมุ่งมั่น; B) ปล่อยให้เขาทำตามวิธีของตัวเอง; C) หลีกเลี่ยงการพูดถึงความสนใจ; D) ลดความพยายามในการแข่งขัน</t>
  </si>
  <si>
    <t>A) กระตุ้นให้ทีมกลับมามีสมาธิและมุ่งมั่น</t>
  </si>
  <si>
    <t>การกระตุ้นทีมจะช่วยให้ทีมกลับมามีสมาธิและมุ่งมั่นในการแข่งขัน.</t>
  </si>
  <si>
    <t>ทีมของคุณเริ่มรู้สึกเครียดจากผลการแข่งขันที่ไม่ดี คุณจะทำอย่างไร?</t>
  </si>
  <si>
    <t>A) พูดคุยและให้กำลังใจเพื่อลดความเครียด; B) ปล่อยให้ทีมทำตามวิธีของตัวเอง; C) หลีกเลี่ยงการพูดถึงผลการแข่งขัน; D) ลดความพยายามในการแข่งขัน</t>
  </si>
  <si>
    <t>การพูดคุยและให้กำลังใจช่วยลดความเครียดและทำให้ทีมมีกำลังใจในการแข่งขัน.</t>
  </si>
  <si>
    <t>คุณรู้สึกว่าเพื่อนร่วมทีมเริ่มขาดความมั่นใจในตัวเอง คุณจะทำอย่างไร?</t>
  </si>
  <si>
    <t>ทีมของคุณเริ่มประสบปัญหาจากการขาดการประสานงาน คุณจะทำอย่างไร?</t>
  </si>
  <si>
    <t>คุณเห็นว่าเพื่อนร่วมทีมกำลังประสบปัญหาจากความเครียด คุณจะทำอย่างไร?</t>
  </si>
  <si>
    <t>A) พูดคุยและให้กำลังใจเพื่อช่วยลดความเครียด; B) ปล่อยให้เขาทำตามวิธีของตัวเอง; C) หลีกเลี่ยงการพูดถึงความเครียด; D) ลดความพยายามในการแข่งขัน</t>
  </si>
  <si>
    <t>การพูดคุยและให้กำลังใจจะช่วยลดความเครียดและช่วยให้เพื่อนร่วมทีมผ่อนคลาย.</t>
  </si>
  <si>
    <t>คุณรู้สึกว่าเรือของคุณเคลื่อนที่ช้ากว่าปกติ คุณจะทำอย่างไร?</t>
  </si>
  <si>
    <t>A) ปรับท่าพายเพื่อเพิ่มความเร็วของเรือ; B) พยายามพายให้เร็วขึ้นโดยไม่สนใจท่าพาย; C) หยุดพายและขอคำแนะนำ; D) ปล่อยให้เรือเคลื่อนที่ช้าไปเรื่อยๆ</t>
  </si>
  <si>
    <t>A) ปรับท่าพายเพื่อเพิ่มความเร็วของเรือ</t>
  </si>
  <si>
    <t>การปรับท่าพายจะช่วยให้เรือเคลื่อนที่ได้เร็วขึ้น.</t>
  </si>
  <si>
    <t>ทีมของคุณเริ่มประสบปัญหาจากการขาดประสบการณ์ในสนาม คุณจะทำอย่างไร?</t>
  </si>
  <si>
    <t>การสอนและให้คำแนะนำจะช่วยเสริมสร้างประสบการณ์ให้กับทีม.</t>
  </si>
  <si>
    <t>ทีมของคุณเริ่มรู้สึกเครียดจากการแข่งขันที่ยาวนาน คุณจะทำอย่างไร?</t>
  </si>
  <si>
    <t>A) ให้ทีมพักผ่อนและฟื้นฟูพลัง; B) ปล่อยให้ทีมทำตามวิธีของตัวเอง; C) หลีกเลี่ยงการพูดถึงความเหนื่อยล้า; D) ลดความพยายามในการแข่งขัน</t>
  </si>
  <si>
    <t>A) ให้ทีมพักผ่อนและฟื้นฟูพลัง</t>
  </si>
  <si>
    <t>การพักผ่อนและฟื้นฟูพลังจะช่วยให้ทีมกลับมาทำผลงานได้ดีขึ้น.</t>
  </si>
  <si>
    <t>ทีมของคุณกำลังเผชิญกับการขาดความสมดุลระหว่างสมาชิก คุณจะทำอย่างไร?</t>
  </si>
  <si>
    <t>A) ปรับสมดุลของทีมและกระตุ้นให้ทำงานร่วมกัน; B) ปล่อยให้ทีมทำตามวิธีของตัวเอง; C) หลีกเลี่ยงการพูดถึงปัญหานี้; D) ลดความพยายามในการแข่งขัน</t>
  </si>
  <si>
    <t>A) ปรับสมดุลของทีมและกระตุ้นให้ทำงานร่วมกัน</t>
  </si>
  <si>
    <t>การปรับสมดุลของทีมและกระตุ้นให้ทำงานร่วมกันจะช่วยเพิ่มประสิทธิภาพ.</t>
  </si>
  <si>
    <t>คุณเห็นว่าเพื่อนร่วมทีมเริ่มประสบปัญหาจากการขาดความมุ่งมั่น คุณจะทำอย่างไร?</t>
  </si>
  <si>
    <t>A) กระตุ้นให้เขามีสมาธิและกลับมามุ่งมั่น; B) ปล่อยให้เขาทำตามวิธีของตัวเอง; C) หลีกเลี่ยงการพูดถึงความไม่มุ่งมั่น; D) ลดความพยายามในการแข่งขัน</t>
  </si>
  <si>
    <t>A) กระตุ้นให้เขามีสมาธิและกลับมามุ่งมั่น</t>
  </si>
  <si>
    <t>การกระตุ้นให้เพื่อนร่วมทีมกลับมามีสมาธิจะช่วยเพิ่มความมุ่งมั่นในการแข่งขัน.</t>
  </si>
  <si>
    <t>ทีมของคุณเริ่มขาดความมั่นใจในระหว่างการแข่งขัน คุณจะทำอย่างไร?</t>
  </si>
  <si>
    <t>A) กระตุ้นและให้กำลังใจเพื่อเพิ่มความมั่นใจ; B) ปล่อยให้ทีมทำตามวิธีของตัวเอง; C) หลีกเลี่ยงการพูดถึงความไม่มั่นใจ; D) ลดความพยายามในการแข่งขัน</t>
  </si>
  <si>
    <t>การกระตุ้นและให้กำลังใจจะช่วยเพิ่มความมั่นใจในตัวเองของทีม.</t>
  </si>
  <si>
    <t>คุณเห็นว่าเพื่อนร่วมทีมกำลังเครียดจากการเสียประตู คุณจะทำอย่างไร?</t>
  </si>
  <si>
    <t>A) พูดคุยและให้กำลังใจเพื่อทำให้เขาผ่อนคลาย; B) ปล่อยให้เขาทำตามวิธีของตัวเอง; C) หลีกเลี่ยงการพูดถึงปัญหานี้; D) ลดความพยายามในการแข่งขัน</t>
  </si>
  <si>
    <t>A) พูดคุยและให้กำลังใจเพื่อทำให้เขาผ่อนคลาย</t>
  </si>
  <si>
    <t>การพูดคุยและให้กำลังใจช่วยลดความเครียดและช่วยให้เพื่อนร่วมทีมรู้สึกดีขึ้น.</t>
  </si>
  <si>
    <t>ทีมของคุณเริ่มรู้สึกเครียดจากแรงกดดันในช่วงสุดท้ายของการแข่งขัน คุณจะทำอย่างไร?</t>
  </si>
  <si>
    <t>A) กระตุ้นให้ทีมรักษาความสงบและมุ่งมั่น; B) ปล่อยให้ทีมทำตามวิธีของตัวเอง; C) หลีกเลี่ยงการพูดถึงความเครียด; D) ลดความพยายามในการแข่งขัน</t>
  </si>
  <si>
    <t>A) กระตุ้นให้ทีมรักษาความสงบและมุ่งมั่น</t>
  </si>
  <si>
    <t>การกระตุ้นทีมจะช่วยให้พวกเขารักษาความสงบและมุ่งมั่นในการแข่งขัน.</t>
  </si>
  <si>
    <t>ทีมของคุณเริ่มขาดความสามัคคีจากความแตกต่างทางความคิด คุณจะทำอย่างไร?</t>
  </si>
  <si>
    <t>A) สื่อสารและหาทางออกร่วมกัน; B) ปล่อยให้ทีมทำตามวิธีของตัวเอง; C) หลีกเลี่ยงการพูดถึงความขัดแย้ง; D) ลดความพยายามในการแข่งขัน</t>
  </si>
  <si>
    <t>A) สื่อสารและหาทางออกร่วมกัน</t>
  </si>
  <si>
    <t>การสื่อสารและหาทางออกร่วมกันจะช่วยเสริมสร้างความสามัคคีในทีม.</t>
  </si>
  <si>
    <t>คุณรู้สึกว่าเพื่อนร่วมทีมเริ่มสูญเสียความมุ่งมั่น คุณจะทำอย่างไร?</t>
  </si>
  <si>
    <t>A) กระตุ้นให้เขามีสมาธิและมุ่งมั่นในเกม; B) ปล่อยให้เขาทำตามวิธีของตัวเอง; C) หลีกเลี่ยงการพูดถึงความไม่มุ่งมั่น; D) ลดความพยายามในการแข่งขัน</t>
  </si>
  <si>
    <t>A) กระตุ้นให้เขามีสมาธิและมุ่งมั่นในเกม</t>
  </si>
  <si>
    <t>การกระตุ้นเพื่อนร่วมทีมจะช่วยให้เขากลับมามีสมาธิและมุ่งมั่นในการแข่งขัน.</t>
  </si>
  <si>
    <t>DescriptionByArt</t>
  </si>
  <si>
    <t>เรือ A ฝึกซ้อมจนถึง 15 นาทีก่อนเริ่มการแข่งขัน เกิดอะไรขึ้นตอนนี้?</t>
  </si>
  <si>
    <t>เรือ A ถูกตัดสิทธิ์</t>
  </si>
  <si>
    <t>เรือ B ถูกตัดสิทธิ์</t>
  </si>
  <si>
    <t>เรือทั้งสองลำถูกตัดสิทธิ์</t>
  </si>
  <si>
    <t>ทุกทีมต้องรายงานตัวก่อนแข่งขัน30นาที</t>
  </si>
  <si>
    <t>เรือ B ใช้เวลา 5 นาทีหลังจากเวลาเริ่มต้นเดิมเพื่อไปถึงจุดเริ่มต้นก่อนการแข่งขัน เกิดอะไรขึ้น?</t>
  </si>
  <si>
    <t>เรือลำอื่นมีจุดเริ่มต้น</t>
  </si>
  <si>
    <t>เรือ B ชนะ</t>
  </si>
  <si>
    <t>เรือ A ไม่สามารถสตาร์ทเครื่องยนต์ได้ทันเวลาหลังจากที่ผู้ตัดสินการแข่งขันสั่งให้สตาร์ทเครื่องยนต์ อนุญาตให้ซ่อมเครื่องยนต์ได้นานแค่ไหน?</t>
  </si>
  <si>
    <t>1 นาที</t>
  </si>
  <si>
    <t>2 นาที</t>
  </si>
  <si>
    <t>3 นาที</t>
  </si>
  <si>
    <t>5 นาที</t>
  </si>
  <si>
    <t>เรือ A ออกจากตำแหน่งเริ่มต้นก่อนการแข่งขันจะเริ่มขึ้น เกิดอะไรขึ้น?</t>
  </si>
  <si>
    <t>เรือ A ได้รับคำเตือน</t>
  </si>
  <si>
    <t>เรือ A ได้รับโทษเวลา</t>
  </si>
  <si>
    <t>ออกเรือก่อนสัญญาณปล่อยเรือจะเริ่มขึ้น จะได้ฟาล์ว ถ้าฟาล์วติดกัน2ครั้ง จะถูกปรับแพ้</t>
  </si>
  <si>
    <t>เรือ B ไม่มีการสวมเสื้อชูชีพก่อนเริ่มการแข่งขัน เกิดอะไรขึ้น?</t>
  </si>
  <si>
    <t>เรือบีได้รับคำเตือน</t>
  </si>
  <si>
    <t>เรือ B ได้รับโทษเวลา</t>
  </si>
  <si>
    <t>เรือ B สามารถออกเรือได้โดยไม่ต้องใช้เสื้อชูชีพ</t>
  </si>
  <si>
    <t>เรือ A เข้าใกล้เส้นสตาร์ทแต่ไม่ยึดบริเวณสัญญาณ เกิดอะไรขึ้น?</t>
  </si>
  <si>
    <t>เรือ A ไปต่อได้</t>
  </si>
  <si>
    <t>เรือ A มาถึงจุดสตาร์ทแต่ไม่สามารถไปถึงได้ภายใน 2 นาที เกิดอะไรขึ้น?</t>
  </si>
  <si>
    <t>เรือ A ยังคงแข่งขันต่อไป</t>
  </si>
  <si>
    <t>ใบพัดเรือโบ๊ทบีหักก่อนการแข่งขัน เกิดอะไรขึ้น?</t>
  </si>
  <si>
    <t>เรือ B สามารถเดินต่อไปได้โดยไม่ต้องใช้ใบพัด</t>
  </si>
  <si>
    <t>เรือ A ไม่มีทุ่นติดหัวเรือก่อนเริ่มการแข่งขัน เกิดอะไรขึ้น?</t>
  </si>
  <si>
    <t>เรือ A เกินเวลาที่กำหนด 2 นาทีเพื่อไปถึงตำแหน่งเส้นสตาร์ท เกิดอะไรขึ้น?</t>
  </si>
  <si>
    <t>เรือ A กำลังแซงเรือ B ภายใน 300 เมตรแรกหลังออกตัว เกิดอะไรขึ้น?</t>
  </si>
  <si>
    <t>เรือ A และเรือ B แล่นข้ามทุ่น เกิดอะไรขึ้น?</t>
  </si>
  <si>
    <t>เรือ A ได้จุดโทษหนึ่งรอบ</t>
  </si>
  <si>
    <t>เรือ B ได้จุดโทษหนึ่งรอบ</t>
  </si>
  <si>
    <t>เรือทั้งสองลำได้รับโทษหนึ่งรอบ</t>
  </si>
  <si>
    <t>เครื่องยนต์ของ Boat A สตาร์ทไม่ติดหลังจากผ่านไป 2 นาที เกิดอะไรขึ้น?</t>
  </si>
  <si>
    <t>เรือ A มาถึงช้าแต่ก็สามารถไปถึงเส้นสตาร์ทได้ภายในช่วงผ่อนผัน 2 นาที เกิดอะไรขึ้น?</t>
  </si>
  <si>
    <t>เรือ A ถูกจับได้ว่ากำลังขับออกจากเส้นสตาร์ทหลังจากที่กรรมการปล่อยเรือแล้ว เกิดอะไรขึ้น?</t>
  </si>
  <si>
    <t>เรือ A จบการแข่งขัน 3 รอบในการแข่งขัน 5 รอบ เกิดอะไรขึ้น?</t>
  </si>
  <si>
    <t>พบว่าเรือ A สวมเสื้อชูชีพที่ไม่แน่นหนาก่อนออกตัว เกิดอะไรขึ้น?</t>
  </si>
  <si>
    <t>พบว่าเรือ A สวมเสื้อชูชีพที่ไม่ครบก่อนออกตัว เกิดอะไรขึ้น?</t>
  </si>
  <si>
    <t>เรือ A ไม่สามารถกลับเข้าเส้นสตาร์ทได้ภายใน 2 นาที เกิดอะไรขึ้น?</t>
  </si>
  <si>
    <t>เรือ A ดำเนินต่อไป</t>
  </si>
  <si>
    <t>เรือ A ไม่มีหมายเลขเรือติดอยู่ก่อนออกเรือ เกิดอะไรขึ้น?</t>
  </si>
  <si>
    <t>เรือบี ฝ่าฝืนกฎไม่สวมหมวกกันน็อค เกิดอะไรขึ้น?</t>
  </si>
  <si>
    <t>เรือBไปต่อได้</t>
  </si>
  <si>
    <t>เรือ A จบหลักสูตรใน 4 รอบแทนที่จะเป็น 5 รอบ จะเกิดอะไรขึ้น?</t>
  </si>
  <si>
    <t>เรือ A ได้รับการเตือน</t>
  </si>
  <si>
    <t>เรือ A ฝึกซ้อมก่อนหมดเวลาฝึกซ้อมอย่างเป็นทางการ เกิดอะไรขึ้น?</t>
  </si>
  <si>
    <t>เรือ A สตาร์ทเครื่องยนต์ไม่ตรงเวลาตามคำสั่งของกรรมการ เกิดอะไรขึ้น?</t>
  </si>
  <si>
    <t>เรือ A ออกจากเส้นสตาร์ทก่อนสัญญาณออกตัวอย่างเป็นทางการ เกิดอะไรขึ้น?</t>
  </si>
  <si>
    <t>เรือ A ปฏิเสธที่จะปฏิบัติตามกฎและข้อบังคับของการแข่งขัน เกิดอะไรขึ้น?</t>
  </si>
  <si>
    <t>เรือ A ใช้ใบพัดหักระหว่างการแข่งขัน เกิดอะไรขึ้น?</t>
  </si>
  <si>
    <t>เรือ A แข่งครบ 5 รอบ สูงสุด 5 รอบ เกิดอะไรขึ้น?</t>
  </si>
  <si>
    <t>เครื่องยนต์ของ Boat A ขัดข้องระหว่างการแข่งขัน แต่ได้รับการแก้ไขภายใน 2 นาที เกิดอะไรขึ้น?</t>
  </si>
  <si>
    <t>เรือ A ลงแข่งขันโดยไม่มีทุ่นติดหัวเรือ เกิดอะไรขึ้น?</t>
  </si>
  <si>
    <t>เรือ A แซงเรือ B ก่อนถึงทุ่นเลี้ยวแรก เกิดอะไรขึ้น?</t>
  </si>
  <si>
    <t>เรือ A ออกจากตำแหน่งสตาร์ทแต่ไม่สามารถกลับได้ เกิดอะไรขึ้น?</t>
  </si>
  <si>
    <t>เรือ A มาถึงเส้นสตาร์ทหลังจากเวลาที่กำหนด 2 นาที เกิดอะไรขึ้น?</t>
  </si>
  <si>
    <t>เรือ A มาถึงเส้นเริ่มต้นหลังจากเวลาที่กำหนด 2 นาที เกิดอะไรขึ้น?</t>
  </si>
  <si>
    <t>เรือ A ใช้เวลาซ่อมเครื่องยนต์ 5 นาที เกิดอะไรขึ้น?</t>
  </si>
  <si>
    <t>ใบพัดของเรือ A สูญหาย เกิดอะไรขึ้น?</t>
  </si>
  <si>
    <t>เรือ A ไม่มีธงชาติติดไว้ เกิดอะไรขึ้น?</t>
  </si>
  <si>
    <t>เรือ A ถูกจับได้ว่ากำลังฝึกซ้อมหลังเวลาฝึกซ้อมอย่างเป็นทางการ เกิดอะไรขึ้น?</t>
  </si>
  <si>
    <t>เรือ A แข่งครบ 5 รอบ 6 รอบ เกิดอะไรขึ้น?</t>
  </si>
  <si>
    <t>เรือ A วิ่งไม่ครบรอบ เกิดอะไรขึ้น?</t>
  </si>
  <si>
    <t>เรือ A ถูกตัดสิทธิ์จากการขับข้ามทุ่น เกิดอะไรขึ้น?</t>
  </si>
  <si>
    <t>เรือ A สตาร์ทเครื่องยนต์ไม่ตรงเวลา เกิดอะไรขึ้น?</t>
  </si>
  <si>
    <t>เรือ A จะไม่ติดตั้งทุ่นที่หัวเรือก่อนการแข่งขัน เกิดอะไรขึ้น?</t>
  </si>
  <si>
    <t>เรือ A มาถึงเส้นสตาร์ทและไม่จับบริเวณสัญญาณ เกิดอะไรขึ้น?</t>
  </si>
  <si>
    <t>เรือ A เข้าเส้นชัยด้วยเครื่องยนต์ไม่ตรงตามข้อกำหนด เกิดอะไรขึ้น?</t>
  </si>
  <si>
    <t>เรือ A ถูกจับได้ว่าฝ่าฝืนกฎทุ่น เกิดอะไรขึ้น?</t>
  </si>
  <si>
    <t>เรือ A ฝึกปฏิบัติหลังจากได้รับสัญญาณออกตัวแล้ว เกิดอะไรขึ้น?</t>
  </si>
  <si>
    <t>เรือ A ออกจากเส้นสตาร์ทเร็ว เกิดอะไรขึ้น?</t>
  </si>
  <si>
    <t>เรือ A จบการแข่งขันด้วยสกอร์ต่ำกว่า 1</t>
  </si>
  <si>
    <t>เรือ A หางหักก่อนการแข่งขัน เกิดอะไรขึ้น?</t>
  </si>
  <si>
    <t>เรือ A เปลี่ยนเลนแซงเรือ B ส่งผลให้เกิดอุบัติเหตุ เกิดอะไรขึ้น?</t>
  </si>
  <si>
    <t>เรือ A ไม่ปฏิบัติตามกำหนดเวลา 2 นาทีเพื่อไปถึงตำแหน่งเริ่มต้นที่กำหนด ผลที่ตามมาคืออะไร?</t>
  </si>
  <si>
    <t>เรือ A ได้รับการขยายเวลาออกไป</t>
  </si>
  <si>
    <t>เรือควรพยายามสตาร์ทเครื่องยนต์หลังจากเวลาที่กำหนดโดยผู้ตัดสิน แต่ไม่ดำเนินการภายในระยะเวลาที่กำหนด บทลงโทษคืออะไร</t>
  </si>
  <si>
    <t>เรือ A ดำเนินต่อไปโดยไม่มีการลงโทษ</t>
  </si>
  <si>
    <t>เรือ A ให้เวลาอีก 2 นาที</t>
  </si>
  <si>
    <t>เมื่อเรือ B มาถึงเส้นสตาร์ทสายไม่ถึงภายใน 2 นาที จะเกิดอะไรขึ้นกับเรือ B?</t>
  </si>
  <si>
    <t>เรือ B ขึ้นนำก่อน</t>
  </si>
  <si>
    <t>เรือ B ถูกตัดสิทธิ์ทันที</t>
  </si>
  <si>
    <t>เรือ B ถูกลงโทษด้วยการหักเวลา</t>
  </si>
  <si>
    <t>เรือ B ได้รับอนุญาตให้แข่งขันได้หลังจากได้รับคำเตือน</t>
  </si>
  <si>
    <t>เรือ A เคลื่อนตัวออกจากพื้นที่ออกตัวที่กำหนดไว้ก่อนเริ่มการแข่งขันอย่างเป็นทางการ การกระทำใดต่อไปนี้จะเกิดขึ้น?</t>
  </si>
  <si>
    <t>เรือ A ถูกตำหนิอย่างเป็นทางการ</t>
  </si>
  <si>
    <t>เรือ A ถูกตัดสิทธิ์ทันที</t>
  </si>
  <si>
    <t>เรือ A ถูกลงโทษด้วยการหน่วงเวลา</t>
  </si>
  <si>
    <t>เรือ A ได้รับอนุญาตให้ดำเนินการต่อโดยมีคำเตือน</t>
  </si>
  <si>
    <t>หากเรือ B เริ่มการแข่งขันโดยที่อุปกรณ์ความปลอดภัยไม่เพียงพอ เช่น เสื้อชูชีพหายไป ผลลัพธ์จะเป็นอย่างไร?</t>
  </si>
  <si>
    <t>เรือ B ได้รับโทษเล็กน้อย</t>
  </si>
  <si>
    <t>เรือ B ได้รับคำเตือน</t>
  </si>
  <si>
    <t>เรือ B ได้รับอนุญาตให้ไปต่อได้</t>
  </si>
  <si>
    <t>เรือ A ไม่สามารถยึดทุ่นไว้ที่หัวเรือได้อย่างเหมาะสมก่อนการแข่งขัน โบ๊ทเอโดนจุดโทษอะไร?</t>
  </si>
  <si>
    <t>เรือ A ได้รับคำเตือนและอนุญาตให้ดำเนินการต่อได้</t>
  </si>
  <si>
    <t>เรือ A ได้รับอนุญาตให้แข่งขันได้โดยไม่มีการลงโทษ</t>
  </si>
  <si>
    <t>เมื่อถึงเส้นสตาร์ท เรือ A ละเลยที่จะยึดบริเวณสัญญาณ จะเกิดอะไรขึ้นต่อไป?</t>
  </si>
  <si>
    <t>เรือ A ได้จุดโทษ</t>
  </si>
  <si>
    <t>เรือ A ถูกตัดสิทธิ์จากการแข่งขัน</t>
  </si>
  <si>
    <t>เรือ A ยังคงดำเนินต่อไปโดยไม่มีปัญหา</t>
  </si>
  <si>
    <t>เรือ A เกินกำหนด 2 นาทีในการนำเรือไปยังเส้นเริ่มต้น การดำเนินการใดต่อเรือ A?</t>
  </si>
  <si>
    <t>เรือ A ได้รับคำเตือนและอนุญาตให้ไปต่อได้</t>
  </si>
  <si>
    <t>เครื่องยนต์ของ Boat B ขัดข้องก่อนการแข่งขันจะเริ่มขึ้น หลังจากช่วงผ่อนผัน 2 นาที เครื่องยนต์ยังคงไม่สตาร์ท เกิดอะไรขึ้น?</t>
  </si>
  <si>
    <t>เรือ B มีเวลาซ่อมแซมมากขึ้น</t>
  </si>
  <si>
    <t>เรือ B ได้รับอนุญาตให้ลงแข่งได้โดยไม่ต้องซ่อมเครื่องยนต์</t>
  </si>
  <si>
    <t>เรือ A ฝ่าฝืนโดยการข้ามทุ่นระหว่างการแข่งขัน เรือ A เสียค่าปรับเท่าไร?</t>
  </si>
  <si>
    <t>เรือ A ได้รับโทษหนึ่งรอบ</t>
  </si>
  <si>
    <t>หลังจากกรรมการผู้แข่งขันให้สัญญาณสตาร์ทแล้ว</t>
  </si>
  <si>
    <t>เรือ A ถูกลงโทษด้วยการหักรอบหนึ่งรอบ</t>
  </si>
  <si>
    <t>เรือ A ได้รับคำเตือนแล้ว แต่ปล่อยให้เดินต่อไปได้</t>
  </si>
  <si>
    <t>เรือ A แข่งขันโดยไม่มีหมายเลขเรือและธงชาติที่ถูกต้อง ผลที่ตามมาคืออะไร?</t>
  </si>
  <si>
    <t>เรือ A ถูกลงโทษด้วยการลงโทษเวลา</t>
  </si>
  <si>
    <t>เรือ A ดำเนินการต่อด้วยการหักเงินเล็กน้อย</t>
  </si>
  <si>
    <t>เครื่องยนต์ของ Boat A ไม่สามารถสตาร์ทได้ภายในระยะเวลาผ่อนผัน 2 นาที จะเกิดอะไรขึ้นต่อไป?</t>
  </si>
  <si>
    <t>เรือ A สามารถรีสตาร์ทได้หลังการซ่อมแซม</t>
  </si>
  <si>
    <t>เรือ A แล่นต่อไปด้วยความเร็วลดลง</t>
  </si>
  <si>
    <t>เรือ A มาถึงเส้นสตาร์ทช้าแต่ก็ไปถึงได้ภายในช่วงผ่อนผัน 2 นาที จะเกิดอะไรขึ้นกับเรือ A?</t>
  </si>
  <si>
    <t>เรือ A ถูกลงโทษ</t>
  </si>
  <si>
    <t>เรือ A แข่งขันต่อไปโดยไม่มีการลงโทษ</t>
  </si>
  <si>
    <t>เรือ A เกินระยะทางสูงสุดที่ 1</t>
  </si>
  <si>
    <t>200 เมตรสำหรับการวิ่งรอบเดียว บทลงโทษคืออะไร?</t>
  </si>
  <si>
    <t>เรือ A ได้รับอนุญาตให้เดินต่อได้โดยไม่มีการลงโทษ</t>
  </si>
  <si>
    <t>พบว่าเรือ A ฝ่าฝืนกฎโดยออกจากตำแหน่งออกตัวก่อนเวลาอันควร เกิดอะไรขึ้น?</t>
  </si>
  <si>
    <t>เรือ A ออกจากเส้นสตาร์ทก่อนเวลาสัญญาณอย่างเป็นทางการ บทลงโทษคืออะไร?</t>
  </si>
  <si>
    <t>เรือ A ฝึกซ้อมหลังจากเวลาตัดการฝึกซ้อมอย่างเป็นทางการ 30 นาที ผลที่ตามมาคืออะไร?</t>
  </si>
  <si>
    <t>เรือ A ได้รับโทษเล็กน้อย</t>
  </si>
  <si>
    <t>เรือ A ได้รับการต่อเวลาเพิ่มอีก 10 นาที</t>
  </si>
  <si>
    <t>ใบพัดของ Boat A หลุดกลางการแข่งขัน เกิดอะไรขึ้น?</t>
  </si>
  <si>
    <t>เรือ A เดินต่อไปโดยไม่มีใบมีด</t>
  </si>
  <si>
    <t>พบเรือ A กำลังฝึกซ้อมหลังจากได้รับสัญญาณสตาร์ทแล้ว เกิดอะไรขึ้น?</t>
  </si>
  <si>
    <t>เรือ A ดำเนินต่อไปโดยมีโทษเล็กน้อย</t>
  </si>
  <si>
    <t>เรือ A พยายามแซงเรือ B ในช่วง 300 เมตรแรกหลังออกตัว เกิดอะไรขึ้น?</t>
  </si>
  <si>
    <t>เรือ A ได้รับอนุญาตให้ไปต่อได้</t>
  </si>
  <si>
    <t>เครื่องยนต์ของ Boat A ขัดข้องระหว่างการแข่งขัน แต่ได้รับการแก้ไขหลังจากหมดเวลาซ่อม 2 นาที เกิดอะไรขึ้น?</t>
  </si>
  <si>
    <t>เรือ A ละเลยกฎอุปกรณ์นิรภัยและแข่งขันโดยไม่สวมหมวกกันน็อค ผลลัพธ์คืออะไร?</t>
  </si>
  <si>
    <t>เรือ A เข้าเส้นชัยเพียง 3 รอบในการแข่งขันที่ออกแบบมาให้มี 5 รอบ เกิดอะไรขึ้น?</t>
  </si>
  <si>
    <t>เรือ A เกินระยะทางตรงสูงสุด 500 เมตรต่อรอบ บทลงโทษคืออะไร?</t>
  </si>
  <si>
    <t>เรือ A จะไม่ติดตั้งทุ่นที่หัวเรือก่อนเริ่มการแข่งขัน เกิดอะไรขึ้น?</t>
  </si>
  <si>
    <t>เรือ A สามารถแข่งขันต่อได้</t>
  </si>
  <si>
    <t>เรือ A แหกกฎด้วยการข้ามทุ่นระหว่างการแข่งขัน มีการลงโทษอะไรบ้าง?</t>
  </si>
  <si>
    <t>เรือ A ไม่ได้เตรียมเรืออย่างเหมาะสมก่อนการแข่งขัน เกิดอะไรขึ้น?</t>
  </si>
  <si>
    <t>เรือ A ฝึกซ้อมหลังจากช่วงระยะเวลาตัดอย่างเป็นทางการสำหรับการฝึกซ้อม เกิดอะไรขึ้น?</t>
  </si>
  <si>
    <t>เรือ A ไม่ถึงเส้นสตาร์ทภายใน 2 นาที นับจากกรรมการออกคำสั่ง เกิดอะไรขึ้น?</t>
  </si>
  <si>
    <t>เรือ A อนุญาตให้มีเวลามากขึ้น</t>
  </si>
  <si>
    <t>เรือ A แข่งขันกับหางที่เสียหาย บทลงโทษคืออะไร?</t>
  </si>
  <si>
    <t>การฝึกซ้อมเรือ A หลังจากสิ้นสุดระยะเวลาการฝึกซ้อมอย่างเป็นทางการ ผลที่ตามมาคืออะไร?</t>
  </si>
  <si>
    <t>เรือ A ได้รับโทษ 1 รอบจากการขับข้ามทุ่น เกิดอะไรขึ้น?</t>
  </si>
  <si>
    <t>พบเรือ A โดยไม่มีธงชาติที่ถูกต้องก่อนออกตัว บทลงโทษคืออะไร?</t>
  </si>
  <si>
    <t>เรือ A สามารถแข่งได้โดยไม่มีโทษ</t>
  </si>
  <si>
    <t>เรือ A เข้ารอบช้า เกิดอะไรขึ้น?</t>
  </si>
  <si>
    <t>เรือ A ทำงานโดยไม่มีอุปกรณ์ช่วยชีวิตที่เหมาะสม เกิดอะไรขึ้น?</t>
  </si>
  <si>
    <t>เรือ A ข้ามทุ่นเร็ว บทลงโทษคืออะไร?</t>
  </si>
  <si>
    <t>พบว่าเรือ A ทำงานโดยไม่มีฝาครอบเครื่องยนต์อยู่ เกิดอะไรขึ้น?</t>
  </si>
  <si>
    <t>เรือ A เริ่มการแข่งขันเร็วโดยไม่มีสัญญาณ ผลที่ตามมาคืออะไร?</t>
  </si>
  <si>
    <t>เรือ A เริ่มการแข่งขันหลังจากสัญญาณออกตัวที่กำหนดไว้แล้ว มีการลงโทษอะไรบ้าง?</t>
  </si>
  <si>
    <t>พบว่าเรือ A สตาร์ทเครื่องยนต์ล่าช้า จะเกิดอะไรขึ้นต่อไป?</t>
  </si>
  <si>
    <t>เรือ A สามารถเดินทางต่อไปได้โดยไม่มีปัญหา</t>
  </si>
  <si>
    <t>เรือ A เกินเวลาสูงสุดที่อนุญาตก่อนที่จะข้ามเส้นสตาร์ท เรือ A เสียค่าปรับเท่าไร?</t>
  </si>
  <si>
    <t>เรือ A ให้เวลาเพิ่มอีก 2 นาที</t>
  </si>
  <si>
    <t>เรือ A ไม่สามารถยึดเครื่องยนต์ได้อย่างเหมาะสม บทลงโทษคืออะไร?</t>
  </si>
  <si>
    <t>เรือ A ฝ่าฝืนกฎความเร็วสูงสุดในระหว่างการแข่งขัน ผลลัพธ์คืออะไร?</t>
  </si>
  <si>
    <t>เรือ A มาถึงจุดสตาร์ทช้าและพลาดกรอบเวลา 2 นาที ให้โทษอะไร?</t>
  </si>
  <si>
    <t>เครื่องยนต์ของ Boat A ดับก่อนการแข่งขัน 3 นาที และไม่สามารถออกตัวได้ทันเวลา ผลลัพธ์คืออะไร?</t>
  </si>
  <si>
    <t>เรือ A ให้เวลาซ่อมแซมมากขึ้น</t>
  </si>
  <si>
    <t>เรือ A ไม่สามารถออกสตาร์ทได้หลังจากผ่านไป 2 นาทีเพื่อซ่อมแซม จะเกิดอะไรขึ้นต่อไป?</t>
  </si>
  <si>
    <t>เรือ A ไม่แสดงใบรับรองความปลอดภัยก่อนการแข่งขัน จะเกิดอะไรขึ้นต่อไป?</t>
  </si>
  <si>
    <t>เรือ A ได้รับอนุญาตให้ลงแข่งได้</t>
  </si>
  <si>
    <t>เรือ A จงใจกีดขวางเรือ B ในระหว่างการแข่งขัน บทลงโทษคืออะไร?</t>
  </si>
  <si>
    <t>ลูกเรือของ Boat A ถูกพบว่ายังไม่บรรลุนิติภาวะ จะเกิดอะไรขึ้นกับเรือ A?</t>
  </si>
  <si>
    <t>เรือ A ถูกปรับ</t>
  </si>
  <si>
    <t>เรือ A ไม่ผ่านเกณฑ์น้ำหนักที่กำหนดก่อนการแข่งขัน ผลที่ตามมาคืออะไร?</t>
  </si>
  <si>
    <t>เรือ A ข้ามเส้นชัยก่อนเวลาโดยไม่ได้ผ่านรอบที่กำหนด บทลงโทษคืออะไร?</t>
  </si>
  <si>
    <t>เรือ A ล้มเหลวในการส่งสัญญาณความตั้งใจที่จะแซง จะต้องรับโทษอะไรบ้าง?</t>
  </si>
  <si>
    <t>เรือ A ไม่ปฏิบัติตามแผนผังสนามที่ถูกต้องระหว่างการแข่งขัน จะเกิดอะไรขึ้นกับเรือ A?</t>
  </si>
  <si>
    <t>เรือ A ข้ามเส้นสตาร์ทที่กำหนดไว้เร็วเกินไป แต่กลับไปสู่ตำแหน่งเริ่มต้นที่ถูกต้องภายในเวลาที่อนุญาต เกิดอะไรขึ้น?</t>
  </si>
  <si>
    <t>เรือ A ใช้น้ำมันเชื้อเพลิงโดยไม่ได้รับอนุญาตในระหว่างการแข่งขัน ผลลัพธ์คืออะไร?</t>
  </si>
  <si>
    <t>เรือ ก จงใจชน เรือ บี มีโทษปรับอย่างไร?</t>
  </si>
  <si>
    <t>เรือ A มีลูกเรือไม่ครบตามจำนวนที่กำหนด บทลงโทษคืออะไร?</t>
  </si>
  <si>
    <t>เรือ A ลงแข่งขันด้วยตัวเรือเสียหาย เกิดอะไรขึ้น?</t>
  </si>
  <si>
    <t>ใบพัดของเรือ A มีขนาดเกินขนาดที่อนุญาตสำหรับชั้นเรียน จะเกิดอะไรขึ้นกับเรือ A?</t>
  </si>
  <si>
    <t>เรือ A ไม่ปฏิบัติตามขั้นตอนการตรวจสอบก่อนการแข่งขันที่เหมาะสม ผลที่ตามมาคืออะไร?</t>
  </si>
  <si>
    <t>เรือ A ได้รับอนุญาตให้แข่งขันได้หลังจากได้รับคำเตือน</t>
  </si>
  <si>
    <t>เรือ A ไม่ยอมยอมให้เรือลำอื่นเมื่อจำเป็น เกิดอะไรขึ้น?</t>
  </si>
  <si>
    <t>เรือ A ได้รับโทษหากขับเกินขีดจำกัดความเร็วในเขตแข่งขัน ผลที่ตามมาคืออะไร?</t>
  </si>
  <si>
    <t>เรือ A ประสบอุบัติเหตุและทำให้สนามแข่งเสียหาย เกิดอะไรขึ้น?</t>
  </si>
  <si>
    <t>เรือ A ออกจากบริเวณหลุมหลังจากเวลาคัทออฟ จะเกิดอะไรขึ้นกับเรือ A?</t>
  </si>
  <si>
    <t>ลูกเรือของเรือ A ไม่สวมอุปกรณ์ป้องกันที่จำเป็นระหว่างการแข่งขัน เกิดอะไรขึ้น?</t>
  </si>
  <si>
    <t>เรือ A ได้รับโทษฐานไม่ปฏิบัติตามกำหนดเวลาการแข่งขันอย่างเหมาะสม มีการลงโทษอะไรบ้าง?</t>
  </si>
  <si>
    <t>เรือ A ถูกจับได้โดยใช้การดัดแปลงเครื่องยนต์อย่างผิดกฎหมาย เกิดอะไรขึ้น?</t>
  </si>
  <si>
    <t>เรือ A เกินจำนวนรอบสูงสุดที่อนุญาต จะเกิดอะไรขึ้นต่อไป?</t>
  </si>
  <si>
    <t>เรือ A ล้มเหลวในการเข้าจอดตามคำสั่ง บทลงโทษคืออะไร?</t>
  </si>
  <si>
    <t>เรือ A ออกจากพื้นที่ออกตัวก่อนสัญญาณอย่างเป็นทางการ เกิดอะไรขึ้น?</t>
  </si>
  <si>
    <t>เรือ A ฝ่าฝืนวินัยเลนระหว่างการแข่งขัน เรือ A เสียค่าปรับเท่าไร?</t>
  </si>
  <si>
    <t>เรือ A กินเลนระหว่างการแข่งขัน เรือ A จะได้รับผลอะไร?</t>
  </si>
  <si>
    <t>เรือ A ไม่ยื่นเอกสารการสมัครแข่งขัน เกิดอะไรขึ้น?</t>
  </si>
  <si>
    <t>เรือ A แข่งขันโดยไม่มีทะเบียนเรือที่ถูกต้อง ผลลัพธ์คืออะไร?</t>
  </si>
  <si>
    <t>เรือ A ได้รับอนุญาตให้แข่งขันโดยมีจุดโทษ</t>
  </si>
  <si>
    <t>เรือ A ข้ามเส้นชัยแต่ไม่ครบตามจำนวนรอบที่ต้องการ เกิดอะไรขึ้น?</t>
  </si>
  <si>
    <t>เรือ A กีดขวางแนวแข่งของเรือลำอื่นโดยไม่จำเป็น บทลงโทษคืออะไร?</t>
  </si>
  <si>
    <t>เรือ A จะแข่งขันโดยไม่มีธงที่ถูกต้องซึ่งระบุสัญชาติ บทลงโทษคืออะไร?</t>
  </si>
  <si>
    <t>เรือ A เข้าร่วมการแข่งขันด้วยหางเสือหัก เกิดอะไรขึ้น?</t>
  </si>
  <si>
    <t>เรือ A แข่งขันด้วยหมายเลขเรือที่ไม่เหมาะสม เกิดอะไรขึ้น?</t>
  </si>
  <si>
    <t>เรือ A มีพฤติกรรมไม่มีน้ำใจนักกีฬาในระหว่างการแข่งขัน เกิดอะไรขึ้น?</t>
  </si>
  <si>
    <t>เรือ A ไม่สามารถติดอุปกรณ์นิรภัยได้อย่างเหมาะสมก่อนการแข่งขัน เกิดอะไรขึ้น?</t>
  </si>
  <si>
    <t>เรือ A เพิกเฉยต่อขีดจำกัดความเร็วระหว่างการแข่งขัน บทลงโทษคืออะไร?</t>
  </si>
  <si>
    <t>เรือ A ถูกจับได้ว่ากำลังแล่นผ่านไปอีกลำหนึ่งผิดด้านของสนาม เกิดอะไรขึ้น?</t>
  </si>
  <si>
    <t>เรือ A พยายามเริ่มการแข่งขันโดยไม่ได้เช็คอินอย่างเป็นทางการ เกิดอะไรขึ้น?</t>
  </si>
  <si>
    <t>เรือ A พยายามเริ่มการแข่งขันโดยไม่ได้ลงทะเบียนอย่างเป็นทางการ เกิดอะไรขึ้น?</t>
  </si>
  <si>
    <t>เรือ A ฝ่าฝืนกฎโดยทำให้เกิดสถานการณ์ที่ไม่ปลอดภัยระหว่างการแข่งขัน โบ๊ทเอโดนจุดโทษอะไร?</t>
  </si>
  <si>
    <t>เรือ A ทำการฝึกซ้อมต้องห้ามหลังจากหมดเวลาฝึกซ้อมที่กำหนดแล้ว ผลลัพธ์คืออะไร?</t>
  </si>
  <si>
    <t>เรือ A ไม่ปฏิบัติตามตารางการแข่งขันอย่างเป็นทางการ เกิดอะไรขึ้น?</t>
  </si>
  <si>
    <t>เรือ A มาถึงจุดออกตัวหลังจากช่วงผ่อนผัน 2 นาที เกิดอะไรขึ้น?</t>
  </si>
  <si>
    <t>เรือ A ได้รับโอกาสอีกครั้ง</t>
  </si>
  <si>
    <t>เรือ A ไม่ปฏิบัติตามข้อกำหนดการบรรยายสรุปก่อนการแข่งขัน เกิดอะไรขึ้น?</t>
  </si>
  <si>
    <t>เรือ A เริ่มแข่งก่อนสัญญาณออกตัวอย่างเป็นทางการ มีโทษอะไรบ้าง?</t>
  </si>
  <si>
    <t>เรือ A ออกตัวก่อนสัญญาณออกตัวอย่างเป็นทางการ มีโทษอะไรบ้าง?</t>
  </si>
  <si>
    <t>ลูกเรือของเรือ A ไม่สวมเสื้อชูชีพตามที่กำหนด บทลงโทษคืออะไร?</t>
  </si>
  <si>
    <t>เรือ A ไม่ได้วิ่งผ่านเส้นทางการแข่งขันทั้งหมด บทลงโทษคืออะไร?</t>
  </si>
  <si>
    <t>เรือ A ฝ่าฝืนกฎของสนามโดยการข้ามทุ่นเร็ว เกิดอะไรขึ้น?</t>
  </si>
  <si>
    <t>การแข่งขันเรือ A โดยไม่มีจำนวนลูกเรือบังคับ เกิดอะไรขึ้น?</t>
  </si>
  <si>
    <t>เรือ A แข่งขันโดยไม่มีหมายเลขทะเบียนที่ถูกต้อง เกิดอะไรขึ้น?</t>
  </si>
  <si>
    <t>เรือ A ฝ่าฝืนกฎการเปลี่ยนเลนระหว่างการแข่งขัน เกิดอะไรขึ้น?</t>
  </si>
  <si>
    <t>เรือ A เริ่มการแข่งขันด้วยเครื่องยนต์ขัดข้อง เรือ A เสียค่าปรับเท่าไร?</t>
  </si>
  <si>
    <t>เรือ A ได้รับโอกาสซ่อมเครื่องยนต์อีกครั้ง</t>
  </si>
  <si>
    <t>คุณสังเกตเห็นว่าเพื่อนร่วมทีมในเลนว้าวดูเหนื่อยล้า คุณจะทำอย่างไร?</t>
  </si>
  <si>
    <t>ผู้ฝึกสอนขอให้คุณร้องเพลงเชียร์ทีม คุณจะทำอย่างไร?</t>
  </si>
  <si>
    <t>ขณะเล่นเลนว้าว คุณสังเกตว่าวงกลมไม่เท่ากัน คุณจะทำอย่างไร?</t>
  </si>
  <si>
    <t>A) ปรับตำแหน่งของคุณทันที; B) เพิกเฉยและเล่นต่อ; C) แจ้งผู้ฝึกสอน; D) เดินออกจากวง</t>
  </si>
  <si>
    <t>การรักษาวงกลมให้สมดุลเป็นสิ่งสำคัญต่อความราบรื่นของเกม.</t>
  </si>
  <si>
    <t>เพื่อนร่วมทีมทำจังหวะพลาดในระหว่างการเล่น คุณจะทำอย่างไร?</t>
  </si>
  <si>
    <t>ลูกเลนว้าวโดนคุณแล้วเสียจังหวะ คุณจะทำอย่างไร?</t>
  </si>
  <si>
    <t>A) ขอโทษทีมและพยายามแก้ไข; B) ไม่สนใจ; C) โทษเพื่อนร่วมทีม; D) หยุดเล่น</t>
  </si>
  <si>
    <t>A) ขอโทษทีมและพยายามแก้ไข</t>
  </si>
  <si>
    <t>การยอมรับผิดและพยายามแก้ไขช่วยสร้างความไว้วางใจ.</t>
  </si>
  <si>
    <t>คุณพบว่าไม้ลมของคุณเริ่มลดความเร็วในระหว่างการต่อสู้ คุณจะทำอย่างไร?</t>
  </si>
  <si>
    <t>A) ปรับทิศทางและเพิ่มความเร็ว; B) ทิ้งไม้ลมและเปลี่ยนกลยุทธ์; C) รอให้ลมพัดเข้ามาช่วย; D) แจ้งผู้ฝึกสอน</t>
  </si>
  <si>
    <t>A) ปรับทิศทางและเพิ่มความเร็ว</t>
  </si>
  <si>
    <t>การปรับทิศทางและเพิ่มความเร็วช่วยให้ไม้ลมเคลื่อนไหวได้ดีขึ้น.</t>
  </si>
  <si>
    <t>ไม้ลมของคู่แข่งกำลังใกล้จะชนกับไม้ลมของคุณ คุณจะทำอย่างไร?</t>
  </si>
  <si>
    <t>A) เลี้ยวหลบและตีไม้ลมเขา; B) ยอมให้ไม้ลมเขาชนคุณ; C) พยายามดึงไม้ลมไปข้างหลัง; D) รอให้คู่แข่งทำผิดพลาด</t>
  </si>
  <si>
    <t>A) เลี้ยวหลบและตีไม้ลมเขา</t>
  </si>
  <si>
    <t>การหลบหลีกและโจมตีไม้ลมคู่แข่งเป็นกลยุทธ์ที่ดีในสถานการณ์นี้.</t>
  </si>
  <si>
    <t>ในระหว่างการแข่งขันคุณรู้สึกว่าการควบคุมไม้ลมยากขึ้น คุณจะทำอย่างไร?</t>
  </si>
  <si>
    <t>A) ปรับมือใหม่และพยายามควบคุมให้ดีขึ้น; B) แจ้งผู้ฝึกสอนเพื่อขอคำแนะนำ; C) รอจนกว่าลมจะเบาลง; D) หยุดการแข่งขัน</t>
  </si>
  <si>
    <t>A) ปรับมือใหม่และพยายามควบคุมให้ดีขึ้น</t>
  </si>
  <si>
    <t>การปรับมือใหม่ช่วยให้ควบคุมไม้ลมได้ดียิ่งขึ้น.</t>
  </si>
  <si>
    <t>คุณเห็นคู่แข่งเริ่มใช้กลยุทธ์ใหม่ในระหว่างเกม คุณจะทำอย่างไร?</t>
  </si>
  <si>
    <t>A) ปรับกลยุทธ์และตอบโต้; B) รอให้เขาทำผิดพลาด; C) เลิกเล่น; D) พยายามแย่งไม้ลมกลับมา</t>
  </si>
  <si>
    <t>A) ปรับกลยุทธ์และตอบโต้</t>
  </si>
  <si>
    <t>การปรับกลยุทธ์เพื่อรับมือกับการเปลี่ยนแปลงช่วยให้คุณชนะได้.</t>
  </si>
  <si>
    <t>การแข่งขันเริ่มเครียดและคุณรู้สึกกดดัน คุณจะทำอย่างไร?</t>
  </si>
  <si>
    <t>A) รักษาความสงบและทำตามแผน; B) ขอโทษและเลิกเล่น; C) ทำผิดพลาดโดยไม่ตั้งใจ; D) ปรับท่าทางใหม่</t>
  </si>
  <si>
    <t>A) รักษาความสงบและทำตามแผน</t>
  </si>
  <si>
    <t>การรักษาความสงบช่วยให้การเล่นมีประสิทธิภาพสูงสุด.</t>
  </si>
  <si>
    <t>คุณเห็นเพื่อนร่วมทีมเริ่มหมดกำลังใจ คุณจะทำอย่างไร?</t>
  </si>
  <si>
    <t>A) ให้กำลังใจและพูดคุยกับเขา; B) ปล่อยให้เขาเงียบ; C) ทำให้เขารู้สึกแย่; D) หลีกเลี่ยงการพูดคุย</t>
  </si>
  <si>
    <t>A) ให้กำลังใจและพูดคุยกับเขา</t>
  </si>
  <si>
    <t>การให้กำลังใจช่วยให้เพื่อนร่วมทีมฟื้นฟูความเชื่อมั่น.</t>
  </si>
  <si>
    <t>คุณต้องการตีไม้ลมให้หลุดจากวงกลม แต่คู่แข่งมองเห็นคุณ คุณจะทำอย่างไร?</t>
  </si>
  <si>
    <t>A) สร้างการเบี่ยงเบนและโจมตีในช่วงที่เขาไม่ทันสังเกต; B) ตีไม้ลมด้วยความเร็วสูงทันที; C) ล่าช้าและรอจังหวะที่ดีที่สุด; D) ถอยออกจากวงกลม</t>
  </si>
  <si>
    <t>A) สร้างการเบี่ยงเบนและโจมตีในช่วงที่เขาไม่ทันสังเกต</t>
  </si>
  <si>
    <t>การเบี่ยงเบนและโจมตีช่วยให้ไม้ลมของคุณปลอดภัย.</t>
  </si>
  <si>
    <t>คุณต้องการจะส่งไม้ลมไปชนกับคู่แข่ง แต่สายลมแรงเกินไป คุณจะทำอย่างไร?</t>
  </si>
  <si>
    <t>A) รอให้ลมอ่อนลง; B) ใช้ไม้ลมที่มีน้ำหนักมากขึ้น; C) ปรับทิศทางและส่งไม้ลมไปทางอื่น; D) หยุดเล่น</t>
  </si>
  <si>
    <t>C) ปรับทิศทางและส่งไม้ลมไปทางอื่น</t>
  </si>
  <si>
    <t>การปรับทิศทางช่วยให้ไม้ลมส่งออกไปได้อย่างมั่นคง.</t>
  </si>
  <si>
    <t>คุณเห็นไม้ลมของคู่แข่งกำลังจะตีไม้ลมของคุณ คุณจะทำอย่างไร?</t>
  </si>
  <si>
    <t>A) หลีกเลี่ยงการโดนไม้ลม; B) ใช้ไม้ลมของคุณตีกลับ; C) ยอมให้เขาชนะ; D) หยุดการเคลื่อนไหว</t>
  </si>
  <si>
    <t>B) ใช้ไม้ลมของคุณตีกลับ</t>
  </si>
  <si>
    <t>การใช้ไม้ลมของตัวเองตีกลับช่วยป้องกันการสูญเสีย.</t>
  </si>
  <si>
    <t>ไม้ลมของคุณเริ่มสะบัด คุณจะทำอย่างไร?</t>
  </si>
  <si>
    <t>A) ใช้มือประคองไม้ลมให้คงที่; B) ปล่อยไม้ลมให้สะบัดจนหยุด; C) พยายามบังคับให้ไม้ลมอยู่ในตำแหน่งที่ดี; D) หยุดเล่น</t>
  </si>
  <si>
    <t>A) ใช้มือประคองไม้ลมให้คงที่</t>
  </si>
  <si>
    <t>การใช้มือประคองไม้ลมช่วยให้การควบคุมดียิ่งขึ้น.</t>
  </si>
  <si>
    <t>คู่แข่งเริ่มใช้กลยุทธ์ที่ไม่คาดคิดในระหว่างการเล่น คุณจะทำอย่างไร?</t>
  </si>
  <si>
    <t>A) หยุดและคิดใหม่; B) ตอบโต้ด้วยกลยุทธ์ที่คล้ายกัน; C) ประเมินสถานการณ์และตอบโต้; D) พยายามเข้าไปในพื้นที่ของเขา</t>
  </si>
  <si>
    <t>C) ประเมินสถานการณ์และตอบโต้</t>
  </si>
  <si>
    <t>การประเมินและตอบโต้กลยุทธ์ใหม่ช่วยให้คุณรักษาความได้เปรียบ.</t>
  </si>
  <si>
    <t>ไม้ลมของคุณโดนติดอะไรบางอย่างในสนาม คุณจะทำอย่างไร?</t>
  </si>
  <si>
    <t>A) พยายามดึงไม้ลมออก; B) แจ้งผู้ฝึกสอน; C) ถอยออกจากสนาม; D) ลองปล่อยไม้ลมให้เคลื่อนที่</t>
  </si>
  <si>
    <t>A) พยายามดึงไม้ลมออก</t>
  </si>
  <si>
    <t>การแก้ไขปัญหาทันทีช่วยให้การเล่นดำเนินต่อไปได้.</t>
  </si>
  <si>
    <t>ไม้ลมของคู่แข่งกำลังหมุนและอาจหลุดจากมือคุณ คุณจะทำอย่างไร?</t>
  </si>
  <si>
    <t>A) ควบคุมไม้ลมให้กลับมาอยู่ในตำแหน่งที่ดี; B) ปล่อยให้ไม้ลมหลุดไป; C) ถอยออกจากสนาม; D) โจมตีไม้ลมเขาก่อน</t>
  </si>
  <si>
    <t>A) ควบคุมไม้ลมให้กลับมาอยู่ในตำแหน่งที่ดี</t>
  </si>
  <si>
    <t>การควบคุมไม้</t>
  </si>
  <si>
    <t>คุณรู้สึกว่าไม้ลมของคุณเริ่มเสียสมดุล คุณจะทำอย่างไร?</t>
  </si>
  <si>
    <t>A) ปรับการถือไม้ลมให้มั่นคง; B) หยุดการเคลื่อนไหวและรอให้ลมดีขึ้น; C) โจมตีไม้ลมของคู่แข่งแทน; D) เปลี่ยนไม้ลมใหม่</t>
  </si>
  <si>
    <t>A) ปรับการถือไม้ลมให้มั่นคง</t>
  </si>
  <si>
    <t>การปรับท่าทางการถือไม้ลมช่วยเพิ่มความเสถียรในขณะเล่น.</t>
  </si>
  <si>
    <t>คุณเห็นคู่แข่งเตรียมไม้ลมจะตีไม้ลมของคุณ คุณจะทำอย่างไร?</t>
  </si>
  <si>
    <t>A) รอดูท่าทีและหลบไม้ลม; B) ตีไม้ลมของเขากลับ; C) หนีออกจากสนาม; D) ขอโทษและยอมแพ้</t>
  </si>
  <si>
    <t>B) ตีไม้ลมของเขากลับ</t>
  </si>
  <si>
    <t>การตอบโต้ไม้ลมของคู่แข่งช่วยป้องกันไม่ให้เสียไม้ลม.</t>
  </si>
  <si>
    <t>ในขณะที่เล่น คุณรู้สึกว่ากลยุทธ์ของคู่แข่งมีประสิทธิภาพมากขึ้น คุณจะทำอย่างไร?</t>
  </si>
  <si>
    <t>A) เปลี่ยนกลยุทธ์ของตัวเองและตอบโต้; B) รอให้เขาทำผิดพลาด; C) แย่งไม้ลมจากเขา; D) เลิกเล่น</t>
  </si>
  <si>
    <t>A) เปลี่ยนกลยุทธ์ของตัวเองและตอบโต้</t>
  </si>
  <si>
    <t>การปรับกลยุทธ์ช่วยให้สามารถรับมือกับคู่แข่งได้ดียิ่งขึ้น.</t>
  </si>
  <si>
    <t>คุณสังเกตเห็นว่าไม้ลมของคู่แข่งกำลังจะโดนไม้ลมของคุณ คุณจะทำอย่างไร?</t>
  </si>
  <si>
    <t>A) ตีไม้ลมของเขากลับไป; B) รอดูและหวังว่าจะไม่โดนไม้ลม; C) พยายามหลีกเลี่ยงให้ไม้ลมไม่ชนกัน; D) หยุดเล่น</t>
  </si>
  <si>
    <t>C) พยายามหลีกเลี่ยงให้ไม้ลมไม่ชนกัน</t>
  </si>
  <si>
    <t>การหลีกเลี่ยงช่วยป้องกันไม่ให้เกิดการเสียไม้ลม.</t>
  </si>
  <si>
    <t>คุณเห็นไม้ลมของคุณกำลังจะหัก คุณจะทำอย่างไร?</t>
  </si>
  <si>
    <t>A) รีบจับไม้ลมให้มั่นคงและหยุดการเคลื่อนไหว; B) เปลี่ยนไม้ลมใหม่ทันที; C) ปล่อยไม้ลมให้หลุด; D) แจ้งผู้ฝึกสอน</t>
  </si>
  <si>
    <t>A) รีบจับไม้ลมให้มั่นคงและหยุดการเคลื่อนไหว</t>
  </si>
  <si>
    <t>การจับไม้ลมให้มั่นคงช่วยป้องกันไม่ให้ไม้ลมหัก.</t>
  </si>
  <si>
    <t>คุณได้ยินเสียงดังจากฝูงชนในขณะที่เล่น คุณจะทำอย่างไร?</t>
  </si>
  <si>
    <t>A) รักษาความสงบและมุ่งมั่น; B) หันไปดูฝูงชนและตอบโต้; C) ขอหยุดการแข่งขัน; D) ละเลยฝูงชนและโฟกัสที่เกม</t>
  </si>
  <si>
    <t>D) ละเลยฝูงชนและโฟกัสที่เกม</t>
  </si>
  <si>
    <t>การไม่สนใจสิ่งรบกวนช่วยให้คุณมุ่งเน้นที่เกม.</t>
  </si>
  <si>
    <t>เพื่อนร่วมทีมของคุณถูกทำให้สับสนโดยกลยุทธ์ของคู่แข่ง คุณจะทำอย่างไร?</t>
  </si>
  <si>
    <t>A) ช่วยให้เพื่อนร่วมทีมฟื้นฟูความมั่นใจ; B) ให้คำแนะนำและปรับกลยุทธ์; C) ปล่อยให้เขาตัดสินใจเอง; D) ละเลยสถานการณ์</t>
  </si>
  <si>
    <t>B) ให้คำแนะนำและปรับกลยุทธ์</t>
  </si>
  <si>
    <t>การช่วยเพื่อนร่วมทีมปรับกลยุทธ์จะช่วยให้ทีมกลับมาได้.</t>
  </si>
  <si>
    <t>ในระหว่างการแข่งขัน คุณสังเกตเห็นว่าลมเริ่มแรงขึ้น คุณจะทำอย่างไร?</t>
  </si>
  <si>
    <t>A) ปรับทิศทางไม้ลมให้เข้ากับลม; B) รอให้ลมสงบ; C) หยุดเล่นจนกว่าจะมีการแจ้งจากผู้ฝึกสอน; D) เปลี่ยนกลยุทธ์ทันที</t>
  </si>
  <si>
    <t>A) ปรับทิศทางไม้ลมให้เข้ากับลม</t>
  </si>
  <si>
    <t>การปรับทิศทางไม้ลมช่วยให้ไม้ลมไม่เสียสมดุล.</t>
  </si>
  <si>
    <t>คุณเห็นไม้ลมของคู่แข่งมีการเคลื่อนไหวที่น่าประทับใจ คุณจะทำอย่างไร?</t>
  </si>
  <si>
    <t>A) พยายามเลียนแบบกลยุทธ์นั้น; B) สังเกตและหาจุดอ่อน; C) ตอบโต้ด้วยกลยุทธ์ที่แตกต่าง; D) หลีกเลี่ยงการตอบโต้</t>
  </si>
  <si>
    <t>B) สังเกตและหาจุดอ่อน</t>
  </si>
  <si>
    <t>การสังเกตคู่แข่งช่วยให้หาจุดอ่อนและตอบโต้ได้.</t>
  </si>
  <si>
    <t>ในระหว่างการเล่นคุณรู้สึกไม่มั่นใจ คุณจะทำอย่างไร?</t>
  </si>
  <si>
    <t>A) รักษาความสงบและพยายามคิดให้ชัดเจน; B) ขอให้ผู้ฝึกสอนเข้ามาช่วย; C) เปลี่ยนไม้ลมใหม่; D) หยุดการเคลื่อนไหวและขอพัก</t>
  </si>
  <si>
    <t>A) รักษาความสงบและพยายามคิดให้ชัดเจน</t>
  </si>
  <si>
    <t>การรักษาความสงบช่วยให้คุณฟื้นฟูความมั่นใจ.</t>
  </si>
  <si>
    <t>คุณสังเกตเห็นว่าคู่แข่งของคุณเริ่มเสียสมดุล คุณจะทำอย่างไร?</t>
  </si>
  <si>
    <t>A) ใช้โอกาสนี้โจมตีเขา; B) รอให้เขาฟื้นตัวแล้วเล่นต่อ; C) ช่วยเขาเพื่อให้เกมยุติธรรม; D) หลีกเลี่ยงการโจมตี</t>
  </si>
  <si>
    <t>A) ใช้โอกาสนี้โจมตีเขา</t>
  </si>
  <si>
    <t>การโจมตีคู่แข่งเมื่อเขาเสียสมดุลช่วยให้คุณได้เปรียบ.</t>
  </si>
  <si>
    <t>คุณถูกไม้ลมของคู่แข่งชน คุณจะทำอย่างไร?</t>
  </si>
  <si>
    <t>A) พยายามควบคุมไม้ลมให้กลับมาที่เดิม; B) ร้องขอการเปลี่ยนไม้ลมใหม่; C) หยุดเล่นและขอพัก; D) แจ้งผู้ฝึกสอน</t>
  </si>
  <si>
    <t>A) พยายามควบคุมไม้ลมให้กลับมาที่เดิม</t>
  </si>
  <si>
    <t>การควบคุมไม้ลมช่วยให้การเล่นดำเนินต่อไปได้.</t>
  </si>
  <si>
    <t>ไม้ลมของคุณลอยไปไกลจากวงกลม คุณจะทำอย่างไร?</t>
  </si>
  <si>
    <t>A) รีบวิ่งตามไปเก็บไม้ลม; B) ขอให้ผู้ฝึกสอนมาช่วย; C) ปล่อยไม้ลมให้ลอยไปเอง; D) ยอมแพ้</t>
  </si>
  <si>
    <t>A) รีบวิ่งตามไปเก็บไม้ลม</t>
  </si>
  <si>
    <t>การเคลื่อนไหวอย่างรวดเร็วช่วยให้ไม้ลมกลับมาในเกม.</t>
  </si>
  <si>
    <t>คุณกำลังแข่งขันในสถานที่ที่มีลมแรง คุณจะทำอย่างไร?</t>
  </si>
  <si>
    <t>A) ปรับการจับไม้ลมให้แน่นขึ้น; B) หยุดเล่นจนกว่าลมจะสงบ; C) ใช้ไม้ลมที่เบากว่า; D) ขอโทษและยอมแพ้</t>
  </si>
  <si>
    <t>A) ปรับการจับไม้ลมให้แน่นขึ้น</t>
  </si>
  <si>
    <t>การจับไม้ลมให้แน่นขึ้นช่วยให้การควบคุมดียิ่งขึ้นในลมแรง.</t>
  </si>
  <si>
    <t>เพื่อนร่วมทีมของคุณไม่สามารถคาดเดาการเคลื่อนไหวของคู่แข่งได้ คุณจะทำอย่างไร?</t>
  </si>
  <si>
    <t>A) ให้คำแนะนำและฝึกซ้อมเพิ่มเติม; B) ทำงานคนเดียวโดยไม่พึ่งพาเพื่อนร่วมทีม; C) ตำหนิเขาดังๆ; D) ให้เขาลองปรับกลยุทธ์เอง</t>
  </si>
  <si>
    <t>A) ให้คำแนะนำและฝึกซ้อมเพิ่มเติม</t>
  </si>
  <si>
    <t>การให้คำแนะนำช่วยปรับปรุงการประสานงานในทีม.</t>
  </si>
  <si>
    <t>คุณพบว่าการตีไม้ลมของคุณไม่ค่อยแม่นยำ คุณจะทำอย่างไร?</t>
  </si>
  <si>
    <t>A) ฝึกซ้อมการตีให้มากขึ้น; B) เปลี่ยนไม้ลม; C) รอให้มีการแก้ไขสถานการณ์; D) หยุดเล่น</t>
  </si>
  <si>
    <t>A) ฝึกซ้อมการตีให้มากขึ้น</t>
  </si>
  <si>
    <t>การฝึกฝนช่วยพัฒนาทักษะและเพิ่มความแม่นยำ.</t>
  </si>
  <si>
    <t>คุณเห็นคู่แข่งเริ่มใช้กลยุทธ์ที่ใหม่และไม่เคยเห็นมาก่อน คุณจะทำอย่างไร?</t>
  </si>
  <si>
    <t>A) พยายามทำความเข้าใจกับกลยุทธ์และตอบโต้; B) หลีกเลี่ยงการเล่นกับเขา; C) ทำตามกลยุทธ์ของเขา; D) ขอโทษและยอมแพ้</t>
  </si>
  <si>
    <t>A) พยายามทำความเข้าใจกับกลยุทธ์และตอบโต้</t>
  </si>
  <si>
    <t>การปรับตัวและตอบโต้กลยุทธ์ใหม่ช่วยให้คุณรับมือได้.</t>
  </si>
  <si>
    <t>คุณรู้สึกว่าสถานการณ์เริ่มยากขึ้น คุณจะทำอย่างไร?</t>
  </si>
  <si>
    <t>A) รักษาความสงบและพยายามควบคุมเกม; B) ขอให้ผู้ฝึกสอนช่วยแก้ไข; C) หยุดเล่น; D) โจมตีคู่แข่งทันที</t>
  </si>
  <si>
    <t>A) รักษาความสงบและพยายามควบคุมเกม</t>
  </si>
  <si>
    <t>การรักษาความสงบช่วยให้คุณสามารถตัดสินใจได้ดียิ่งขึ้น.</t>
  </si>
  <si>
    <t>ไม้ลมของคู่แข่งเกือบจะโดนไม้ลมของคุณ คุณจะทำอย่างไร?</t>
  </si>
  <si>
    <t>A) หลีกเลี่ยงการโดนไม้ลม; B) ตีไม้ลมของเขากลับไป; C) ปล่อยให้ไม้ลมหลุดไปเอง; D) รอให้เขาพลาด</t>
  </si>
  <si>
    <t>A) หลีกเลี่ยงการโดนไม้ลม</t>
  </si>
  <si>
    <t>การหลีกเลี่ยงช่วยให้ไม้ลมของคุณไม่เสียสมดุล.</t>
  </si>
  <si>
    <t>คู่แข่งใช้ไม้ลมที่ดีกว่าคุณ คุณจะทำอย่างไร?</t>
  </si>
  <si>
    <t>A) ใช้ทักษะและกลยุทธ์ที่เหนือกว่าแทนไม้ลม; B) ใช้ไม้ลมใหม่ที่เหมือนกัน; C) ปรับเปลี่ยนเกมของตัวเอง; D) ขอโทษและยอมแพ้</t>
  </si>
  <si>
    <t>A) ใช้ทักษะและกลยุทธ์ที่เหนือกว่าแทนไม้ลม</t>
  </si>
  <si>
    <t>การใช้ทักษะช่วยเสริมความสามารถในการแข่งขัน.</t>
  </si>
  <si>
    <t>การเล่นในสนามที่มีผู้ชมมากทำให้คุณรู้สึกกดดัน คุณจะทำอย่างไร?</t>
  </si>
  <si>
    <t>A) มุ่งมั่นและโฟกัสที่เกม; B) หลีกเลี่ยงการมองผู้ชม; C) ขอโทษและยอมแพ้; D) หยุดเล่นทันที</t>
  </si>
  <si>
    <t>A) มุ่งมั่นและโฟกัสที่เกม</t>
  </si>
  <si>
    <t>การไม่สนใจสิ่งรบกวนช่วยให้คุณมุ่งเน้นที่การเล่น.</t>
  </si>
  <si>
    <t>คุณถูกโจมตีด้วยไม้ลมของคู่แข่งในระหว่างการแข่งขัน คุณจะทำอย่างไร?</t>
  </si>
  <si>
    <t>A) ใช้โอกาสนี้ตอบโต้กลับ; B) หลีกเลี่ยงและรอดูสถานการณ์; C) ร้องขอการแก้ไขจากผู้ฝึกสอน; D) หยุดเล่น</t>
  </si>
  <si>
    <t>A) ใช้โอกาสนี้ตอบโต้กลับ</t>
  </si>
  <si>
    <t>การตอบโต้ช่วยเพิ่มโอกาสในการควบคุมเกม.</t>
  </si>
  <si>
    <t>ไม้ลมของคุณเสียสมดุลและเริ่มหลุดจากมือ คุณจะทำอย่างไร?</t>
  </si>
  <si>
    <t>A) รีบจับไม้ลมกลับมา; B) ปล่อยไม้ลมไปเลย; C) ขอโทษและยอมแพ้; D) รอดูสถานการณ์</t>
  </si>
  <si>
    <t>A) รีบจับไม้ลมกลับมา</t>
  </si>
  <si>
    <t>การรีบควบคุมไม้ลมช่วยให้คุณกลับมาในเกม.</t>
  </si>
  <si>
    <t>คุณรู้สึกว่าไม้น้ำหนักหนักเกินไปสำหรับคุณ คุณจะทำอย่างไร?</t>
  </si>
  <si>
    <t>A) เปลี่ยนไม้ลมที่เบากว่า; B) ปรับท่าทางการถือไม้ลม; C) ใช้ทักษะเพื่อเพิ่มความแข็งแรง; D) หยุดเล่น</t>
  </si>
  <si>
    <t>B) ปรับท่าทางการถือไม้ลม</t>
  </si>
  <si>
    <t>การปรับท่าทางช่วยให้การควบคุมดีขึ้น.</t>
  </si>
  <si>
    <t>คุณเห็นคู่แข่งใช้การโจมตีที่แรงมาก คุณจะทำอย่างไร?</t>
  </si>
  <si>
    <t>A) หลีกเลี่ยงการโจมตีและรอให้เขาทำผิดพลาด; B) ตีไม้ลมของเขากลับไป; C) ตอบโต้ด้วยการโจมตีที่แรงขึ้น; D) หยุดเล่น</t>
  </si>
  <si>
    <t>A) หลีกเลี่ยงการโจมตีและรอให้เขาทำผิดพลาด</t>
  </si>
  <si>
    <t>การหลีกเลี่ยงช่วยให้คุณไม่เสียการควบคุม.</t>
  </si>
  <si>
    <t>ขณะเล่นคุณสังเกตว่าไม้ลมของคู่แข่งมีความเสถียรกว่าของคุณ คุณจะทำอย่างไร?</t>
  </si>
  <si>
    <t>A) พยายามหาวิธีเสถียรและปรับกลยุทธ์; B) ใช้ไม้ลมที่หนักกว่า; C) หยุดเล่นและขอพัก; D) รอโอกาสในการโจมตี</t>
  </si>
  <si>
    <t>A) พยายามหาวิธีเสถียรและปรับกลยุทธ์</t>
  </si>
  <si>
    <t>การปรับกลยุทธ์ช่วยให้การเล่นดีขึ้น.</t>
  </si>
  <si>
    <t>คุณได้รับการฝึกฝนจากผู้ฝึกสอนจนรู้สึกมั่นใจ คุณจะทำอย่างไรในเกมถัดไป?</t>
  </si>
  <si>
    <t>A) เล่นด้วยความมั่นใจและทักษะที่ได้เรียนรู้; B) เล่นอย่างระมัดระวัง; C) ขอให้ผู้ฝึกสอนเข้ามาช่วย; D) หลีกเลี่ยงการเล่น</t>
  </si>
  <si>
    <t>A) เล่นด้วยความมั่นใจและทักษะที่ได้เรียนรู้</t>
  </si>
  <si>
    <t>การมั่นใจในการเล่นช่วยให้ทักษะดีขึ้น.</t>
  </si>
  <si>
    <t>คุณเห็นไม้ลมของคู่แข่งใกล้เคียงกับไม้ลมของคุณมาก คุณจะทำอย่างไร?</t>
  </si>
  <si>
    <t>A) ใช้การหลบหลีกและรอดูสถานการณ์; B) ตีไม้ลมของเขากลับ; C) หยุดเล่นทันที; D) แจ้งผู้ฝึกสอน</t>
  </si>
  <si>
    <t>A) ใช้การหลบหลีกและรอดูสถานการณ์</t>
  </si>
  <si>
    <t>การหลบหลีกช่วยป้องกันไม้ลมไม่ให้ชนกัน.</t>
  </si>
  <si>
    <t>ในการแข่งขันคุณพบว่ากลยุทธ์ของคู่แข่งเริ่มมีผล คุณจะทำอย่างไร?</t>
  </si>
  <si>
    <t>A) ปรับกลยุทธ์ของคุณให้เหมาะสม; B) หลีกเลี่ยงการตอบโต้; C) ตีไม้ลมเขากลับไป; D) หยุดการเคลื่อนไหว</t>
  </si>
  <si>
    <t>A) ปรับกลยุทธ์ของคุณให้เหมาะสม</t>
  </si>
  <si>
    <t>การปรับกลยุทธ์ให้ทันเวลาช่วยให้คุณมีโอกาสชนะมากขึ้น.</t>
  </si>
  <si>
    <t>ไม้ลมของคุณเกือบจะหลุดจากมือในขณะตี คุณจะทำอย่างไร?</t>
  </si>
  <si>
    <t>A) รีบจับไม้ลมให้มั่นคง; B) หยุดเล่นและขอพัก; C) ปล่อยให้ไม้ลมหลุดไป; D) แจ้งผู้ฝึกสอน</t>
  </si>
  <si>
    <t>A) รีบจับไม้ลมให้มั่นคง</t>
  </si>
  <si>
    <t>การควบคุมไม้ลมช่วยให้การเล่นไม่สะดุด.</t>
  </si>
  <si>
    <t>ในระหว่างการแข่งขันคุณรู้สึกไม่สบาย คุณจะทำอย่างไร?</t>
  </si>
  <si>
    <t>A) ขอเวลาพักและดูอาการ; B) เล่นต่อไปและไม่สนใจ; C) ขอให้ผู้ฝึกสอนเข้ามาช่วย; D) หยุดการแข่งขันทันที</t>
  </si>
  <si>
    <t>A) ขอเวลาพักและดูอาการ</t>
  </si>
  <si>
    <t>การให้เวลาแก่ตัวเองช่วยฟื้นฟูพลัง.</t>
  </si>
  <si>
    <t>คุณเห็นคู่แข่งเตรียมไม้ลมที่จะโจมตีคุณ คุณจะทำอย่างไร?</t>
  </si>
  <si>
    <t>A) ตีไม้ลมของเขากลับไปทันที; B) หลีกเลี่ยงและรอดูสถานการณ์; C) โจมตีไม้ลมของเขา; D) ขอโทษและยอมแพ้</t>
  </si>
  <si>
    <t>B) หลีกเลี่ยงและรอดูสถานการณ์</t>
  </si>
  <si>
    <t>คุณรู้สึกว่าการแข่งขันครั้งนี้ไม่ยุติธรรม คุณจะทำอย่างไร?</t>
  </si>
  <si>
    <t>A) แจ้งผู้ฝึกสอนให้พิจารณาสถานการณ์; B) เล่นต่อไปโดยไม่สนใจ; C) หยุดการเล่นและขอให้จบเกม; D) โต้เถียงกับผู้ตัดสิน</t>
  </si>
  <si>
    <t>A) แจ้งผู้ฝึกสอนให้พิจารณาสถานการณ์</t>
  </si>
  <si>
    <t>การแจ้งปัญหาช่วยให้สถานการณ์ได้รับการพิจารณา.</t>
  </si>
  <si>
    <t>คุณรู้สึกว่าคู่แข่งเริ่มมีความมั่นใจมากขึ้น คุณจะทำอย่างไร?</t>
  </si>
  <si>
    <t>A) พยายามบุกโจมตีและลดความมั่นใจของเขา; B) เล่นอย่างรอบคอบและไม่ยอมให้เขาควบคุมเกม; C) ปรับกลยุทธ์ใหม่; D) ขอโทษและยอมแพ้</t>
  </si>
  <si>
    <t>B) เล่นอย่างรอบคอบและไม่ยอมให้เขาควบคุมเกม</t>
  </si>
  <si>
    <t>การไม่ให้คู่แข่งควบคุมเกมจะช่วยลดความมั่นใจของเขา.</t>
  </si>
  <si>
    <t>ไม้ลมของคุณหลุดไปจากมือในระหว่างการแข่งขัน คุณจะทำอย่างไร?</t>
  </si>
  <si>
    <t>A) รีบหยิบกลับมาและเล่นต่อ; B) รอให้ผู้ฝึกสอนเข้ามาช่วย; C) หยุดเล่นและขอโทษ; D) รอจนเกมจบ</t>
  </si>
  <si>
    <t>A) รีบหยิบกลับมาและเล่นต่อ</t>
  </si>
  <si>
    <t>การรีบหยิบไม้ลมกลับมาให้คุณไม่เสียสมดุลของเกม.</t>
  </si>
  <si>
    <t>ในระหว่างการแข่งขันคุณมีอาการบาดเจ็บ คุณจะทำอย่างไร?</t>
  </si>
  <si>
    <t>A) ขอเวลาพักและขอความช่วยเหลือจากทีมแพทย์; B) เล่นต่อไปจนกว่าเกมจะจบ; C) ขอให้ผู้ฝึกสอนเข้ามาช่วย; D) หยุดการแข่งขันทันที</t>
  </si>
  <si>
    <t>A) ขอเวลาพักและขอความช่วยเหลือจากทีมแพทย์</t>
  </si>
  <si>
    <t>การพักและรักษาอาการบาดเจ็บเป็นสิ่งสำคัญในการฟื้นฟู.</t>
  </si>
  <si>
    <t>คุณรู้สึกว่าไม้น้ำหนักของคุณไม่เหมาะสม คุณจะทำอย่างไร?</t>
  </si>
  <si>
    <t>A) เปลี่ยนไม้ลมที่เหมาะสมกับตัวเอง; B) ปรับท่าทางการจับไม้ลม; C) ใช้ทักษะที่มีในการควบคุม; D) หยุดเล่น</t>
  </si>
  <si>
    <t>A) เปลี่ยนไม้ลมที่เหมาะสมกับตัวเอง</t>
  </si>
  <si>
    <t>การเลือกไม้ลมที่เหมาะสมช่วยให้การเล่นมีประสิทธิภาพมากขึ้น.</t>
  </si>
  <si>
    <t>คู่แข่งใช้ไม้ลมที่หนักกว่าในการโจมตี คุณจะทำอย่างไร?</t>
  </si>
  <si>
    <t>A) ใช้เทคนิคหลบหลีกเพื่อป้องกันการโจมตี; B) ตีไม้ลมของเขากลับ; C) เปลี่ยนไม้ลมให้หนักกว่า; D) หลีกเลี่ยงการโจมตี</t>
  </si>
  <si>
    <t>A) ใช้เทคนิคหลบหลีกเพื่อป้องกันการโจมตี</t>
  </si>
  <si>
    <t>การหลบหลีกช่วยลดความเสี่ยงจากการโจมตี.</t>
  </si>
  <si>
    <t>คุณไม่มั่นใจในทักษะการตีไม้ลมของตัวเอง คุณจะทำอย่างไร?</t>
  </si>
  <si>
    <t>A) ฝึกซ้อมเพิ่มเติมเพื่อเพิ่มความมั่นใจ; B) ปรับกลยุทธ์ให้เหมาะสมกับสถานการณ์; C) เล่นอย่างระมัดระวัง; D) หยุดเล่น</t>
  </si>
  <si>
    <t>A) ฝึกซ้อมเพิ่มเติมเพื่อเพิ่มความมั่นใจ</t>
  </si>
  <si>
    <t>การฝึกซ้อมช่วยเพิ่มความมั่นใจในทักษะ.</t>
  </si>
  <si>
    <t>คุณเห็นคู่แข่งเริ่มใช้กลยุทธ์ที่ไม่คาดคิด คุณจะทำอย่างไร?</t>
  </si>
  <si>
    <t>A) ปรับกลยุทธ์ของตัวเองเพื่อรับมือ; B) หลีกเลี่ยงและไม่ตอบโต้; C) ปล่อยให้เขาทำผิดพลาดเอง; D) หยุดเล่น</t>
  </si>
  <si>
    <t>A) ปรับกลยุทธ์ของตัวเองเพื่อรับมือ</t>
  </si>
  <si>
    <t>การปรับกลยุทธ์จะช่วยให้คุณตอบสนองได้ดีขึ้น.</t>
  </si>
  <si>
    <t>คุณพบว่าการตีไม้ลมของคู่แข่งมีความแม่นยำสูง คุณจะทำอย่างไร?</t>
  </si>
  <si>
    <t>A) พยายามใช้การหลบหลีกและรอดูสถานการณ์; B) ตีไม้ลมกลับไปอย่างแม่นยำ; C) ขอโทษและยอมแพ้; D) หลีกเลี่ยงการเล่นกับเขา</t>
  </si>
  <si>
    <t>A) พยายามใช้การหลบหลีกและรอดูสถานการณ์</t>
  </si>
  <si>
    <t>การหลบหลีกช่วยให้คุณหลีกเลี่ยงการเสียจังหวะ.</t>
  </si>
  <si>
    <t>คุณสังเกตว่าไม้ลมของคู่แข่งเริ่มมีปัญหากับการควบคุม คุณจะทำอย่างไร?</t>
  </si>
  <si>
    <t>A) ใช้โอกาสนี้โจมตีเขาทันที; B) รอให้เขาทำผิดพลาดและใช้ประโยชน์จากจุดอ่อนของเขา; C) หลีกเลี่ยงการโจมตี; D) ปรับกลยุทธ์ใหม่</t>
  </si>
  <si>
    <t>B) รอให้เขาทำผิดพลาดและใช้ประโยชน์จากจุดอ่อนของเขา</t>
  </si>
  <si>
    <t>การรอจังหวะช่วยให้คุณใช้ประโยชน์จากข้อผิดพลาดของคู่แข่ง.</t>
  </si>
  <si>
    <t>คุณรู้สึกว่าคู่แข่งเริ่มหลุดพ้นจากการควบคุม คุณจะทำอย่างไร?</t>
  </si>
  <si>
    <t>A) ใช้เทคนิคที่ดีกว่าในการตอบโต้; B) รอให้เขาทำผิดพลาดเอง; C) ตีไม้ลมกลับไปอย่างรวดเร็ว; D) หลีกเลี่ยงการตอบโต้</t>
  </si>
  <si>
    <t>A) ใช้เทคนิคที่ดีกว่าในการตอบโต้</t>
  </si>
  <si>
    <t>การใช้เทคนิคที่เหนือกว่าจะช่วยให้คุณกลับมาในเกม.</t>
  </si>
  <si>
    <t>คุณเห็นผู้ฝึกสอนกำลังให้คำแนะนำกับทีม คุณจะทำอย่างไร?</t>
  </si>
  <si>
    <t>A) ฟังคำแนะนำและปรับกลยุทธ์; B) ปฏิเสธคำแนะนำและเล่นตามแผนเดิม; C) รอดูคำแนะนำจากเพื่อนร่วมทีม; D) หยุดเล่นทันที</t>
  </si>
  <si>
    <t>A) ฟังคำแนะนำและปรับกลยุทธ์</t>
  </si>
  <si>
    <t>การรับฟังและปรับกลยุทธ์จะช่วยให้คุณเล่นได้ดีขึ้น.</t>
  </si>
  <si>
    <t>คุณพบว่าคู่แข่งใช้ทักษะที่ดีกว่าในระยะยาว คุณจะทำอย่างไร?</t>
  </si>
  <si>
    <t>A) ฝึกซ้อมให้มากขึ้นเพื่อปรับปรุงทักษะ; B) หลีกเลี่ยงการเล่นกับเขา; C) ใช้เทคนิคที่มีอยู่เพื่อปรับเกม; D) หยุดเล่น</t>
  </si>
  <si>
    <t>A) ฝึกซ้อมให้มากขึ้นเพื่อปรับปรุงทักษะ</t>
  </si>
  <si>
    <t>การฝึกซ้อมจะช่วยเพิ่มทักษะและพัฒนาเกมของคุณ.</t>
  </si>
  <si>
    <t>คุณสังเกตเห็นว่าไม้น้ำหนักของคู่แข่งเริ่มเข้ากับสภาพสนามได้ดี คุณจะทำอย่างไร?</t>
  </si>
  <si>
    <t>A) เปลี่ยนไม้ลมให้เหมาะสมกับสนาม; B) ปรับกลยุทธ์เพื่อรับมือกับการโจมตีของเขา; C) หลีกเลี่ยงการตอบโต้; D) รอดูสถานการณ์</t>
  </si>
  <si>
    <t>B) ปรับกลยุทธ์เพื่อรับมือกับการโจมตีของเขา</t>
  </si>
  <si>
    <t>การปรับกลยุทธ์ให้เหมาะสมช่วยให้คุณรับมือได้.</t>
  </si>
  <si>
    <t>คุณเห็นว่าผู้เล่นฝ่ายตรงข้ามเริ่มใช้การโจมตีที่เร็วขึ้น คุณจะทำอย่างไร?</t>
  </si>
  <si>
    <t>A) เพิ่มความเร็วในการตอบโต้; B) หลีกเลี่ยงการโจมตีทันที; C) ปรับการจับไม้ลม; D) รอให้เขาทำผิดพลาด</t>
  </si>
  <si>
    <t>A) เพิ่มความเร็วในการตอบโต้</t>
  </si>
  <si>
    <t>การเพิ่มความเร็วช่วยให้คุณรับมือกับการโจมตีได้ดีขึ้น.</t>
  </si>
  <si>
    <t>คุณพบว่าผลการแข่งขันระหว่างทีมเริ่มไม่สมดุล คุณจะทำอย่างไร?</t>
  </si>
  <si>
    <t>A) ปรับท่าทางการเล่นเพื่อเพิ่มสมดุล; B) ปรับกลยุทธ์ให้เหมาะสม; C) หลีกเลี่ยงการโจมตีคู่แข่ง; D) ขอโทษและยอมแพ้</t>
  </si>
  <si>
    <t>B) ปรับกลยุทธ์ให้เหมาะสม</t>
  </si>
  <si>
    <t>การปรับกลยุทธ์ช่วยเพิ่มโอกาสในการกลับมาแข่งขันได้.</t>
  </si>
  <si>
    <t>ในระหว่างการแข่งขันคุณรู้สึกว่าไม้น้ำหนักของคุณไม่ได้ผล คุณจะทำอย่างไร?</t>
  </si>
  <si>
    <t>A) เปลี่ยนไม้ลมให้เหมาะสมกับตัวเอง; B) ฝึกซ้อมใหม่เพื่อปรับทักษะ; C) ปรับการจับไม้ลมให้เหมาะสมกับสถานการณ์; D) หยุดเล่น</t>
  </si>
  <si>
    <t>C) ปรับการจับไม้ลมให้เหมาะสมกับสถานการณ์</t>
  </si>
  <si>
    <t>การปรับการจับไม้ลมช่วยให้ควบคุมไม้ลมได้ดีขึ้น.</t>
  </si>
  <si>
    <t>คุณเห็นคู่แข่งเริ่มใช้เทคนิคที่คุณไม่เคยเห็นมาก่อน คุณจะทำอย่างไร?</t>
  </si>
  <si>
    <t>A) สังเกตเทคนิคใหม่และหาวิธีตอบโต้; B) หลีกเลี่ยงการเล่นกับเขา; C) ปรับกลยุทธ์ตามที่เห็น; D) หยุดเล่น</t>
  </si>
  <si>
    <t>A) สังเกตเทคนิคใหม่และหาวิธีตอบโต้</t>
  </si>
  <si>
    <t>การศึกษาคู่แข่งจะช่วยให้คุณตอบโต้ได้ดีขึ้น.</t>
  </si>
  <si>
    <t>คุณสังเกตว่าไม้ลมของคุณเริ่มไม่สมดุล คุณจะทำอย่างไร?</t>
  </si>
  <si>
    <t>A) ปรับการจับไม้ลมให้มั่นคง; B) เปลี่ยนไม้ลม; C) หลีกเลี่ยงการตีไม้ลม; D) หยุดเล่น</t>
  </si>
  <si>
    <t>A) ปรับการจับไม้ลมให้มั่นคง</t>
  </si>
  <si>
    <t>การปรับการจับไม้ลมช่วยให้ควบคุมได้ดีขึ้น.</t>
  </si>
  <si>
    <t>คุณรู้สึกว่าคู่แข่งเริ่มให้ความกดดันคุณมากขึ้น คุณจะทำอย่างไร?</t>
  </si>
  <si>
    <t>A) ใช้เทคนิคหลบหลีกเพื่อหลีกเลี่ยงความกดดัน; B) เพิ่มความเร็วในการโจมตี; C) ปรับท่าทางการเล่น; D) หยุดเล่น</t>
  </si>
  <si>
    <t>A) ใช้เทคนิคหลบหลีกเพื่อหลีกเลี่ยงความกดดัน</t>
  </si>
  <si>
    <t>การหลบหลีกช่วยให้คุณรักษาความสมดุลในเกม.</t>
  </si>
  <si>
    <t>คุณรู้สึกว่าอารมณ์เริ่มส่งผลต่อการเล่นของคุณ คุณจะทำอย่างไร?</t>
  </si>
  <si>
    <t>A) พยายามควบคุมอารมณ์และกลับสู่การเล่น; B) หยุดเล่นและพักสักครู่; C) โต้แย้งกับผู้ฝึกสอน; D) ให้เพื่อนร่วมทีมเข้ามาช่วย</t>
  </si>
  <si>
    <t>A) พยายามควบคุมอารมณ์และกลับสู่การเล่น</t>
  </si>
  <si>
    <t>การควบคุมอารมณ์จะช่วยให้การเล่นของคุณดีขึ้น.</t>
  </si>
  <si>
    <t>ในขณะที่กำลังแข่งขันคุณพบว่าคู่แข่งมีการโจมตีที่รวดเร็วและแม่นยำ คุณจะทำอย่างไร?</t>
  </si>
  <si>
    <t>A) พยายามปรับความเร็วของการโจมตีของตัวเอง; B) สังเกตเทคนิคและรอดูจังหวะการเล่นของเขา; C) หลีกเลี่ยงการโจมตีโดยตรง; D) หยุดเกม</t>
  </si>
  <si>
    <t>B) สังเกตเทคนิคและรอดูจังหวะการเล่นของเขา</t>
  </si>
  <si>
    <t>การศึกษาการเล่นของคู่แข่งจะช่วยให้คุณตอบสนองได้ดียิ่งขึ้น.</t>
  </si>
  <si>
    <t>คุณเริ่มรู้สึกเหนื่อยล้าในการแข่งขัน คุณจะทำอย่างไร?</t>
  </si>
  <si>
    <t>A) ขอเวลาพักจากผู้ฝึกสอน; B) พยายามสู้ต่อไปจนกว่าจะจบเกม; C) ปรับวิธีการเล่นเพื่อประหยัดพลังงาน; D) หยุดเล่นทันที</t>
  </si>
  <si>
    <t>C) ปรับวิธีการเล่นเพื่อประหยัดพลังงาน</t>
  </si>
  <si>
    <t>การปรับวิธีการเล่นจะช่วยให้คุณสามารถเล่นได้จนจบเกม.</t>
  </si>
  <si>
    <t>คุณรู้สึกว่าคู่แข่งใช้เทคนิคที่คุณไม่สามารถคาดการณ์ได้ คุณจะทำอย่างไร?</t>
  </si>
  <si>
    <t>A) ศึกษาเทคนิคใหม่ของเขาและพยายามหาวิธีรับมือ; B) หลีกเลี่ยงการเจอกับเขา; C) ปรับกลยุทธ์ให้เหมาะสมกับสถานการณ์; D) โต้แย้งกับผู้ฝึกสอน</t>
  </si>
  <si>
    <t>A) ศึกษาเทคนิคใหม่ของเขาและพยายามหาวิธีรับมือ</t>
  </si>
  <si>
    <t>การศึกษาทักษะใหม่จะช่วยให้คุณรับมือได้ดีขึ้น.</t>
  </si>
  <si>
    <t>ในระหว่างการแข่งขันคุณสังเกตว่าไม้ลมของคุณไม่สมดุล คุณจะทำอย่างไร?</t>
  </si>
  <si>
    <t>A) ปรับท่าทางการจับไม้ลมให้มั่นคง; B) เปลี่ยนไม้ลมใหม่; C) หลีกเลี่ยงการใช้ไม้ลม; D) หยุดเล่น</t>
  </si>
  <si>
    <t>A) ปรับท่าทางการจับไม้ลมให้มั่นคง</t>
  </si>
  <si>
    <t>การจับไม้ลมให้มั่นคงจะช่วยเพิ่มความแม่นยำในการเล่น.</t>
  </si>
  <si>
    <t>คู่แข่งเริ่มบุกโจมตีคุณอย่างต่อเนื่อง คุณจะทำอย่างไร?</t>
  </si>
  <si>
    <t>A) ใช้เทคนิคหลบหลีกและตอบโต้; B) ตีไม้ลมกลับไปเร็วๆ; C) หลีกเลี่ยงการโจมตีและรอดูจังหวะ; D) หยุดเล่น</t>
  </si>
  <si>
    <t>A) ใช้เทคนิคหลบหลีกและตอบโต้</t>
  </si>
  <si>
    <t>การหลบหลีกและตอบโต้จะช่วยลดการกดดันจากการโจมตี.</t>
  </si>
  <si>
    <t>ในระหว่างการแข่งขันคุณพบว่าคู่แข่งใช้กลยุทธ์ใหม่ คุณจะทำอย่างไร?</t>
  </si>
  <si>
    <t>A) สังเกตกลยุทธ์ของเขาและปรับตัวตาม; B) รอจนเขาทำผิดพลาด; C) ปรับกลยุทธ์ของตัวเองให้ดีขึ้น; D) หยุดเล่น</t>
  </si>
  <si>
    <t>A) สังเกตกลยุทธ์ของเขาและปรับตัวตาม</t>
  </si>
  <si>
    <t>การปรับตัวต่อกลยุทธ์ใหม่ของคู่แข่งจะช่วยให้คุณสามารถรับมือได้.</t>
  </si>
  <si>
    <t>คุณสังเกตว่าผลการแข่งขันเริ่มไม่เป็นที่พอใจ คุณจะทำอย่างไร?</t>
  </si>
  <si>
    <t>A) ปรับกลยุทธ์และพยายามเปลี่ยนทิศทางเกม; B) หลีกเลี่ยงการโจมตีและรอดูสถานการณ์; C) พักการเล่นและรอดูจังหวะ; D) หยุดเล่น</t>
  </si>
  <si>
    <t>A) ปรับกลยุทธ์และพยายามเปลี่ยนทิศทางเกม</t>
  </si>
  <si>
    <t>การปรับกลยุทธ์จะช่วยให้คุณกลับสู่การแข่งขันได้.</t>
  </si>
  <si>
    <t>คุณพบว่าคู่แข่งเริ่มใช้การโจมตีที่หนักขึ้น คุณจะทำอย่างไร?</t>
  </si>
  <si>
    <t>A) ใช้เทคนิคหลบหลีกและโจมตีกลับ; B) หลีกเลี่ยงการโจมตีและรักษาระยะห่าง; C) ปรับท่าทางและเล่นอย่างรอบคอบ; D) หยุดเล่น</t>
  </si>
  <si>
    <t>A) ใช้เทคนิคหลบหลีกและโจมตีกลับ</t>
  </si>
  <si>
    <t>การตอบโต้ด้วยเทคนิคหลบหลีกจะช่วยให้คุณไม่ถูกโจมตี.</t>
  </si>
  <si>
    <t>ในระหว่างการแข่งขันคุณรู้สึกว่าไม่มีสมาธิ คุณจะทำอย่างไร?</t>
  </si>
  <si>
    <t>A) พยายามควบคุมสมาธิและกลับมามุ่งมั่นในการเล่น; B) หยุดพักสักครู่เพื่อปรับสมาธิ; C) ปรับท่าทางการเล่นเพื่อช่วยให้สมาธิกลับมา; D) ขอโทษและยอมแพ้</t>
  </si>
  <si>
    <t>A) พยายามควบคุมสมาธิและกลับมามุ่งมั่นในการเล่น</t>
  </si>
  <si>
    <t>การควบคุมสมาธิจะช่วยให้คุณกลับมาเล่นได้ดี.</t>
  </si>
  <si>
    <t>คุณรู้สึกว่าคู่แข่งเริ่มมั่นใจมากขึ้นในการเล่น คุณจะทำอย่างไร?</t>
  </si>
  <si>
    <t>A) เพิ่มความเร็วในการโจมตีและลดความมั่นใจของเขา; B) ปรับการเล่นให้มีประสิทธิภาพมากขึ้น; C) หลีกเลี่ยงการโจมตีและรอดูสถานการณ์; D) หยุดเล่น</t>
  </si>
  <si>
    <t>A) เพิ่มความเร็วในการโจมตีและลดความมั่นใจของเขา</t>
  </si>
  <si>
    <t>การเพิ่มความเร็วในการโจมตีจะทำให้คู่แข่งรู้สึกกดดัน.</t>
  </si>
  <si>
    <t>ในขณะที่แข่งขันคุณสังเกตว่ามีการผิดกฎเกิดขึ้น คุณจะทำอย่างไร?</t>
  </si>
  <si>
    <t>A) แจ้งผู้ฝึกสอนเพื่อให้แก้ไขสถานการณ์; B) แจ้งผู้ตัดสินเพื่อให้มีการพิจารณา; C) ปล่อยให้เกมดำเนินต่อไป; D) หยุดเกม</t>
  </si>
  <si>
    <t>B) แจ้งผู้ตัดสินเพื่อให้มีการพิจารณา</t>
  </si>
  <si>
    <t>การแจ้งผู้ตัดสินจะช่วยแก้ไขสถานการณ์ได้.</t>
  </si>
  <si>
    <t>ในระหว่างการแข่งขันคู่แข่งเริ่มใช้เทคนิคที่คุณไม่คุ้นเคย คุณจะทำอย่างไร?</t>
  </si>
  <si>
    <t>A) ศึกษาเทคนิคใหม่และปรับกลยุทธ์; B) หลีกเลี่ยงการโจมตีของเขา; C) ใช้กลยุทธ์ที่มีในการเล่น; D) หยุดเล่น</t>
  </si>
  <si>
    <t>A) ศึกษาเทคนิคใหม่และปรับกลยุทธ์</t>
  </si>
  <si>
    <t>การเรียนรู้เทคนิคใหม่จะช่วยให้คุณตอบโต้ได้ดี.</t>
  </si>
  <si>
    <t>คุณรู้สึกว่าไม้ลมของคุณเริ่มเสื่อมสภาพ คุณจะทำอย่างไร?</t>
  </si>
  <si>
    <t>A) เปลี่ยนไม้ลมใหม่; B) ปรับการจับไม้ลมให้เหมาะสม; C) หลีกเลี่ยงการตีไม้ลม; D) หยุดเล่น</t>
  </si>
  <si>
    <t>A) เปลี่ยนไม้ลมใหม่</t>
  </si>
  <si>
    <t>การใช้ไม้ลมที่มีสภาพดีจะช่วยให้การเล่นมีประสิทธิภาพ.</t>
  </si>
  <si>
    <t>คุณพบว่าคู่แข่งเริ่มใช้กลยุทธ์ที่รุนแรงขึ้น คุณจะทำอย่างไร?</t>
  </si>
  <si>
    <t>A) ปรับกลยุทธ์เพื่อรับมือกับการโจมตี; B) หลีกเลี่ยงการตอบโต้; C) ปรับการจับไม้ลมให้เหมาะสม; D) หยุดเล่น</t>
  </si>
  <si>
    <t>A) ปรับกลยุทธ์เพื่อรับมือกับการโจมตี</t>
  </si>
  <si>
    <t>การปรับกลยุทธ์จะช่วยให้คุณรับมือกับการโจมตีได้.</t>
  </si>
  <si>
    <t>ในระหว่างการแข่งขันคุณเริ่มรู้สึกกดดันจากฝูงชน คุณจะทำอย่างไร?</t>
  </si>
  <si>
    <t>A) พยายามมุ่งมั่นและโฟกัสกับเกม; B) หลีกเลี่ยงการติดต่อสายตากับฝูงชน; C) หยุดเล่นและขอพัก; D) ปรับท่าทางการเล่น</t>
  </si>
  <si>
    <t>A) พยายามมุ่งมั่นและโฟกัสกับเกม</t>
  </si>
  <si>
    <t>การมุ่งมั่นจะช่วยให้คุณสามารถรับมือกับแรงกดดันได้.</t>
  </si>
  <si>
    <t>คุณรู้สึกว่าเพื่อนร่วมทีมเริ่มท้อแท้ คุณจะทำอย่างไร?</t>
  </si>
  <si>
    <t>A) ให้กำลังใจและช่วยกระตุ้นทีม; B) ปล่อยให้เขาเงียบๆ ไป; C) หลีกเลี่ยงการติดต่อกับเขา; D) โทษเพื่อนร่วมทีม</t>
  </si>
  <si>
    <t>A) ให้กำลังใจและช่วยกระตุ้นทีม</t>
  </si>
  <si>
    <t>การให้กำลังใจจะช่วยเพิ่มพลังและความมั่นใจในทีม.</t>
  </si>
  <si>
    <t>คุณพบว่าคู่แข่งเริ่มใช้กลยุทธ์ที่ดีกว่า คุณจะทำอย่างไร?</t>
  </si>
  <si>
    <t>A) ปรับกลยุทธ์ของตัวเองเพื่อต่อสู้; B) รอดูว่าเขาจะทำผิดพลาดหรือไม่; C) ปรับท่าทางการเล่นให้เหมาะสม; D) หยุดเล่น</t>
  </si>
  <si>
    <t>A) ปรับกลยุทธ์ของตัวเองเพื่อต่อสู้</t>
  </si>
  <si>
    <t>การปรับกลยุทธ์จะช่วยให้คุณสามารถรับมือได้.</t>
  </si>
  <si>
    <t>ในระหว่างการแข่งขันคุณเริ่มรู้สึกว่าเกมไม่เป็นไปตามที่คาดหวัง คุณจะทำอย่างไร?</t>
  </si>
  <si>
    <t>A) ปรับท่าทางการเล่นและมุ่งมั่นต่อไป; B) หยุดเล่นและขอพัก; C) พยายามพึ่งพากลยุทธ์เดิม; D) ขอโทษและยอมแพ้</t>
  </si>
  <si>
    <t>A) ปรับท่าทางการเล่นและมุ่งมั่นต่อไป</t>
  </si>
  <si>
    <t>การปรับท่าทางและมุ่งมั่นจะช่วยให้คุณกลับมาเล่นได้ดี.</t>
  </si>
  <si>
    <t>คุณรู้สึกว่าคู่แข่งเริ่มใช้กลยุทธ์ที่ล้ำสมัย คุณจะทำอย่างไร?</t>
  </si>
  <si>
    <t>A) ศึกษากลยุทธ์ใหม่และปรับตัวตาม; B) หลีกเลี่ยงการเจอกับเขา; C) ปรับกลยุทธ์ให้เหมาะสมกับสถานการณ์; D) หยุดเล่น</t>
  </si>
  <si>
    <t>A) ศึกษากลยุทธ์ใหม่และปรับตัวตาม</t>
  </si>
  <si>
    <t>การศึกษากลยุทธ์ใหม่จะช่วยให้คุณสามารถตอบโต้ได้ดีขึ้น.</t>
  </si>
  <si>
    <t>คุณพบว่าเพื่อนร่วมทีมไม่สามารถติดต่อได้ในระหว่างการแข่งขัน คุณจะทำอย่างไร?</t>
  </si>
  <si>
    <t>A) พยายามประสานงานกับเพื่อนร่วมทีมที่เหลือ; B) เล่นตามกลยุทธ์เดิมโดยไม่สนใจเขา; C) รอจนกว่าเขาจะกลับมา; D) หยุดเล่น</t>
  </si>
  <si>
    <t>A) พยายามประสานงานกับเพื่อนร่วมทีมที่เหลือ</t>
  </si>
  <si>
    <t>การประสานงานกับเพื่อนร่วมทีมที่เหลือจะช่วยให้ทีมยังคงทำงานได้ดี.</t>
  </si>
  <si>
    <t>คุณรู้สึกว่าไม่มีความมั่นใจในตัวเองระหว่างการแข่งขัน คุณจะทำอย่างไร?</t>
  </si>
  <si>
    <t>A) พยายามฟื้นฟูความมั่นใจโดยการปรับท่าทางการเล่น; B) หลีกเลี่ยงการโจมตีจนกว่าจะมั่นใจ; C) พูดคุยกับผู้ฝึกสอนเพื่อขอคำแนะนำ; D) หยุดเล่น</t>
  </si>
  <si>
    <t>A) พยายามฟื้นฟูความมั่นใจโดยการปรับท่าทางการเล่น</t>
  </si>
  <si>
    <t>การปรับท่าทางการเล่นจะช่วยเพิ่มความมั่นใจ.</t>
  </si>
  <si>
    <t>ในระหว่างการแข่งขันคุณพบว่าไม้ลมของคุณไม่สามารถใช้ได้ตามปกติ คุณจะทำอย่างไร?</t>
  </si>
  <si>
    <t>A) เปลี่ยนไม้ลมและปรับท่าทางการเล่น; B) ใช้ไม้ลมที่มีปัญหาต่อไป; C) หลีกเลี่ยงการใช้งานไม้ลม; D) หยุดเล่น</t>
  </si>
  <si>
    <t>A) เปลี่ยนไม้ลมและปรับท่าทางการเล่น</t>
  </si>
  <si>
    <t>การเปลี่ยนไม้ลมจะช่วยให้คุณเล่นได้อย่างมีประสิทธิภาพ.</t>
  </si>
  <si>
    <t>คุณพบว่าคู่แข่งเริ่มทำการโจมตีเร็วเกินไป คุณจะทำอย่างไร?</t>
  </si>
  <si>
    <t>A) ปรับการตอบโต้ให้รวดเร็วขึ้น; B) หลีกเลี่ยงการโจมตีทั้งหมด; C) รอให้คู่แข่งทำผิดพลาด; D) หยุดเล่น</t>
  </si>
  <si>
    <t>A) ปรับการตอบโต้ให้รวดเร็วขึ้น</t>
  </si>
  <si>
    <t>การตอบโต้ที่รวดเร็วจะช่วยป้องกันการโจมตีจากคู่แข่ง.</t>
  </si>
  <si>
    <t>คุณเริ่มรู้สึกว่าไม่มีสมาธิในการเล่น คุณจะทำอย่างไร?</t>
  </si>
  <si>
    <t>A) พยายามตั้งสมาธิใหม่และมุ่งมั่นในเกม; B) หยุดเล่นและขอพัก; C) ปรับท่าทางการเล่นให้ช่วยเพิ่มสมาธิ; D) ขอโทษและยอมแพ้</t>
  </si>
  <si>
    <t>A) พยายามตั้งสมาธิใหม่และมุ่งมั่นในเกม</t>
  </si>
  <si>
    <t>การมุ่งมั่นและตั้งสมาธิใหม่จะช่วยให้คุณสามารถเล่นได้ดีขึ้น.</t>
  </si>
  <si>
    <t>คุณพบว่าคู่แข่งเริ่มพัฒนาเทคนิคใหม่ๆ คุณจะทำอย่างไร?</t>
  </si>
  <si>
    <t>A) ศึกษาเทคนิคใหม่ของเขาและปรับตัวตาม; B) หลีกเลี่ยงการเล่นกับเขา; C) ปรับกลยุทธ์ให้เหมาะสมกับสถานการณ์; D) หยุดเล่น</t>
  </si>
  <si>
    <t>A) ศึกษาเทคนิคใหม่ของเขาและปรับตัวตาม</t>
  </si>
  <si>
    <t>การศึกษากลยุทธ์และเทคนิคใหม่จะช่วยให้คุณสามารถรับมือได้ดีกว่า.</t>
  </si>
  <si>
    <t>ในระหว่างการแข่งขันคุณพบว่าฝ่ายตรงข้ามมีความมั่นใจสูง คุณจะทำอย่างไร?</t>
  </si>
  <si>
    <t>A) เพิ่มความกดดันโดยการโจมตีเร็วและหนัก; B) ลดความเร็วในการโจมตีเพื่อรักษาสมดุล; C) หลีกเลี่ยงการเจอเขา; D) หยุดเล่น</t>
  </si>
  <si>
    <t>A) เพิ่มความกดดันโดยการโจมตีเร็วและหนัก</t>
  </si>
  <si>
    <t>การเพิ่มความกดดันจะช่วยลดความมั่นใจของคู่แข่ง.</t>
  </si>
  <si>
    <t>คุณเริ่มรู้สึกว่าผลการแข่งขันไม่เป็นที่พอใจ คุณจะทำอย่างไร?</t>
  </si>
  <si>
    <t>A) ปรับกลยุทธ์ใหม่และพยายามพลิกกลับสถานการณ์; B) ยอมแพ้และหยุดเล่น; C) รอให้คู่แข่งทำผิดพลาด; D) ปรับท่าทางการเล่นให้เหมาะสม</t>
  </si>
  <si>
    <t>A) ปรับกลยุทธ์ใหม่และพยายามพลิกกลับสถานการณ์</t>
  </si>
  <si>
    <t>การปรับกลยุทธ์ใหม่จะช่วยให้คุณสามารถพลิกสถานการณ์.</t>
  </si>
  <si>
    <t>คุณสังเกตว่าผู้เล่นในทีมเริ่มเหนื่อยล้า คุณจะทำอย่างไร?</t>
  </si>
  <si>
    <t>A) กระตุ้นและให้กำลังใจเพื่อนร่วมทีม; B) ขอเวลาพักจากผู้ฝึกสอน; C) ลดความเร็วในการเล่น; D) หยุดเกม</t>
  </si>
  <si>
    <t>การให้กำลังใจจะช่วยเพิ่มความมั่นใจและแรงจูงใจ.</t>
  </si>
  <si>
    <t>คุณพบว่าฝ่ายตรงข้ามเริ่มใช้กลยุทธ์ที่แตกต่างไปจากเดิม คุณจะทำอย่างไร?</t>
  </si>
  <si>
    <t>A) ปรับกลยุทธ์เพื่อรับมือกับการโจมตีใหม่; B) รอดูสถานการณ์จนกว่าพวกเขาจะทำผิดพลาด; C) ปรับการจับไม้ลมและท่าทางให้เหมาะสม; D) หยุดเล่น</t>
  </si>
  <si>
    <t>A) ปรับกลยุทธ์เพื่อรับมือกับการโจมตีใหม่</t>
  </si>
  <si>
    <t>การปรับกลยุทธ์จะช่วยให้คุณรับมือกับสถานการณ์ใหม่ได้ดีขึ้น.</t>
  </si>
  <si>
    <t>ในระหว่างการแข่งขันคุณพบว่าคู่แข่งเริ่มใช้เทคนิคที่ไม่คาดคิด คุณจะทำอย่างไร?</t>
  </si>
  <si>
    <t>A) ศึกษาวิธีการเล่นของเขาและปรับตัวตาม; B) หลีกเลี่ยงการเล่นกับเขา; C) พยายามพึ่งพากลยุทธ์เดิม; D) หยุดเล่น</t>
  </si>
  <si>
    <t>A) ศึกษาวิธีการเล่นของเขาและปรับตัวตาม</t>
  </si>
  <si>
    <t>การศึกษาวิธีการเล่นของคู่แข่งจะช่วยให้คุณรับมือได้ดี.</t>
  </si>
  <si>
    <t>คุณเริ่มรู้สึกว่าความเร็วของเกมเริ่มเพิ่มขึ้นอย่างรวดเร็ว คุณจะทำอย่างไร?</t>
  </si>
  <si>
    <t>A) ปรับความเร็วในการโจมตีและการเคลื่อนไหวให้เหมาะสม; B) รอจนเกมลดความเร็วลง; C) พยายามรักษาความสงบและรอดูสถานการณ์; D) หยุดเล่น</t>
  </si>
  <si>
    <t>A) ปรับความเร็วในการโจมตีและการเคลื่อนไหวให้เหมาะสม</t>
  </si>
  <si>
    <t>การปรับความเร็วการเล่นให้เหมาะสมจะช่วยให้คุณรักษาความสมดุลในเกม.</t>
  </si>
  <si>
    <t>คุณพบว่าคู่แข่งเริ่มใช้กลยุทธ์ที่หลอกลวง คุณจะทำอย่างไร?</t>
  </si>
  <si>
    <t>A) ระวังและตอบโต้เมื่อมีโอกาส; B) หลีกเลี่ยงการเข้าไปใกล้เขา; C) ใช้กลยุทธ์ที่มั่นคงของตัวเอง; D) หยุดเล่น</t>
  </si>
  <si>
    <t>A) ระวังและตอบโต้เมื่อมีโอกาส</t>
  </si>
  <si>
    <t>การตอบโต้ทันทีจะช่วยทำให้คู่แข่งไม่สามารถหลอกลวงได้.</t>
  </si>
  <si>
    <t>ในระหว่างการแข่งขันคุณรู้สึกว่าคุณเริ่มสูญเสียสมาธิ คุณจะทำอย่างไร?</t>
  </si>
  <si>
    <t>A) พยายามตั้งสมาธิใหม่และโฟกัสในการเล่น; B) หยุดเล่นและขอพัก; C) ปรับท่าทางการเล่นเพื่อช่วยเพิ่มสมาธิ; D) ขอโทษและยอมแพ้</t>
  </si>
  <si>
    <t>A) พยายามตั้งสมาธิใหม่และโฟกัสในการเล่น</t>
  </si>
  <si>
    <t>การตั้งสมาธิจะช่วยให้คุณกลับมามุ่งมั่นในการเล่น.</t>
  </si>
  <si>
    <t>คุณพบว่าคู่แข่งเริ่มทำการโจมตีที่รุนแรงมากขึ้น คุณจะทำอย่างไร?</t>
  </si>
  <si>
    <t>A) ใช้เทคนิคหลบหลีกและโจมตีกลับ; B) ปรับท่าทางการเล่นให้เหมาะสมเพื่อหลีกเลี่ยงการโจมตี; C) หลีกเลี่ยงการตอบโต้และรอดูสถานการณ์; D) หยุดเล่น</t>
  </si>
  <si>
    <t>การหลบหลีกและตอบโต้จะช่วยลดการกดดันจากคู่แข่ง.</t>
  </si>
  <si>
    <t>คุณรู้สึกว่าไม้ลมของคุณเริ่มมีปัญหา คุณจะทำอย่างไร?</t>
  </si>
  <si>
    <t>A) ปรับท่าทางการจับไม้ลมให้มั่นคง; B) เปลี่ยนไม้ลมใหม่ทันที; C) ใช้ไม้ลมที่มีปัญหาต่อไป; D) หยุดเล่น</t>
  </si>
  <si>
    <t>B) เปลี่ยนไม้ลมใหม่ทันที</t>
  </si>
  <si>
    <t>การใช้ไม้ลมที่มีปัญหาจะทำให้ประสิทธิภาพการเล่นลดลง.</t>
  </si>
  <si>
    <t>คุณเริ่มรู้สึกว่าเกมไม่เป็นไปตามที่คาดหวัง คุณจะทำอย่างไร?</t>
  </si>
  <si>
    <t>A) ปรับกลยุทธ์และท่าทางการเล่นเพื่อให้ดีขึ้น; B) หลีกเลี่ยงการโจมตีและรอดูสถานการณ์; C) หยุดเล่นและขอพัก; D) พยายามพึ่งพากลยุทธ์เดิม</t>
  </si>
  <si>
    <t>A) ปรับกลยุทธ์และท่าทางการเล่นเพื่อให้ดีขึ้น</t>
  </si>
  <si>
    <t>การปรับกลยุทธ์ใหม่จะช่วยเพิ่มโอกาสในการพลิกกลับสถานการณ์.</t>
  </si>
  <si>
    <t>คุณพบว่าไม้ลมของคู่แข่งเริ่มมีปัญหาคุณจะทำอย่างไร?</t>
  </si>
  <si>
    <t>A) ใช้โอกาสนี้โจมตีอย่างรวดเร็ว; B) รอให้เขาปรับแก้ปัญหาก่อน; C) หลีกเลี่ยงการโจมตีและรอดูสถานการณ์; D) หยุดเล่น</t>
  </si>
  <si>
    <t>A) ใช้โอกาสนี้โจมตีอย่างรวดเร็ว</t>
  </si>
  <si>
    <t>การโจมตีอย่างรวดเร็วจะช่วยให้คุณสามารถใช้ความได้เปรียบ.</t>
  </si>
  <si>
    <t>คุณเริ่มรู้สึกว่าเทคนิคของคู่แข่งเริ่มแข็งแกร่งขึ้น คุณจะทำอย่างไร?</t>
  </si>
  <si>
    <t>A) ปรับเทคนิคและกลยุทธ์ของตัวเองเพื่อรับมือ; B) หลีกเลี่ยงการโจมตีเขา; C) พยายามพึ่งพากลยุทธ์เดิม; D) หยุดเล่น</t>
  </si>
  <si>
    <t>A) ปรับเทคนิคและกลยุทธ์ของตัวเองเพื่อรับมือ</t>
  </si>
  <si>
    <t>การปรับเทคนิคและกลยุทธ์จะช่วยให้คุณรับมือกับคู่แข่งได้.</t>
  </si>
  <si>
    <t>คุณสังเกตว่าคู่แข่งเริ่มเล่นได้เร็วขึ้น คุณจะทำอย่างไร?</t>
  </si>
  <si>
    <t>A) ปรับการเล่นให้รวดเร็วขึ้น; B) หลีกเลี่ยงการเผชิญหน้ากับเขา; C) พยายามลดความเร็วของเกม; D) หยุดเล่น</t>
  </si>
  <si>
    <t>A) ปรับการเล่นให้รวดเร็วขึ้น</t>
  </si>
  <si>
    <t>การปรับการเล่นให้รวดเร็วขึ้นจะช่วยให้คุณสามารถจับคู่แข่งได้.</t>
  </si>
  <si>
    <t>คุณสังเกตว่าผู้เล่นในทีมเริ่มขาดสมาธิ คุณจะทำอย่างไร?</t>
  </si>
  <si>
    <t>A) กระตุ้นและให้กำลังใจเพื่อนร่วมทีม; B) หลีกเลี่ยงการพูดถึงเรื่องนี้; C) ปรับกลยุทธ์ให้เหมาะสม; D) หยุดเล่น</t>
  </si>
  <si>
    <t>การกระตุ้นและให้กำลังใจจะช่วยฟื้นฟูสมาธิของทีม.</t>
  </si>
  <si>
    <t>ในระหว่างการแข่งขันคุณเริ่มรู้สึกกังวลเกี่ยวกับการเล่นของตัวเอง คุณจะทำอย่างไร?</t>
  </si>
  <si>
    <t>A) พยายามตั้งสมาธิและโฟกัสในการเล่น; B) หลีกเลี่ยงการโจมตีเพื่อไม่ให้ผิดพลาด; C) ปรับท่าทางการเล่นเพื่อเพิ่มความมั่นใจ; D) หยุดเล่น</t>
  </si>
  <si>
    <t>A) พยายามตั้งสมาธิและโฟกัสในการเล่น</t>
  </si>
  <si>
    <t>การตั้งสมาธิจะช่วยลดความกังวลและทำให้คุณเล่นได้ดีขึ้น.</t>
  </si>
  <si>
    <t>คุณสังเกตว่าคู่แข่งเริ่มใช้การโจมตีที่เร็วขึ้น คุณจะทำอย่างไร?</t>
  </si>
  <si>
    <t>A) ปรับการตอบโต้ให้รวดเร็วขึ้น; B) หลีกเลี่ยงการโจมตีและรอดูสถานการณ์; C) ปรับกลยุทธ์ให้เหมาะสม; D) หยุดเล่น</t>
  </si>
  <si>
    <t>การตอบโต้ที่รวดเร็วจะช่วยลดความได้เปรียบของคู่แข่ง.</t>
  </si>
  <si>
    <t>คุณเริ่มรู้สึกว่าเทคนิคของคู่แข่งเริ่มแย่ลง คุณจะทำอย่างไร?</t>
  </si>
  <si>
    <t>A) ใช้โอกาสนี้เพื่อโจมตีอย่างรุนแรง; B) หลีกเลี่ยงการโจมตี; C) ปรับท่าทางการเล่นให้เหมาะสม; D) หยุดเล่น</t>
  </si>
  <si>
    <t>A) ใช้โอกาสนี้เพื่อโจมตีอย่างรุนแรง</t>
  </si>
  <si>
    <t>การโจมตีในช่วงที่คู่แข่งมีปัญหาจะช่วยเพิ่มโอกาสในการชนะ.</t>
  </si>
  <si>
    <t>คุณสังเกตว่าผู้เล่นในทีมเริ่มหมดแรง คุณจะทำอย่างไร?</t>
  </si>
  <si>
    <t>A) ปรับกลยุทธ์การเล่นเพื่อให้ทุกคนได้พัก; B) เพิ่มความเร็วในการโจมตี; C) เล่นตามกลยุทธ์เดิม; D) หยุดเล่น</t>
  </si>
  <si>
    <t>A) ปรับกลยุทธ์การเล่นเพื่อให้ทุกคนได้พัก</t>
  </si>
  <si>
    <t>การปรับกลยุทธ์ให้ทุกคนได้พักจะช่วยให้ทีมกลับมามีพลัง.</t>
  </si>
  <si>
    <t>คุณพบว่าไม้ลมของคู่แข่งเริ่มมีปัญหา คุณจะทำอย่างไร?</t>
  </si>
  <si>
    <t>A) ใช้โอกาสนี้โจมตีอย่างรวดเร็ว; B) หลีกเลี่ยงการโจมตีและรอดูสถานการณ์; C) ปรับท่าทางการเล่นให้เหมาะสม; D) หยุดเล่น</t>
  </si>
  <si>
    <t>การโจมตีทันทีในช่วงที่คู่แข่งมีปัญหาจะช่วยให้คุณมีโอกาสชนะ.</t>
  </si>
  <si>
    <t>คุณเริ่มรู้สึกว่าคุณไม่สามารถทำตามกลยุทธ์ที่วางไว้ได้ คุณจะทำอย่างไร?</t>
  </si>
  <si>
    <t>A) ปรับกลยุทธ์และท่าทางการเล่น; B) รอดูสถานการณ์และคาดหวังให้คู่แข่งทำผิดพลาด; C) พึ่งพากลยุทธ์เดิม; D) หยุดเล่น</t>
  </si>
  <si>
    <t>A) ปรับกลยุทธ์และท่าทางการเล่น</t>
  </si>
  <si>
    <t>การปรับกลยุทธ์ตามสถานการณ์จะช่วยให้คุณกลับมามีโอกาส.</t>
  </si>
  <si>
    <t>คุณพบว่าคู่แข่งเริ่มใช้เทคนิคใหม่ๆ ที่คุณไม่เคยเห็นมาก่อน คุณจะทำอย่างไร?</t>
  </si>
  <si>
    <t>A) ศึกษาและปรับตัวตามเทคนิคใหม่; B) หลีกเลี่ยงการเข้าไปใกล้เขา; C) ปรับกลยุทธ์ให้เหมาะสม; D) หยุดเล่น</t>
  </si>
  <si>
    <t>A) ศึกษาและปรับตัวตามเทคนิคใหม่</t>
  </si>
  <si>
    <t>การศึกษาวิธีการเล่นใหม่ๆ จะช่วยให้คุณสามารถรับมือได้ดีกว่า.</t>
  </si>
  <si>
    <t>ในระหว่างการแข่งขันคุณพบว่าคู่แข่งเริ่มใช้การหลอกลวง คุณจะทำอย่างไร?</t>
  </si>
  <si>
    <t>A) ระวังและตอบโต้เมื่อมีโอกาส; B) หลีกเลี่ยงการเผชิญหน้ากับเขา; C) พยายามพึ่งพากลยุทธ์เดิม; D) หยุดเล่น</t>
  </si>
  <si>
    <t>การระวังและตอบโต้จะช่วยไม่ให้คู่แข่งหลอกลวงได้.</t>
  </si>
  <si>
    <t>คุณเริ่มรู้สึกว่าเกมไม่ได้เป็นไปตามที่คาดหวัง คุณจะทำอย่างไร?</t>
  </si>
  <si>
    <t>A) ปรับกลยุทธ์ใหม่และพยายามแก้ไขสถานการณ์; B) หยุดเล่นและขอพัก; C) พยายามพึ่งพากลยุทธ์เดิม; D) รอดูสถานการณ์จนกว่าคู่แข่งจะทำผิดพลาด</t>
  </si>
  <si>
    <t>A) ปรับกลยุทธ์ใหม่และพยายามแก้ไขสถานการณ์</t>
  </si>
  <si>
    <t>การปรับกลยุทธ์จะช่วยให้คุณสามารถกลับมาแข่งขันได้ดีขึ้น.</t>
  </si>
  <si>
    <t>A) ประสานงานกับเพื่อนร่วมทีมที่เหลือและดำเนินการต่อ; B) หลีกเลี่ยงการติดต่อกับเขาและเล่นตามกลยุทธ์เดิม; C) รอจนกว่าเขาจะกลับมา; D) หยุดเล่น</t>
  </si>
  <si>
    <t>A) ประสานงานกับเพื่อนร่วมทีมที่เหลือและดำเนินการต่อ</t>
  </si>
  <si>
    <t>การทำงานร่วมกับเพื่อนร่วมทีมที่เหลือจะช่วยให้ทีมยังคงทำงานได้.</t>
  </si>
  <si>
    <t>คุณพบว่าไม้ลมของคุณเริ่มมีปัญหา คุณจะทำอย่างไร?</t>
  </si>
  <si>
    <t>A) เปลี่ยนไม้ลมใหม่ทันที; B) ใช้ไม้ลมที่มีปัญหาต่อไป; C) ปรับท่าทางการจับไม้ลมให้มั่นคง; D) หยุดเล่น</t>
  </si>
  <si>
    <t>A) เปลี่ยนไม้ลมใหม่ทันที</t>
  </si>
  <si>
    <t>คุณเริ่มรู้สึกว่าเกมเริ่มสูญเสียความสนุก คุณจะทำอย่างไร?</t>
  </si>
  <si>
    <t>A) พยายามปรับท่าทางการเล่นเพื่อเพิ่มความสนุก; B) หยุดเล่นและขอพัก; C) ปรับกลยุทธ์ใหม่และเล่นต่อ; D) ขอโทษและยอมแพ้</t>
  </si>
  <si>
    <t>A) พยายามปรับท่าทางการเล่นเพื่อเพิ่มความสนุก</t>
  </si>
  <si>
    <t>การปรับท่าทางจะช่วยทำให้เกมกลับมาสนุกอีกครั้ง.</t>
  </si>
  <si>
    <t>คุณพบว่าฝ่ายตรงข้ามเริ่มเล่นได้ดีขึ้น คุณจะทำอย่างไร?</t>
  </si>
  <si>
    <t>A) ปรับกลยุทธ์และท่าทางการเล่นเพื่อรับมือ; B) รอดูสถานการณ์และรอให้คู่แข่งทำผิดพลาด; C) หลีกเลี่ยงการโจมตีเขา; D) หยุดเล่น</t>
  </si>
  <si>
    <t>A) ปรับกลยุทธ์และท่าทางการเล่นเพื่อรับมือ</t>
  </si>
  <si>
    <t>การปรับกลยุทธ์ใหม่จะช่วยให้คุณสามารถรับมือได้ดีกว่า.</t>
  </si>
  <si>
    <t>ในระหว่างการแข่งขันคุณรู้สึกว่าไม้ลมของคุณไม่เหมาะสม คุณจะทำอย่างไร?</t>
  </si>
  <si>
    <t>A) เปลี่ยนไม้ลมทันทีเพื่อปรับให้เหมาะสมกับเกม; B) ใช้ไม้ลมเดิมต่อไป; C) หลีกเลี่ยงการใช้งานไม้ลม; D) หยุดเล่น</t>
  </si>
  <si>
    <t>A) เปลี่ยนไม้ลมทันทีเพื่อปรับให้เหมาะสมกับเกม</t>
  </si>
  <si>
    <t>การเปลี่ยนไม้ลมจะช่วยให้คุณเล่นได้ดีขึ้น.</t>
  </si>
  <si>
    <t>คุณเริ่มรู้สึกว่าไม่มีแรงจูงใจในการเล่น คุณจะทำอย่างไร?</t>
  </si>
  <si>
    <t>A) กระตุ้นตัวเองและตั้งเป้าหมายในการเล่น; B) หยุดเล่นและขอพัก; C) รอดูสถานการณ์เพื่อให้มีแรงจูงใจ; D) ยอมแพ้</t>
  </si>
  <si>
    <t>A) กระตุ้นตัวเองและตั้งเป้าหมายในการเล่น</t>
  </si>
  <si>
    <t>การตั้งเป้าหมายและกระตุ้นตัวเองจะช่วยเพิ่มแรงจูงใจ.</t>
  </si>
  <si>
    <t>คุณสังเกตว่าคู่แข่งเริ่มใช้การโจมตีที่ซับซ้อนขึ้น คุณจะทำอย่างไร?</t>
  </si>
  <si>
    <t>A) ศึกษาการโจมตีใหม่และปรับตัวให้เหมาะสม; B) หลีกเลี่ยงการเผชิญหน้ากับเขา; C) รอให้เขาทำผิดพลาด; D) หยุดเล่น</t>
  </si>
  <si>
    <t>A) ศึกษาการโจมตีใหม่และปรับตัวให้เหมาะสม</t>
  </si>
  <si>
    <t>การศึกษากลยุทธ์ใหม่จะช่วยให้คุณสามารถตอบโต้ได้.</t>
  </si>
  <si>
    <t>คุณรู้สึกว่าเกมเริ่มยากขึ้น คุณจะทำอย่างไร?</t>
  </si>
  <si>
    <t>A) ปรับกลยุทธ์และพยายามหาทางออกจากสถานการณ์; B) หยุดเล่นและขอพัก; C) รอดูสถานการณ์และหวังให้คู่แข่งทำผิดพลาด; D) ยอมแพ้</t>
  </si>
  <si>
    <t>A) ปรับกลยุทธ์และพยายามหาทางออกจากสถานการณ์</t>
  </si>
  <si>
    <t>การปรับกลยุทธ์ช่วยเพิ่มโอกาสในการกลับมา.</t>
  </si>
  <si>
    <t>คุณพบว่าคู่แข่งเริ่มมีปัญหาด้านจิตใจ คุณจะทำอย่างไร?</t>
  </si>
  <si>
    <t>A) ใช้โอกาสนี้โจมตีอย่างรวดเร็ว; B) หลีกเลี่ยงการโจมตีและรอดูสถานการณ์; C) ปรับกลยุทธ์เพื่อให้เล่นได้ดีกว่า; D) หยุดเล่น</t>
  </si>
  <si>
    <t>การโจมตีในช่วงที่คู่แข่งมีปัญหาทางจิตใจจะช่วยให้คุณมีโอกาสชนะ.</t>
  </si>
  <si>
    <t>คุณเริ่มรู้สึกว่าเทคนิคของตัวเองเริ่มแข็งแกร่งขึ้น คุณจะทำอย่างไร?</t>
  </si>
  <si>
    <t>A) ใช้เทคนิคที่แข็งแกร่งเพื่อคว้าชัยชนะ; B) หลีกเลี่ยงการโจมตีเพื่อไม่ให้เหนื่อย; C) พยายามทำให้เกมสนุกขึ้น; D) หยุดเล่น</t>
  </si>
  <si>
    <t>A) ใช้เทคนิคที่แข็งแกร่งเพื่อคว้าชัยชนะ</t>
  </si>
  <si>
    <t>การใช้เทคนิคที่ดีจะช่วยเพิ่มโอกาสในการชนะ.</t>
  </si>
  <si>
    <t>คุณพบว่าคู่แข่งเริ่มใช้เทคนิคที่คุณไม่สามารถจับได้ คุณจะทำอย่างไร?</t>
  </si>
  <si>
    <t>A) ศึกษาเทคนิคและพยายามปรับตัว; B) หลีกเลี่ยงการเล่นกับเขา; C) ปรับกลยุทธ์ใหม่ทันที; D) หยุดเล่น</t>
  </si>
  <si>
    <t>A) ศึกษาเทคนิคและพยายามปรับตัว</t>
  </si>
  <si>
    <t>การศึกษาวิธีการใหม่จะช่วยให้คุณสามารถรับมือกับคู่แข่งได้.</t>
  </si>
  <si>
    <t>คุณสังเกตว่าทีมเริ่มไม่มีความมั่นใจ คุณจะทำอย่างไร?</t>
  </si>
  <si>
    <t>A) กระตุ้นและให้กำลังใจเพื่อนร่วมทีม; B) หลีกเลี่ยงการทำผิดพลาด; C) ปรับกลยุทธ์ให้เหมาะสม; D) หยุดเล่น</t>
  </si>
  <si>
    <t>การกระตุ้นและให้กำลังใจจะช่วยฟื้นฟูความมั่นใจในทีม.</t>
  </si>
  <si>
    <t>คุณเริ่มรู้สึกว่าไม่สามารถทำตามกลยุทธ์ที่วางไว้ได้ คุณจะทำอย่างไร?</t>
  </si>
  <si>
    <t>A) ปรับกลยุทธ์ตามสถานการณ์; B) พยายามทำตามกลยุทธ์เดิม; C) หลีกเลี่ยงการเล่นกับคู่แข่งที่แข็งแกร่ง; D) หยุดเล่น</t>
  </si>
  <si>
    <t>A) ปรับกลยุทธ์ตามสถานการณ์</t>
  </si>
  <si>
    <t>การปรับกลยุทธ์ให้เหมาะสมกับสถานการณ์จะช่วยให้คุณสามารถควบคุมเกมได้.</t>
  </si>
  <si>
    <t>คุณพบว่าทีมเริ่มมีความสับสนในระหว่างการแข่งขัน คุณจะทำอย่างไร?</t>
  </si>
  <si>
    <t>A) ช่วยจัดระเบียบทีมและให้คำแนะนำ; B) หลีกเลี่ยงการแทรกแซง; C) ปรับกลยุทธ์ให้เหมาะสม; D) หยุดเล่น</t>
  </si>
  <si>
    <t>A) ช่วยจัดระเบียบทีมและให้คำแนะนำ</t>
  </si>
  <si>
    <t>การช่วยให้ทีมกลับมามีระเบียบจะช่วยให้เกมราบรื่น.</t>
  </si>
  <si>
    <t>คุณรู้สึกว่าเกมเริ่มมีความเครียด คุณจะทำอย่างไร?</t>
  </si>
  <si>
    <t>A) พยายามผ่อนคลายและตั้งสมาธิใหม่; B) หลีกเลี่ยงการเผชิญหน้ากับคู่แข่ง; C) พยายามเพิ่มความเร็วในการเล่น; D) หยุดเล่น</t>
  </si>
  <si>
    <t>A) พยายามผ่อนคลายและตั้งสมาธิใหม่</t>
  </si>
  <si>
    <t>การผ่อนคลายและตั้งสมาธิจะช่วยลดความเครียด.</t>
  </si>
  <si>
    <t>คุณเริ่มรู้สึกว่าผู้เล่นในทีมมีความเหนื่อยล้า คุณจะทำอย่างไร?</t>
  </si>
  <si>
    <t>A) ปรับกลยุทธ์เพื่อให้ทุกคนได้พัก; B) เล่นต่อไปตามกลยุทธ์เดิม; C) เพิ่มความเร็วในการเล่น; D) หยุดเล่น</t>
  </si>
  <si>
    <t>A) ปรับกลยุทธ์เพื่อให้ทุกคนได้พัก</t>
  </si>
  <si>
    <t>การให้ทุกคนได้พักจะช่วยฟื้นฟูพลังของทีม.</t>
  </si>
  <si>
    <t>คุณพบว่าคู่แข่งเริ่มใช้กลยุทธ์ที่แปลกใหม่ คุณจะทำอย่างไร?</t>
  </si>
  <si>
    <t>A) ศึกษากลยุทธ์ใหม่และปรับตัวให้เหมาะสม; B) หลีกเลี่ยงการเผชิญหน้ากับเขา; C) รอดูสถานการณ์จนกว่าจะพบจุดอ่อน; D) หยุดเล่น</t>
  </si>
  <si>
    <t>A) ศึกษากลยุทธ์ใหม่และปรับตัวให้เหมาะสม</t>
  </si>
  <si>
    <t>การศึกษากลยุทธ์ใหม่จะช่วยให้คุณสามารถรับมือได้ดีขึ้น.</t>
  </si>
  <si>
    <t>คุณสังเกตว่าคู่แข่งเริ่มใช้เทคนิคที่ไม่คุ้นเคย คุณจะทำอย่างไร?</t>
  </si>
  <si>
    <t>A) พยายามจับจุดอ่อนและปรับกลยุทธ์; B) หลีกเลี่ยงการเผชิญหน้ากับเขา; C) รอดูจนกว่าจะพบจุดอ่อน; D) หยุดเล่น</t>
  </si>
  <si>
    <t>A) พยายามจับจุดอ่อนและปรับกลยุทธ์</t>
  </si>
  <si>
    <t>การจับจุดอ่อนจะช่วยให้คุณสามารถตอบโต้ได้.</t>
  </si>
  <si>
    <t>ในระหว่างการแข่งขันคุณเริ่มรู้สึกว่าไม้อาจจะไม่เหมาะสม คุณจะทำอย่างไร?</t>
  </si>
  <si>
    <t>A) เปลี่ยนไม้ทันที; B) ปรับท่าทางการจับไม้ให้มั่นคง; C) ใช้ไม้เดิมต่อไป; D) หยุดเล่น</t>
  </si>
  <si>
    <t>A) เปลี่ยนไม้ทันที</t>
  </si>
  <si>
    <t>การใช้ไม้ที่เหมาะสมจะช่วยเพิ่มประสิทธิภาพในการเล่น.</t>
  </si>
  <si>
    <t>คุณสังเกตว่าคู่แข่งเริ่มพัฒนาเทคนิคที่ดีขึ้น คุณจะทำอย่างไร?</t>
  </si>
  <si>
    <t>A) ศึกษาเทคนิคใหม่และปรับตัวให้เหมาะสม; B) หลีกเลี่ยงการเผชิญหน้ากับเขา; C) ปรับกลยุทธ์ให้เหมาะสม; D) หยุดเล่น</t>
  </si>
  <si>
    <t>A) ศึกษาเทคนิคใหม่และปรับตัวให้เหมาะสม</t>
  </si>
  <si>
    <t>การปรับตัวให้เหมาะสมจะช่วยให้คุณรับมือได้ดีกว่า.</t>
  </si>
  <si>
    <t>คุณพบว่าผู้เล่นในทีมเริ่มไม่ค่อยเข้าใจจังหวะการเล่น คุณจะทำอย่างไร?</t>
  </si>
  <si>
    <t>A) อธิบายและช่วยปรับจังหวะการเล่น; B) หลีกเลี่ยงการพูดถึงเรื่องนี้; C) ปรับกลยุทธ์ให้เหมาะสม; D) หยุดเล่น</t>
  </si>
  <si>
    <t>A) อธิบายและช่วยปรับจังหวะการเล่น</t>
  </si>
  <si>
    <t>การช่วยเพื่อนร่วมทีมจะทำให้การเล่นราบรื่นยิ่งขึ้น.</t>
  </si>
  <si>
    <t>คุณเริ่มรู้สึกว่าการเล่นเริ่มท้าทายเกินไป คุณจะทำอย่างไร?</t>
  </si>
  <si>
    <t>A) ปรับกลยุทธ์เพื่อหาทางออกจากสถานการณ์; B) หยุดเล่นและขอพัก; C) พยายามพึ่งพากลยุทธ์เดิม; D) ยอมแพ้</t>
  </si>
  <si>
    <t>A) ปรับกลยุทธ์เพื่อหาทางออกจากสถานการณ์</t>
  </si>
  <si>
    <t>การปรับกลยุทธ์จะช่วยเพิ่มโอกาสในการพลิกกลับสถานการณ์.</t>
  </si>
  <si>
    <t>คุณพบว่าทีมเริ่มเสียสมาธิ คุณจะทำอย่างไร?</t>
  </si>
  <si>
    <t>การกระตุ้นทีมจะช่วยให้ทีมกลับมาโฟกัสได้อีกครั้ง.</t>
  </si>
  <si>
    <t>คุณเริ่มรู้สึกว่าคู่แข่งเริ่มมีความได้เปรียบมากขึ้น คุณจะทำอย่างไร?</t>
  </si>
  <si>
    <t>A) ปรับกลยุทธ์และท่าทางการเล่น; B) หลีกเลี่ยงการโจมตีเขา; C) พยายามทำตามกลยุทธ์เดิม; D) หยุดเล่น</t>
  </si>
  <si>
    <t>การปรับกลยุทธ์ให้เหมาะสมจะช่วยเพิ่มโอกาสในการพลิกกลับสถานการณ์.</t>
  </si>
  <si>
    <t>คุณพบว่าผู้เล่นในทีมเริ่มเกิดความไม่พอใจระหว่างการเล่น คุณจะทำอย่างไร?</t>
  </si>
  <si>
    <t>A) พยายามปรับความเข้าใจและพูดคุย; B) หลีกเลี่ยงการพูดถึงเรื่องนี้; C) ปรับกลยุทธ์ให้เหมาะสม; D) หยุดเล่น</t>
  </si>
  <si>
    <t>A) พยายามปรับความเข้าใจและพูดคุย</t>
  </si>
  <si>
    <t>การปรับความเข้าใจในทีมจะช่วยลดความตึงเครียด.</t>
  </si>
  <si>
    <t>A) ปรับกลยุทธ์และพยายามหาทางออกจากสถานการณ์; B) หยุดเล่นและขอพัก; C) รอดูสถานการณ์จนกว่าคู่แข่งจะทำผิดพลาด; D) ยอมแพ้</t>
  </si>
  <si>
    <t>คุณพบว่าคู่แข่งเริ่มเล่นได้ดีขึ้น คุณจะทำอย่างไร?</t>
  </si>
  <si>
    <t>คุณสังเกตว่าฝ่ายตรงข้ามเริ่มใช้การโจมตีที่ซับซ้อนขึ้น คุณจะทำอย่างไร?</t>
  </si>
  <si>
    <t>การศึกษากลยุทธ์ใหม่จะช่วยให้คุณมีโอกาสรับมือได้ดียิ่งขึ้น.</t>
  </si>
  <si>
    <t>คุณรู้สึกว่าการแข่งขันเริ่มเครียดเกินไป คุณจะทำอย่างไร?</t>
  </si>
  <si>
    <t>A) พยายามผ่อนคลายและตั้งสมาธิใหม่; B) หลีกเลี่ยงการเล่นกับคู่แข่งที่แข็งแกร่ง; C) พยายามเพิ่มความเร็วในการเล่น; D) หยุดเล่น</t>
  </si>
  <si>
    <t>การผ่อนคลายและตั้งสมาธิจะช่วยลดความเครียดและปรับปรุงการเล่น.</t>
  </si>
  <si>
    <t>คุณพบว่าคู่แข่งเริ่มทำคะแนนได้ดีขึ้น คุณจะทำอย่างไร?</t>
  </si>
  <si>
    <t>A) ปรับกลยุทธ์เพื่อให้สามารถรับมือได้; B) หลีกเลี่ยงการโจมตีเขา; C) พยายามทำคะแนนอย่างรวดเร็ว; D) หยุดเล่น</t>
  </si>
  <si>
    <t>A) ปรับกลยุทธ์เพื่อให้สามารถรับมือได้</t>
  </si>
  <si>
    <t>การปรับกลยุทธ์ให้เหมาะสมจะช่วยลดการทำคะแนนของคู่แข่ง.</t>
  </si>
  <si>
    <t>คุณพบว่าทีมเริ่มมีปัญหาด้านการสื่อสาร คุณจะทำอย่างไร?</t>
  </si>
  <si>
    <t>A) พยายามปรับการสื่อสารในทีม; B) ปรับกลยุทธ์ให้เหมาะสม; C) หลีกเลี่ยงการพูดถึงเรื่องนี้; D) หยุดเล่น</t>
  </si>
  <si>
    <t>A) พยายามปรับการสื่อสารในทีม</t>
  </si>
  <si>
    <t>การปรับการสื่อสารจะช่วยให้ทีมทำงานร่วมกันได้ดียิ่งขึ้น.</t>
  </si>
  <si>
    <t>คุณรู้สึกว่าเริ่มเล่นไม่ดีตามที่คาดหวัง คุณจะทำอย่างไร?</t>
  </si>
  <si>
    <t>A) พยายามตั้งสมาธิใหม่และปรับตัวให้ดีขึ้น; B) หลีกเลี่ยงการทำผิดพลาด; C) ปรับกลยุทธ์ให้เหมาะสม; D) หยุดเล่น</t>
  </si>
  <si>
    <t>A) พยายามตั้งสมาธิใหม่และปรับตัวให้ดีขึ้น</t>
  </si>
  <si>
    <t>การตั้งสมาธิใหม่จะช่วยให้การเล่นดีขึ้น.</t>
  </si>
  <si>
    <t>คุณเริ่มรู้สึกว่าคู่แข่งเริ่มเข้าใจกลยุทธ์ของคุณ คุณจะทำอย่างไร?</t>
  </si>
  <si>
    <t>A) ปรับกลยุทธ์ให้ยืดหยุ่น; B) ทำตามกลยุทธ์เดิมต่อไป; C) หลีกเลี่ยงการโจมตี; D) หยุดเล่น</t>
  </si>
  <si>
    <t>A) ปรับกลยุทธ์ให้ยืดหยุ่น</t>
  </si>
  <si>
    <t>การปรับกลยุทธ์จะช่วยทำให้คู่แข่งไม่สามารถคาดเดาการเล่นของคุณ.</t>
  </si>
  <si>
    <t>คุณพบว่าทีมเริ่มมีความเครียดและไม่สามารถโฟกัสได้ คุณจะทำอย่างไร?</t>
  </si>
  <si>
    <t>A) ช่วยให้เพื่อนร่วมทีมผ่อนคลายและฟื้นฟูสมาธิ; B) หลีกเลี่ยงการแทรกแซง; C) ปรับกลยุทธ์ให้เหมาะสม; D) หยุดเล่น</t>
  </si>
  <si>
    <t>A) ช่วยให้เพื่อนร่วมทีมผ่อนคลายและฟื้นฟูสมาธิ</t>
  </si>
  <si>
    <t>การผ่อนคลายทีมจะช่วยให้กลับมามีสมาธิในการแข่งขัน.</t>
  </si>
  <si>
    <t>คุณรู้สึกว่าทีมกำลังพลาดโอกาสสำคัญ คุณจะทำอย่างไร?</t>
  </si>
  <si>
    <t>การให้กำลังใจและกระตุ้นทีมจะช่วยฟื้นฟูความมั่นใจและคว้าโอกาส.</t>
  </si>
  <si>
    <t>คุณพบว่าคู่แข่งเริ่มใช้เทคนิคที่ทำให้คุณลำบาก คุณจะทำอย่างไร?</t>
  </si>
  <si>
    <t>A) ศึกษาเทคนิคและปรับกลยุทธ์; B) หลีกเลี่ยงการโจมตี; C) พยายามรอดูและรอให้เขาทำผิดพลาด; D) หยุดเล่น</t>
  </si>
  <si>
    <t>A) ศึกษาเทคนิคและปรับกลยุทธ์</t>
  </si>
  <si>
    <t>การศึกษาเทคนิคใหม่จะช่วยให้คุณสามารถปรับตัวได้.</t>
  </si>
  <si>
    <t>A) พักสักครู่และปล่อยให้ทุกคนฟื้นฟู; B) ปรับกลยุทธ์ให้เหมาะสม; C) เล่นต่อไปตามปกติ; D) หยุดเล่น</t>
  </si>
  <si>
    <t>A) พักสักครู่และปล่อยให้ทุกคนฟื้นฟู</t>
  </si>
  <si>
    <t>การให้เวลาพักจะช่วยให้ทีมกลับมามีพลัง.</t>
  </si>
  <si>
    <t>คุณพบว่าทีมเริ่มมีความขัดแย้งในระหว่างการแข่งขัน คุณจะทำอย่างไร?</t>
  </si>
  <si>
    <t>A) พยายามให้คำแนะนำและช่วยปรับความเข้าใจ; B) หลีกเลี่ยงการพูดถึงเรื่องนี้; C) ปรับกลยุทธ์ให้เหมาะสม; D) หยุดเล่น</t>
  </si>
  <si>
    <t>A) พยายามให้คำแนะนำและช่วยปรับความเข้าใจ</t>
  </si>
  <si>
    <t>การช่วยให้ทีมปรับความเข้าใจจะลดความขัดแย้งในทีม.</t>
  </si>
  <si>
    <t>คุณพบว่าผู้เล่นในทีมเริ่มสับสนเกี่ยวกับกลยุทธ์ที่ใช้อยู่ คุณจะทำอย่างไร?</t>
  </si>
  <si>
    <t>A) อธิบายกลยุทธ์ให้ชัดเจนและช่วยปรับการเล่น; B) หลีกเลี่ยงการพูดถึงเรื่องนี้; C) ปรับกลยุทธ์ให้เหมาะสม; D) หยุดเล่น</t>
  </si>
  <si>
    <t>A) อธิบายกลยุทธ์ให้ชัดเจนและช่วยปรับการเล่น</t>
  </si>
  <si>
    <t>การอธิบายกลยุทธ์อย่างชัดเจนจะทำให้ทีมเล่นได้ดีขึ้น.</t>
  </si>
  <si>
    <t>คุณรู้สึกว่าคู่แข่งเริ่มแข็งแกร่งขึ้น คุณจะทำอย่างไร?</t>
  </si>
  <si>
    <t>A) ปรับกลยุทธ์และใช้เทคนิคที่ดีที่สุด; B) หลีกเลี่ยงการโจมตีเขา; C) พยายามเล่นตามกลยุทธ์เดิม; D) หยุดเล่น</t>
  </si>
  <si>
    <t>A) ปรับกลยุทธ์และใช้เทคนิคที่ดีที่สุด</t>
  </si>
  <si>
    <t>การปรับกลยุทธ์และใช้เทคนิคที่ดีที่สุดจะช่วยให้คุณสามารถต่อสู้กับคู่แข่งได้.</t>
  </si>
  <si>
    <t>A) ปรับการโจมตีของตัวเองให้เร็วขึ้น; B) หลีกเลี่ยงการโจมตี; C) รอดูจนกว่าคู่แข่งจะทำผิดพลาด; D) หยุดเล่น</t>
  </si>
  <si>
    <t>A) ปรับการโจมตีของตัวเองให้เร็วขึ้น</t>
  </si>
  <si>
    <t>การปรับความเร็วในการโจมตีจะช่วยให้คุณสามารถรับมือกับคู่แข่งได้.</t>
  </si>
  <si>
    <t>คุณพบว่าทีมเริ่มขาดความมั่นใจในระหว่างการเล่น คุณจะทำอย่างไร?</t>
  </si>
  <si>
    <t>A) ให้คำแนะนำและกระตุ้นทีม; B) หลีกเลี่ยงการพูดถึงเรื่องนี้; C) ปรับกลยุทธ์ให้เหมาะสม; D) หยุดเล่น</t>
  </si>
  <si>
    <t>A) ให้คำแนะนำและกระตุ้นทีม</t>
  </si>
  <si>
    <t>การให้คำแนะนำและกระตุ้นทีมจะช่วยฟื้นฟูความมั่นใจ.</t>
  </si>
  <si>
    <t>คุณรู้สึกว่าคู่แข่งเริ่มใช้กลยุทธ์ที่ซับซ้อนมากขึ้น คุณจะทำอย่างไร?</t>
  </si>
  <si>
    <t>A) ศึกษากลยุทธ์ใหม่และปรับตัวให้เหมาะสม; B) หลีกเลี่ยงการเผชิญหน้า; C) รอดูจนกว่าจะพบจุดอ่อน; D) หยุดเล่น</t>
  </si>
  <si>
    <t>คุณพบว่าคู่แข่งเริ่มใช้เทคนิคที่รวดเร็วมากขึ้น คุณจะทำอย่างไร?</t>
  </si>
  <si>
    <t>A) ปรับท่าทางการเล่นให้เร็วขึ้น; B) หลีกเลี่ยงการโจมตีเขา; C) รอดูจนกว่าจะพบจุดอ่อน; D) หยุดเล่น</t>
  </si>
  <si>
    <t>A) ปรับท่าทางการเล่นให้เร็วขึ้น</t>
  </si>
  <si>
    <t>การปรับท่าทางการเล่นให้เร็วขึ้นจะช่วยให้คุณสามารถตอบโต้ได้.</t>
  </si>
  <si>
    <t>คุณเริ่มรู้สึกว่าเกมเริ่มยากขึ้น คุณจะทำอย่างไร?</t>
  </si>
  <si>
    <t>A) ปรับกลยุทธ์และพยายามหาทางออกจากสถานการณ์; B) หยุดเล่นและขอพัก; C) รอดูสถานการณ์จนกว่าจะพบจุดอ่อน; D) ยอมแพ้</t>
  </si>
  <si>
    <t>คุณพบว่าคุณทำผิดพลาดในเกมและเริ่มรู้สึกท้อแท้ คุณจะทำอย่างไร?</t>
  </si>
  <si>
    <t>A) ลุกขึ้นและพยายามใหม่; B) รอจนกว่าผู้เล่นอื่นจะทำผิดพลาด; C) หลีกเลี่ยงการเล่น; D) ยอมแพ้</t>
  </si>
  <si>
    <t>A) ลุกขึ้นและพยายามใหม่</t>
  </si>
  <si>
    <t>การพยายามใหม่จะช่วยให้คุณเรียนรู้จากความผิดพลาดและปรับปรุงการเล่น.</t>
  </si>
  <si>
    <t>A) ใช้โอกาสนี้เพื่อโจมตีอย่างรวดเร็ว; B) หลีกเลี่ยงการโจมตีและรอดูสถานการณ์; C) ปรับกลยุทธ์ให้เหมาะสม; D) หยุดเล่น</t>
  </si>
  <si>
    <t>A) ใช้โอกาสนี้เพื่อโจมตีอย่างรวดเร็ว</t>
  </si>
  <si>
    <t>การโจมตีเมื่อคู่แข่งมีความมั่นใจจะช่วยให้คุณพลิกเกมกลับมาได้.</t>
  </si>
  <si>
    <t>คุณเริ่มรู้สึกว่าความเครียดเริ่มส่งผลกระทบต่อการเล่นของคุณ คุณจะทำอย่างไร?</t>
  </si>
  <si>
    <t>A) หยุดพักและหาทางผ่อนคลาย; B) พยายามเล่นต่อไป; C) ขอคำแนะนำจากผู้ฝึกสอน; D) หลีกเลี่ยงการเล่น</t>
  </si>
  <si>
    <t>A) หยุดพักและหาทางผ่อนคลาย</t>
  </si>
  <si>
    <t>การหยุดพักและผ่อนคลายจะช่วยลดความเครียดและเพิ่มประสิทธิภาพในการเล่น.</t>
  </si>
  <si>
    <t>คุณพบว่าคู่แข่งมีเทคนิคใหม่ที่ทำให้คุณไม่สามารถรับมือได้ คุณจะทำอย่างไร?</t>
  </si>
  <si>
    <t>A) ศึกษาเทคนิคใหม่และปรับกลยุทธ์; B) หลีกเลี่ยงการเผชิญหน้า; C) ทำตามกลยุทธ์เดิม; D) หยุดเล่น</t>
  </si>
  <si>
    <t>การศึกษากลยุทธ์และเทคนิคใหม่จะช่วยให้คุณรับมือได้ดีขึ้น.</t>
  </si>
  <si>
    <t>คุณรู้สึกว่าทีมเริ่มขาดความสามัคคี คุณจะทำอย่างไร?</t>
  </si>
  <si>
    <t>A) กระตุ้นทีมให้มีการประสานงานที่ดีขึ้น; B) หลีกเลี่ยงการพูดถึงเรื่องนี้; C) ปรับกลยุทธ์ให้เหมาะสม; D) หยุดเล่น</t>
  </si>
  <si>
    <t>A) กระตุ้นทีมให้มีการประสานงานที่ดีขึ้น</t>
  </si>
  <si>
    <t>การกระตุ้นทีมให้ร่วมมือกันจะช่วยเพิ่มประสิทธิภาพของทีม.</t>
  </si>
  <si>
    <t>คุณพบว่าเพื่อนร่วมทีมเริ่มสูญเสียสมาธิ คุณจะทำอย่างไร?</t>
  </si>
  <si>
    <t>A) ให้คำแนะนำและช่วยฟื้นฟูสมาธิ; B) หลีกเลี่ยงการพูดถึงเรื่องนี้; C) ปรับกลยุทธ์ให้เหมาะสม; D) หยุดเล่น</t>
  </si>
  <si>
    <t>A) ให้คำแนะนำและช่วยฟื้นฟูสมาธิ</t>
  </si>
  <si>
    <t>การให้คำแนะนำและช่วยฟื้นฟูสมาธิจะช่วยให้เพื่อนร่วมทีมกลับมามีสมาธิได้.</t>
  </si>
  <si>
    <t>คุณพบว่าคู่แข่งเริ่มปรับกลยุทธ์เพื่อรับมือกับคุณ คุณจะทำอย่างไร?</t>
  </si>
  <si>
    <t>A) ปรับกลยุทธ์ของคุณเพื่อให้เหมาะสม; B) หลีกเลี่ยงการโจมตี; C) ใช้กลยุทธ์เดิมต่อไป; D) หยุดเล่น</t>
  </si>
  <si>
    <t>A) ปรับกลยุทธ์ของคุณเพื่อให้เหมาะสม</t>
  </si>
  <si>
    <t>การปรับกลยุทธ์จะช่วยให้คุณมีโอกาสชนะในการแข่งขัน.</t>
  </si>
  <si>
    <t>คุณรู้สึกว่าคู่แข่งเริ่มโจมตีเร็วขึ้น คุณจะทำอย่างไร?</t>
  </si>
  <si>
    <t>A) ปรับการโจมตีของคุณให้เร็วขึ้น; B) หลีกเลี่ยงการโจมตี; C) รอดูสถานการณ์; D) หยุดเล่น</t>
  </si>
  <si>
    <t>A) ปรับการโจมตีของคุณให้เร็วขึ้น</t>
  </si>
  <si>
    <t>การปรับความเร็วในการโจมตีจะช่วยให้คุณสามารถรับมือได้ดีขึ้น.</t>
  </si>
  <si>
    <t>คุณรู้สึกว่าทีมเริ่มไม่มีพลัง คุณจะทำอย่างไร?</t>
  </si>
  <si>
    <t>A) กระตุ้นให้ทีมกลับมามีพลังและมุ่งมั่น; B) หลีกเลี่ยงการพูดถึงเรื่องนี้; C) ปรับกลยุทธ์ให้เหมาะสม; D) หยุดเล่น</t>
  </si>
  <si>
    <t>A) กระตุ้นให้ทีมกลับมามีพลังและมุ่งมั่น</t>
  </si>
  <si>
    <t>การกระตุ้นให้ทีมมีพลังจะช่วยเพิ่มความมั่นใจและประสิทธิภาพ.</t>
  </si>
  <si>
    <t>คุณพบว่าคู่แข่งเริ่มเก็บข้อมูลเกี่ยวกับกลยุทธ์ของคุณ คุณจะทำอย่างไร?</t>
  </si>
  <si>
    <t>A) เปลี่ยนกลยุทธ์และเทคนิคอย่างต่อเนื่อง; B) หลีกเลี่ยงการโจมตี; C) ใช้กลยุทธ์เดิมต่อไป; D) หยุดเล่น</t>
  </si>
  <si>
    <t>A) เปลี่ยนกลยุทธ์และเทคนิคอย่างต่อเนื่อง</t>
  </si>
  <si>
    <t>การปรับเปลี่ยนกลยุทธ์จะทำให้คู่แข่งไม่สามารถคาดเดาการเล่นของคุณได้.</t>
  </si>
  <si>
    <t>คุณพบว่าคุณทำผิดพลาดในการเล่นและเสียคะแนนไป คุณจะทำอย่างไร?</t>
  </si>
  <si>
    <t>A) ยอมรับความผิดพลาดและพยายามแก้ไข; B) โทษเพื่อนร่วมทีม; C) หลีกเลี่ยงการทำผิดพลาด; D) หยุดเล่น</t>
  </si>
  <si>
    <t>A) ยอมรับความผิดพลาดและพยายามแก้ไข</t>
  </si>
  <si>
    <t>การยอมรับและปรับตัวจากความผิดพลาดจะช่วยให้การเล่นดีขึ้น.</t>
  </si>
  <si>
    <t>A) ปรับกลยุทธ์และพยายามหาทางออกจากสถานการณ์; B) หยุดเล่นและขอพัก; C) รอดูจนกว่าจะพบจุดอ่อนของคู่แข่ง; D) ยอมแพ้</t>
  </si>
  <si>
    <t>การปรับกลยุทธ์จะช่วยให้คุณกลับมามีโอกาสชนะ.</t>
  </si>
  <si>
    <t>คุณพบว่าทีมเริ่มมีการขัดแย้งกันเองในระหว่างการแข่งขัน คุณจะทำอย่างไร?</t>
  </si>
  <si>
    <t>A) พยายามปรับความเข้าใจและสร้างความสามัคคี; B) หลีกเลี่ยงการพูดถึงเรื่องนี้; C) ปรับกลยุทธ์ให้เหมาะสม; D) หยุดเล่น</t>
  </si>
  <si>
    <t>A) พยายามปรับความเข้าใจและสร้างความสามัคคี</t>
  </si>
  <si>
    <t>การช่วยให้ทีมปรับความเข้าใจกันจะลดความขัดแย้งและเพิ่มประสิทธิภาพ.</t>
  </si>
  <si>
    <t>คุณรู้สึกว่าคู่แข่งเริ่มเปลี่ยนกลยุทธ์ไปในทิศทางที่คุณไม่คาดคิด คุณจะทำอย่างไร?</t>
  </si>
  <si>
    <t>A) ปรับกลยุทธ์ของคุณเพื่อตอบโต้; B) หลีกเลี่ยงการโจมตี; C) รอดูจนกว่าคู่แข่งจะทำผิดพลาด; D) หยุดเล่น</t>
  </si>
  <si>
    <t>การปรับกลยุทธ์เพื่อตอบโต้จะช่วยให้คุณสามารถรับมือกับคู่แข่งได้.</t>
  </si>
  <si>
    <t>คุณพบว่าคู่แข่งเริ่มใช้เทคนิคที่คุณไม่เคยเห็นมาก่อน คุณจะทำอย่างไร?</t>
  </si>
  <si>
    <t>A) ศึกษาเทคนิคใหม่และปรับตัวให้เหมาะสม; B) หลีกเลี่ยงการโจมตี; C) รอดูจนกว่าจะพบจุดอ่อน; D) หยุดเล่น</t>
  </si>
  <si>
    <t>การศึกษากลยุทธ์และเทคนิคใหม่จะช่วยให้คุณสามารถรับมือได้.</t>
  </si>
  <si>
    <t>คุณพบว่าเพื่อนร่วมทีมเริ่มมีความเหนื่อยล้าและไม่สามารถเล่นได้ดีเหมือนเดิม คุณจะทำอย่างไร?</t>
  </si>
  <si>
    <t>A) ให้เพื่อนพักและช่วยสนับสนุนทีม; B) ปรับกลยุทธ์ให้เหมาะสม; C) หลีกเลี่ยงการพูดถึงเรื่องนี้; D) หยุดเล่น</t>
  </si>
  <si>
    <t>A) ให้เพื่อนพักและช่วยสนับสนุนทีม</t>
  </si>
  <si>
    <t>การให้เพื่อนพักและสนับสนุนทีมจะช่วยให้ทีมกลับมาแข็งแกร่งขึ้น.</t>
  </si>
  <si>
    <t>คุณเริ่มรู้สึกว่าความกดดันจากการแข่งขันมีผลต่อการเล่นของคุณ คุณจะทำอย่างไร?</t>
  </si>
  <si>
    <t>A) พยายามผ่อนคลายและกลับมามีสมาธิ; B) หลีกเลี่ยงการโจมตี; C) พยายามทำคะแนนให้ได้มากที่สุด; D) หยุดเล่น</t>
  </si>
  <si>
    <t>A) พยายามผ่อนคลายและกลับมามีสมาธิ</t>
  </si>
  <si>
    <t>การผ่อนคลายและตั้งสมาธิจะช่วยลดความกดดันและเพิ่มประสิทธิภาพในการเล่น.</t>
  </si>
  <si>
    <t>คุณรู้สึกว่าเทคนิคของคู่แข่งเริ่มพัฒนาขึ้น คุณจะทำอย่างไร?</t>
  </si>
  <si>
    <t>A) ศึกษาเทคนิคของคู่แข่งและปรับกลยุทธ์; B) หลีกเลี่ยงการเผชิญหน้า; C) ใช้เทคนิคของคุณเองต่อไป; D) หยุดเล่น</t>
  </si>
  <si>
    <t>A) ศึกษาเทคนิคของคู่แข่งและปรับกลยุทธ์</t>
  </si>
  <si>
    <t>การศึกษาเทคนิคของคู่แข่งจะช่วยให้คุณสามารถตอบโต้ได้.</t>
  </si>
  <si>
    <t>A) ปรับกลยุทธ์การป้องกันให้ดีขึ้น; B) หลีกเลี่ยงการโจมตี; C) พยายามทำคะแนนเร็วขึ้น; D) หยุดเล่น</t>
  </si>
  <si>
    <t>A) ปรับกลยุทธ์การป้องกันให้ดีขึ้น</t>
  </si>
  <si>
    <t>การปรับกลยุทธ์การป้องกันจะช่วยลดความเสี่ยงจากการโจมตีของคู่แข่ง.</t>
  </si>
  <si>
    <t>คุณรู้สึกว่าความมั่นใจของคุณเริ่มลดลงในระหว่างการแข่งขัน คุณจะทำอย่างไร?</t>
  </si>
  <si>
    <t>A) พยายามสร้างความมั่นใจใหม่และตั้งสมาธิ; B) หลีกเลี่ยงการโจมตี; C) ยอมรับความพ่ายแพ้; D) หยุดเล่น</t>
  </si>
  <si>
    <t>A) พยายามสร้างความมั่นใจใหม่และตั้งสมาธิ</t>
  </si>
  <si>
    <t>การสร้างความมั่นใจและตั้งสมาธิจะช่วยให้คุณกลับมาเล่นได้ดีขึ้น.</t>
  </si>
  <si>
    <t>คุณพบว่าทีมของคุณเริ่มสูญเสียความสนใจในเกม คุณจะทำอย่างไร?</t>
  </si>
  <si>
    <t>A) กระตุ้นทีมให้กลับมามีสมาธิและตั้งใจ; B) หลีกเลี่ยงการพูดถึงเรื่องนี้; C) ปรับกลยุทธ์ให้เหมาะสม; D) หยุดเล่น</t>
  </si>
  <si>
    <t>A) กระตุ้นทีมให้กลับมามีสมาธิและตั้งใจ</t>
  </si>
  <si>
    <t>การกระตุ้นทีมจะช่วยเพิ่มความมุ่งมั่นและสมาธิในการเล่น.</t>
  </si>
  <si>
    <t>คุณพบว่าคู่แข่งเริ่มโจมตีคุณหนักขึ้น คุณจะทำอย่างไร?</t>
  </si>
  <si>
    <t>A) ปรับการป้องกันและโจมตีตอบ; B) หลีกเลี่ยงการโจมตี; C) ใช้เทคนิคเดิมต่อไป; D) หยุดเล่น</t>
  </si>
  <si>
    <t>A) ปรับการป้องกันและโจมตีตอบ</t>
  </si>
  <si>
    <t>การปรับกลยุทธ์ในการป้องกันและโจมตีจะช่วยให้คุณรับมือกับการโจมตีที่รุนแรง.</t>
  </si>
  <si>
    <t>คุณพบว่าคุณเริ่มรู้สึกเครียดจากการแข่งขัน คุณจะทำอย่างไร?</t>
  </si>
  <si>
    <t>A) หยุดพักและผ่อนคลาย; B) พยายามเล่นต่อไป; C) ขอคำแนะนำจากผู้ฝึกสอน; D) ยอมแพ้</t>
  </si>
  <si>
    <t>A) หยุดพักและผ่อนคลาย</t>
  </si>
  <si>
    <t>การหยุดพักและผ่อนคลายจะช่วยลดความเครียดและทำให้คุณกลับมามีสมาธิในการเล่น.</t>
  </si>
  <si>
    <t>คุณรู้สึกว่าคู่แข่งกำลังจับทางคุณได้ คุณจะทำอย่างไร?</t>
  </si>
  <si>
    <t>A) เปลี่ยนกลยุทธ์และท่าที; B) ใช้เทคนิคเดิม; C) หลีกเลี่ยงการโจมตี; D) หยุดเล่น</t>
  </si>
  <si>
    <t>A) เปลี่ยนกลยุทธ์และท่าที</t>
  </si>
  <si>
    <t>การเปลี่ยนกลยุทธ์จะช่วยให้คุณพลิกสถานการณ์กลับมาได้.</t>
  </si>
  <si>
    <t>คุณรู้สึกว่าทีมเริ่มขาดพลังในช่วงครึ่งหลังของเกม คุณจะทำอย่างไร?</t>
  </si>
  <si>
    <t>A) กระตุ้นทีมและเติมพลังให้กับทุกคน; B) หลีกเลี่ยงการพูดถึงเรื่องนี้; C) ปรับกลยุทธ์ให้เหมาะสม; D) หยุดเล่น</t>
  </si>
  <si>
    <t>A) กระตุ้นทีมและเติมพลังให้กับทุกคน</t>
  </si>
  <si>
    <t>การกระตุ้นทีมจะช่วยเพิ่มพลังและความมุ่งมั่นในการเล่น.</t>
  </si>
  <si>
    <t>A) ปรับกลยุทธ์และเพิ่มความระมัดระวัง; B) หลีกเลี่ยงการโจมตี; C) รอดูสถานการณ์; D) หยุดเล่น</t>
  </si>
  <si>
    <t>A) ปรับกลยุทธ์และเพิ่มความระมัดระวัง</t>
  </si>
  <si>
    <t>การปรับกลยุทธ์จะช่วยให้คุณรับมือกับคู่แข่งที่เล่นได้ดีขึ้น.</t>
  </si>
  <si>
    <t>คุณพบว่าคุณมีโอกาสทำคะแนนแต่รู้สึกกังวล คุณจะทำอย่างไร?</t>
  </si>
  <si>
    <t>A) ลองทำคะแนนและเชื่อมั่นในความสามารถของตัวเอง; B) หลีกเลี่ยงการโจมตี; C) รอจนกว่าจะมั่นใจ; D) หยุดเล่น</t>
  </si>
  <si>
    <t>A) ลองทำคะแนนและเชื่อมั่นในความสามารถของตัวเอง</t>
  </si>
  <si>
    <t>การเชื่อมั่นในตัวเองจะช่วยให้คุณมีโอกาสทำคะแนนสำเร็จ.</t>
  </si>
  <si>
    <t>คุณเริ่มรู้สึกว่าการสื่อสารกับทีมไม่ชัดเจน คุณจะทำอย่างไร?</t>
  </si>
  <si>
    <t>A) พูดคุยกับทีมเพื่อปรับการสื่อสารให้ดีขึ้น; B) หลีกเลี่ยงการพูดถึงเรื่องนี้; C) ปรับกลยุทธ์ให้เหมาะสม; D) หยุดเล่น</t>
  </si>
  <si>
    <t>A) พูดคุยกับทีมเพื่อปรับการสื่อสารให้ดีขึ้น</t>
  </si>
  <si>
    <t>การสื่อสารที่ดีจะช่วยให้ทีมมีประสิทธิภาพในการเล่น.</t>
  </si>
  <si>
    <t>คุณรู้สึกว่าคุณเริ่มเสียสมาธิจากความกดดัน คุณจะทำอย่างไร?</t>
  </si>
  <si>
    <t>A) หยุดพักและกลับมามีสมาธิใหม่; B) พยายามเล่นต่อไป; C) รอดูสถานการณ์; D) หยุดเล่น</t>
  </si>
  <si>
    <t>A) หยุดพักและกลับมามีสมาธิใหม่</t>
  </si>
  <si>
    <t>การผ่อนคลายและตั้งสมาธิจะช่วยให้คุณกลับมาเล่นได้ดีขึ้น.</t>
  </si>
  <si>
    <t>คุณพบว่าเพื่อนร่วมทีมเริ่มรู้สึกเหนื่อยล้า คุณจะทำอย่างไร?</t>
  </si>
  <si>
    <t>A) กระตุ้นให้เพื่อนร่วมทีมมีพลังและกลับมาเล่นต่อ; B) หลีกเลี่ยงการพูดถึงเรื่องนี้; C) ปรับกลยุทธ์ให้เหมาะสม; D) หยุดเล่น</t>
  </si>
  <si>
    <t>A) กระตุ้นให้เพื่อนร่วมทีมมีพลังและกลับมาเล่นต่อ</t>
  </si>
  <si>
    <t>การกระตุ้นทีมจะช่วยเพิ่มพลังและความมั่นใจให้กับเพื่อนร่วมทีม.</t>
  </si>
  <si>
    <t>คุณรู้สึกว่าคู่แข่งเริ่มเข้มแข็งขึ้นในช่วงครึ่งหลัง คุณจะทำอย่างไร?</t>
  </si>
  <si>
    <t>A) ปรับกลยุทธ์เพื่อรับมือกับความแข็งแกร่งของคู่แข่ง; B) หลีกเลี่ยงการโจมตี; C) รอดูจนคู่แข่งทำผิดพลาด; D) หยุดเล่น</t>
  </si>
  <si>
    <t>A) ปรับกลยุทธ์เพื่อรับมือกับความแข็งแกร่งของคู่แข่ง</t>
  </si>
  <si>
    <t>การปรับกลยุทธ์จะช่วยให้คุณรับมือกับคู่แข่งที่มีความแข็งแกร่งขึ้น.</t>
  </si>
  <si>
    <t>คุณรู้สึกว่าทีมของคุณเริ่มสูญเสียสมาธิในระหว่างการแข่งขัน คุณจะทำอย่างไร?</t>
  </si>
  <si>
    <t>A) กระตุ้นทีมให้มีสมาธิและกลับมามุ่งมั่น; B) หลีกเลี่ยงการพูดถึงเรื่องนี้; C) ปรับกลยุทธ์ให้เหมาะสม; D) หยุดเล่น</t>
  </si>
  <si>
    <t>A) กระตุ้นทีมให้มีสมาธิและกลับมามุ่งมั่น</t>
  </si>
  <si>
    <t>การกระตุ้นให้ทีมมีสมาธิจะช่วยเพิ่มความมุ่งมั่นในการแข่งขัน.</t>
  </si>
  <si>
    <t>Kite A ลอยอยู่ในอากาศเป็นเวลา 15 นาที ในขณะที่ Kite B ลอยอยู่ในอากาศเป็นเวลา 10 นาที ว่าวตัวไหนชนะ?</t>
  </si>
  <si>
    <t>ว่าวเอ</t>
  </si>
  <si>
    <t>ว่าว บี</t>
  </si>
  <si>
    <t>Kite A และ Kite B อยู่ในการต่อสู้กันตัวต่อตัว ว่าว A ตัดสายของว่าว B จะเกิดอะไรขึ้น?</t>
  </si>
  <si>
    <t>Kite A ลอยอยู่ในอากาศเป็นเวลา 20 นาที และ Kite B ลอยอยู่ในอากาศเป็นเวลา 25 นาที ว่าวตัวไหนชนะ?</t>
  </si>
  <si>
    <t>Kite A และ Kite B อยู่ในการต่อสู้กันตัวต่อตัว ว่าวทั้งสองตัวไม่ตัดสายของอีกฝ่าย เกิดอะไรขึ้น?</t>
  </si>
  <si>
    <t>ไคท์เอ ชนะ</t>
  </si>
  <si>
    <t>ไคท์ บี ชนะ</t>
  </si>
  <si>
    <t>ทั้งสองยังคงลอยอยู่ในอากาศ</t>
  </si>
  <si>
    <t>ว่าว A ติดอยู่ในต้นไม้ ขณะที่ว่าว B ยังคงบินอยู่ เกิดอะไรขึ้น?</t>
  </si>
  <si>
    <t>ทั้งสองถูกตัดสิทธิ์</t>
  </si>
  <si>
    <t>ว่าว A บินโดยใช้โครงไม้ไผ่แบบดั้งเดิม ในขณะที่ว่าว B ใช้โครงพลาสติก ว่าวใดมีแนวโน้มที่จะลอยอยู่ในอากาศได้นานกว่า?</t>
  </si>
  <si>
    <t>เชือกของ Kite A จะขาดหลังจากบินได้ 30 นาที เกิดอะไรขึ้นกับว่าวเอ?</t>
  </si>
  <si>
    <t>มันยังคงบินต่อไป</t>
  </si>
  <si>
    <t>มันตก</t>
  </si>
  <si>
    <t>มันได้จุดโทษ</t>
  </si>
  <si>
    <t>มันชนะ</t>
  </si>
  <si>
    <t>ว่าว A และว่าว B บินในสภาพที่มีลมแรง ว่าวตัวไหนน่าจะทำงานได้ดีกว่า?</t>
  </si>
  <si>
    <t>Kite A บินเป็นเวลา 30 นาทีโดยไม่มีปัญหาใดๆ ในขณะที่ Kite B ได้รับผลกระทบจากลมที่พัดแรง ว่าวตัวไหนชนะ?</t>
  </si>
  <si>
    <t>Kite A และ Kite B เริ่มการดวลกัน ถ้าว่าว A ตัดสายของว่าว B จะเกิดอะไรขึ้นกับว่าว B?</t>
  </si>
  <si>
    <t>ว่าว A บินโดยไม่มีหางที่เหมาะสม และว่าว B บินโดยมีหางที่มั่นคง ว่าวใดมีแนวโน้มที่จะบินได้อย่างราบรื่นมากกว่า?</t>
  </si>
  <si>
    <t>Kite A บินเป็นเวลา 5 นาทีก่อนจะตก Kite B ลอยอยู่ในอากาศเป็นเวลา 10 นาที ว่าวตัวไหนชนะ?</t>
  </si>
  <si>
    <t>Kite A และ Kite B กำลังบินพร้อมกัน ว่าวทั้งสองตัวพันกันอยู่ในต้นไม้ต้นเดียวกัน เกิดอะไรขึ้น?</t>
  </si>
  <si>
    <t>ตกทั้งคู่</t>
  </si>
  <si>
    <t>ชนะทั้งคู่</t>
  </si>
  <si>
    <t>ได้จุดโทษทั้งคู่</t>
  </si>
  <si>
    <t>ว่าว A จะตัดสายของว่าว B ในการดวล จะเกิดอะไรขึ้นกับการดวล?</t>
  </si>
  <si>
    <t>Kite A และ Kite B กำลังแข่งขันกัน ถ้าว่าว A ลอยอยู่ในอากาศเป็นเวลา 15 นาที และว่าว B เป็นเวลา 20 นาที ว่าวใดจะชนะ</t>
  </si>
  <si>
    <t>ว่าว A บินด้วยเชือกสั้น และว่าว B บินด้วยเชือกยาว ว่าวตัวไหนน่าจะมีเสถียรภาพมากกว่า?</t>
  </si>
  <si>
    <t>Kite A ถูกตัดด้วยสายของ Kite B ในการดวล เกิดอะไรขึ้นกับว่าวเอ?</t>
  </si>
  <si>
    <t>ว่าว A และว่าว B จะบินในช่วงเทศกาล ทั้งคู่ใช้เวลาลอยฟ้านานที่สุดที่ 25 นาทีเสมอกัน จะเกิดอะไรขึ้นต่อไป?</t>
  </si>
  <si>
    <t>มีการประกาศผู้ชนะ</t>
  </si>
  <si>
    <t>ทั้งสองได้รับรางวัล</t>
  </si>
  <si>
    <t>Kite A จะลอยอยู่ในอากาศได้ 45 นาที ส่วน Kite B จะตกหลังจากผ่านไป 10 นาที เกิดอะไรขึ้น?</t>
  </si>
  <si>
    <t>ว่าว A บินได้ 30 นาทีแต่ติดอยู่บนต้นไม้ เกิดอะไรขึ้น?</t>
  </si>
  <si>
    <t>Kite A ถูกตัดสิทธิ์</t>
  </si>
  <si>
    <t>ไคท์เอ ได้จุดโทษ</t>
  </si>
  <si>
    <t>ว่าว A ตก</t>
  </si>
  <si>
    <t>สายของว่าว A ถูกตัดด้วยสายของว่าว B เกิดอะไรขึ้นกับว่าวเอ?</t>
  </si>
  <si>
    <t>ว่าว A และว่าว B บินเคียงข้างกัน ถ้าสายของว่าว A ถูกตัด จะเกิดอะไรขึ้น?</t>
  </si>
  <si>
    <t>ว่าว A บินโดยทีมละ 2 คน ในขณะที่ว่าว B บินโดยคนเพียงคนเดียว ว่าวตัวไหนน่าจะทำงานได้ดีกว่า?</t>
  </si>
  <si>
    <t>ว่าว A บินโดยไม่มีการตกแต่ง ในขณะที่ว่าว B ตกแต่งด้วยลวดลายสีสันสดใส ว่าวใดมีแนวโน้มที่จะดึงดูดความสนใจมากกว่า?</t>
  </si>
  <si>
    <t>ว่าว A จะลอยอยู่ในอากาศเป็นเวลา 10 นาที แต่ลมจะพัดช้าลง เกิดอะไรขึ้น?</t>
  </si>
  <si>
    <t>Kite A ยังคงบินต่อไป</t>
  </si>
  <si>
    <t>Kite A ถูกลงโทษ</t>
  </si>
  <si>
    <t>ว่าว A จะบินในช่วงที่ท้องฟ้าแจ่มใส และว่าว B จะบินในช่วงที่อากาศมืดครึ้ม ว่าวตัวไหนน่าจะทำงานได้ดีกว่า?</t>
  </si>
  <si>
    <t>Kite A และ Kite B อยู่ในการต่อสู้กันตัวต่อตัว ถ้าว่าวทั้งสองตัวถูกตัด จะเกิดอะไรขึ้น?</t>
  </si>
  <si>
    <t>ทั้งสองตัวจะตกลงมา</t>
  </si>
  <si>
    <t>ทั้งสองได้รับคะแนนสะสม</t>
  </si>
  <si>
    <t>ว่าว A กำลังบินสูง ในขณะที่ว่าว B บินต่ำถึงพื้น เกิดอะไรขึ้น?</t>
  </si>
  <si>
    <t>ว่าว A บินโดยใช้โครงขนาดใหญ่ ในขณะที่ว่าว B ใช้โครงเล็ก ว่าวใดมีแนวโน้มที่จะมีความคล่องตัวมากกว่า?</t>
  </si>
  <si>
    <t>Kite A และ Kite B ลอยอยู่ในอากาศเป็นเวลา 30 นาที จะเกิดอะไรขึ้นต่อไป?</t>
  </si>
  <si>
    <t>ทั้งสองยังคงบินต่อไป</t>
  </si>
  <si>
    <t>ว่าว A และว่าว B ถูกบินระหว่างการแข่งขัน ถ้าว่าวทั้งสองทำงานได้ดีพอๆ กัน จะเกิดอะไรขึ้น?</t>
  </si>
  <si>
    <t>ผู้ชนะจะถูกเลือกตามเวลา</t>
  </si>
  <si>
    <t>ว่าว A บินในลมสงบ และว่าว B บินในลมแรง ว่าวตัวไหนน่าจะทำงานได้ดีกว่า?</t>
  </si>
  <si>
    <t>Kite A บินได้ 20 นาที และ Kite B บินได้ 30 นาที ว่าวตัวไหนชนะ?</t>
  </si>
  <si>
    <t>Kite A และ Kite B อยู่ในการต่อสู้กันตัวต่อตัว ถ้าว่าว A ตัดสายของว่าว B จะเกิดอะไรขึ้น?</t>
  </si>
  <si>
    <t>ว่าว A บินด้วยว่าวทำเอง และว่าว B บินด้วยว่าวเชิงพาณิชย์ ว่าวตัวไหนน่าจะทำงานได้ดีกว่า?</t>
  </si>
  <si>
    <t>ว่าว A และว่าว B ต่างก็บินท่ามกลางลมแรง ว่าวตัวใดมีแนวโน้มที่จะมีเสถียรภาพมากกว่า?</t>
  </si>
  <si>
    <t>ว่าว A มีสายสั้นกว่าว่าว B ว่าวตัวไหนมีแนวโน้มที่จะบินได้ราบรื่นกว่า?</t>
  </si>
  <si>
    <t>Kite A ถูกตัดด้วยสายของ Kite B ในการดวล เกิดอะไรขึ้นกับ Kite B?</t>
  </si>
  <si>
    <t>ว่าว A บินโดยไม่มีการตกแต่งใดๆ และว่าว B บินด้วยการตกแต่งแบบดั้งเดิม ว่าวใดมีแนวโน้มที่จะชนะในการแข่งขันทางวัฒนธรรม?</t>
  </si>
  <si>
    <t>ว่าว A บินโดยมีหางยาว และว่าว B บินโดยมีหางสั้น ว่าวตัวไหนน่าจะมีเสถียรภาพมากกว่า?</t>
  </si>
  <si>
    <t>ว่าว A และว่าว B ต่างก็บินกันในช่วงเทศกาล ถ้าว่าวทั้งสองทำงานได้ดีพอๆ กัน จะเกิดอะไรขึ้น?</t>
  </si>
  <si>
    <t>รับรางวัลกันทั้งคู่</t>
  </si>
  <si>
    <t>Kite A บินได้ 30 นาที แต่สายของมันขาด เกิดอะไรขึ้นกับว่าวเอ?</t>
  </si>
  <si>
    <t>Kite A และ Kite B บินพร้อมกัน แต่ Kite A จะลอยอยู่ในอากาศได้นานขึ้น เกิดอะไรขึ้น?</t>
  </si>
  <si>
    <t>Kite A และ Kite B อยู่ในการต่อสู้กันตัวต่อตัว ถ้า Kite B ตัดสายของ Kite A จะเกิดอะไรขึ้น?</t>
  </si>
  <si>
    <t>ว่าวเอ ตก</t>
  </si>
  <si>
    <t>ว่าว A บินด้วยโครงเล็ก และว่าว B บินด้วยโครงที่ใหญ่กว่า ว่าวตัวไหนน่าจะทำงานได้ดีกว่า?</t>
  </si>
  <si>
    <t>Kite A และ Kite B กำลังแข่งขันกัน ถ้าว่าวทั้งสองบินด้วยความเร็วเท่ากันจะเกิดอะไรขึ้น?</t>
  </si>
  <si>
    <t>คนหนึ่งได้รับการประกาศให้เป็นผู้ชนะ</t>
  </si>
  <si>
    <t>ว่าว A บินด้วยลมเบา และว่าว B บินด้วยลมแรง ว่าวใดมีแนวโน้มที่จะมีเสถียรภาพมากกว่า?</t>
  </si>
  <si>
    <t>Kite A ยังคงลอยอยู่ในอากาศเป็นเวลา 5 นาที ในขณะที่ Kite B ยังคงลอยอยู่ในอากาศเป็นเวลา 3 นาที เกิดอะไรขึ้น?</t>
  </si>
  <si>
    <t>ว่าว A และว่าว B บินไปในทิศทางเดียวกัน ถ้าว่าว A บินเร็วกว่าว่าว B จะเกิดอะไรขึ้น?</t>
  </si>
  <si>
    <t>ว่าว A และว่าว B บินพร้อมกัน ถ้าว่าวทั้งสองตัวไม่ตัดเชือกของอีกฝ่ายจะเกิดอะไรขึ้น?</t>
  </si>
  <si>
    <t>ว่าว A บินโดยมีหางหัก ในขณะที่ว่าว B บินโดยมีหางที่ปรับอย่างเหมาะสม ว่าวตัวใดมีแนวโน้มที่จะมีเสถียรภาพมากกว่า?</t>
  </si>
  <si>
    <t>Kite A บินได้ 40 นาทีโดยไม่มีปัญหาใดๆ เกิดอะไรขึ้น?</t>
  </si>
  <si>
    <t>Kite A ดำเนินต่อไป</t>
  </si>
  <si>
    <t>ว่าว A และว่าว B บินไปในท้องฟ้าแจ่มใส ว่าวใดมีแนวโน้มที่จะบินได้อย่างราบรื่นมากกว่า?</t>
  </si>
  <si>
    <t>ว่าว A และว่าว B ถูกบินระหว่างการแข่งขัน ถ้าว่าวทั้งสองตัวมั่นคงเท่ากัน จะเกิดอะไรขึ้น?</t>
  </si>
  <si>
    <t>ผู้ชนะจะถูกเลือก</t>
  </si>
  <si>
    <t>ว่าว A และว่าว B บินเคียงข้างกัน ถ้าว่าว A มีสายยาวกว่าว่าว B จะเกิดอะไรขึ้น?</t>
  </si>
  <si>
    <t>Kite A บินสูงขึ้น</t>
  </si>
  <si>
    <t>Kite B บินได้สูงขึ้น</t>
  </si>
  <si>
    <t>ว่าว A จะตัดสายของว่าว B ในการดวล เกิดอะไรขึ้นกับ Kite B?</t>
  </si>
  <si>
    <t>Kite A บินเป็นเวลา 20 นาทีและล้มเหลว Kite B บินเป็นเวลา 30 นาทีและลอยอยู่ในอากาศ เกิดอะไรขึ้น?</t>
  </si>
  <si>
    <t>Kite A และ Kite B ต่างก็มีการออกแบบที่คล้ายกัน ถ้าสายของว่าว A ถูกตัด จะเกิดอะไรขึ้น?</t>
  </si>
  <si>
    <t>ว่าว A บินเป็นวง ในขณะที่ว่าว B บินตรง ว่าวใดมีแนวโน้มที่จะมีเสถียรภาพมากกว่า?</t>
  </si>
  <si>
    <t>ว่าว A และว่าว B บินในระดับความสูงที่ต่างกัน ถ้าว่าวทั้งสองตัวมั่นคงเท่ากัน จะเกิดอะไรขึ้น?</t>
  </si>
  <si>
    <t>Kite A และ Kite B ลอยอยู่ในอากาศเป็นเวลา 10 นาที เกิดอะไรขึ้น?</t>
  </si>
  <si>
    <t>ว่าว A บินด้วยโครงแบบทำเอง และว่าว B บินด้วยโครงเชิงพาณิชย์ ว่าวตัวไหนน่าจะบินได้ดีกว่ากัน?</t>
  </si>
  <si>
    <t>Kite A และ Kite B อยู่ในการต่อสู้กันตัวต่อตัว ถ้าว่าวทั้งสองตัวไม่ตัดเชือกของอีกฝ่ายจะเกิดอะไรขึ้น?</t>
  </si>
  <si>
    <t>ว่าว A และว่าว B ลอยอยู่ในลมแรง ว่าวใดมีแนวโน้มที่จะลอยอยู่ในอากาศได้ดีกว่า?</t>
  </si>
  <si>
    <t>ว่าว A บินเป็นเวลา 15 นาที แต่เริ่มลดระดับความสูงลง เกิดอะไรขึ้น?</t>
  </si>
  <si>
    <t>Kite A และ Kite B ต่างก็บินกันในการแข่งขันเดียวกัน ถ้าว่าวทั้งสองบินได้เป็นเวลา 30 นาที จะเกิดอะไรขึ้น?</t>
  </si>
  <si>
    <t>ทั้งสองได้รับการประกาศให้เป็นผู้ชนะ</t>
  </si>
  <si>
    <t>สายของว่าว A ขาดระหว่างการบิน เกิดอะไรขึ้น?</t>
  </si>
  <si>
    <t>ว่าว A บินด้วยหางที่ใหญ่กว่า และว่าว B บินด้วยหางที่สั้นกว่า ว่าวตัวไหนน่าจะมีเสถียรภาพมากกว่า?</t>
  </si>
  <si>
    <t>ว่าว A และว่าว B บินในสภาพลมที่แตกต่างกัน ถ้าว่าว A บินท่ามกลางลมแรง ว่าวตัวไหนมีแนวโน้มที่จะลอยอยู่ในอากาศได้ดีกว่ากัน?</t>
  </si>
  <si>
    <t>Kite A และ Kite B บินร่วมกันเป็นเวลา 30 นาที เกิดอะไรขึ้น?</t>
  </si>
  <si>
    <t>ว่าว A บินโดยมีหางที่เสียหาย และว่าว B บินโดยมีหางที่สมบูรณ์ ว่าวตัวใดมีแนวโน้มที่จะมีเสถียรภาพมากกว่า?</t>
  </si>
  <si>
    <t>Kite A ลอยอยู่ในอากาศได้ 40 นาทีโดยไม่มีปัญหาใดๆ เกิดอะไรขึ้น?</t>
  </si>
  <si>
    <t>ว่าว A และว่าว B บินระหว่างท้องฟ้าแจ่มใส ว่าวชนิดใดมีแนวโน้มที่จะอยู่ในอากาศได้นานกว่า?</t>
  </si>
  <si>
    <t>ว่าว A บินในลมเบา ในขณะที่ว่าว B บินในลมแรงกว่า ว่าวใดมีแนวโน้มที่จะลอยอยู่ในอากาศได้ดีกว่า?</t>
  </si>
  <si>
    <t>สายของ Kite A ขาดหลังจากผ่านไป 30 นาที เกิดอะไรขึ้นกับว่าวเอ?</t>
  </si>
  <si>
    <t>ว่าว A และว่าว B ต่างก็ลอยอยู่ในสายลมสงบ ว่าวใดมีแนวโน้มที่จะลอยอยู่ในอากาศได้ดีกว่า?</t>
  </si>
  <si>
    <t>Kite A และ Kite B บินนาน 15 นาที เกิดอะไรขึ้น?</t>
  </si>
  <si>
    <t>ว่าว A บินโดยไม่มีหาง ในขณะที่ว่าว B บินโดยมีหาง ว่าวตัวใดมีแนวโน้มที่จะมีเสถียรภาพมากกว่า?</t>
  </si>
  <si>
    <t>ว่าว A บินโดยคนคนหนึ่ง ในขณะที่ว่าว B บินโดยทีมที่มีสมาชิก 3 คน ว่าวใดมีแนวโน้มที่จะลอยอยู่ในอากาศได้ดีกว่า?</t>
  </si>
  <si>
    <t>Kite A จะลอยอยู่ในอากาศเป็นเวลา 30 นาที ในขณะที่ Kite B จะตกลงหลังจากผ่านไป 10 นาที เกิดอะไรขึ้น?</t>
  </si>
  <si>
    <t>สายของว่าว A ถูกตัดด้วยสายของว่าว B ในการดวล เกิดอะไรขึ้นกับ Kite B?</t>
  </si>
  <si>
    <t>Kite A และ Kite B อยู่ในการต่อสู้กันตัวต่อตัว ถ้าสายว่าวขาดทั้งสองเส้นจะเกิดอะไรขึ้น?</t>
  </si>
  <si>
    <t>ว่าว A บินโดยใช้เชือกยาว และว่าว B จะใช้เชือกสั้น ว่าวตัวใดมีแนวโน้มที่จะมีเสถียรภาพมากกว่า?</t>
  </si>
  <si>
    <t>ว่าวบี</t>
  </si>
  <si>
    <t>ว่าว A และว่าว B จะบินพร้อมกัน ถ้าว่าว A บินได้สูงกว่าว่าว B จะเกิดอะไรขึ้น?</t>
  </si>
  <si>
    <t>Kite A และ Kite B บินพร้อมกัน ถ้าสายของ Kite A ขาดก่อนจะเกิดอะไรขึ้น?</t>
  </si>
  <si>
    <t>ไคท์เอ ตกลงมา</t>
  </si>
  <si>
    <t>Kite A และ Kite B บินร่วมกันเป็นเวลา 20 นาที เกิดอะไรขึ้น?</t>
  </si>
  <si>
    <t>Kite A บินได้ 30 นาที ในขณะที่ Kite B บินได้ 10 นาที ว่าวตัวไหนชนะ?</t>
  </si>
  <si>
    <t>Kite A และ Kite B ทั้งคู่ชนเข้ากับต้นไม้ เกิดอะไรขึ้น?</t>
  </si>
  <si>
    <t>ว่าว A และว่าว B บินพร้อมกัน ถ้าสายของว่าว A ถูกตัด จะเกิดอะไรขึ้น?</t>
  </si>
  <si>
    <t>ว่าว A บินโดยมีโครงที่เสียหาย และว่าว B บินโดยมีโครงไม่เสียหาย ว่าวตัวไหนน่าจะบินได้ดีกว่ากัน?</t>
  </si>
  <si>
    <t>ว่าว A และว่าว B บินเป็นเวลา 25 นาที เกิดอะไรขึ้น?</t>
  </si>
  <si>
    <t>Kite A และ Kite B ลอยอยู่ในอากาศเป็นเวลา 20 นาที เกิดอะไรขึ้น?</t>
  </si>
  <si>
    <t>ว่าว A และว่าว B จะบินในเวลาต่างกัน ถ้าว่าว A อยู่บนอากาศเป็นเวลา 15 นาที และว่าว B เป็นเวลา 30 นาที อะไรจะชนะ?</t>
  </si>
  <si>
    <t>ว่าว A บินโดยมีหางยาว ในขณะที่ว่าว B บินโดยไม่มีหาง ว่าวใดมีแนวโน้มที่จะมีเสถียรภาพมากกว่า?</t>
  </si>
  <si>
    <t>ว่าว A และว่าว B จะบินระหว่างการแข่งขันเดียวกัน ถ้าว่าวทั้งสองบินได้เป็นเวลา 25 นาที จะเกิดอะไรขึ้น?</t>
  </si>
  <si>
    <t>ว่าว A บินด้วยโครงเบา และว่าว B ใช้โครงหนัก ว่าวตัวไหนมีแนวโน้มที่จะทำงานได้ดีกว่า?</t>
  </si>
  <si>
    <t>Kite A ลอยอยู่ในอากาศได้ 10 นาที ขณะที่ Kite B ลอยอยู่ในอากาศได้ 5 นาที เกิดอะไรขึ้น?</t>
  </si>
  <si>
    <t>ว่าว A จะบินในสภาพอากาศสงบ ส่วนว่าว B จะบินในช่วงที่เกิดพายุ ว่าวใดมีแนวโน้มที่จะลอยอยู่ในอากาศได้ดีกว่า?</t>
  </si>
  <si>
    <t>ว่าว A บินด้วยสายสั้นกว่าว่าว B ว่าวชนิดใดมีแนวโน้มที่จะมีเสถียรภาพมากกว่า?</t>
  </si>
  <si>
    <t>Kite A บินได้ 20 นาที ในขณะที่ Kite B บินได้ 40 นาที ว่าวตัวไหนชนะ?</t>
  </si>
  <si>
    <t>ว่าว A ลอยอยู่ในลมแรง ส่วนว่าว B ลอยอยู่ในลมคงที่ ว่าวใดมีแนวโน้มที่จะลอยอยู่ในอากาศได้ดีกว่า?</t>
  </si>
  <si>
    <t>ว่าว A และว่าว B บินพร้อมกัน ถ้าว่าว A ปีกหักจะเกิดอะไรขึ้น?</t>
  </si>
  <si>
    <t>ว่าว A จะบินในเวลากลางวัน ส่วนว่าว B จะบินในเวลากลางคืน ว่าวตัวไหนมองเห็นได้ชัดเจนกว่า?</t>
  </si>
  <si>
    <t>ว่าว A และว่าว B บินด้วยความสูงที่ต่างกัน ว่าวใดมีแนวโน้มที่จะมีเสถียรภาพมากกว่า?</t>
  </si>
  <si>
    <t>สายของ Kite A ขาดหลังจากผ่านไป 10 นาที เกิดอะไรขึ้น?</t>
  </si>
  <si>
    <t>ว่าว A และว่าว B บินในสภาพที่คล้ายคลึงกัน ว่าวชนิดใดมีแนวโน้มที่จะลอยอยู่ในอากาศได้นานกว่า?</t>
  </si>
  <si>
    <t>ว่าว A และว่าว B จะบินพร้อมกัน ถ้าว่าวทั้งสองลอยอยู่ในอากาศเป็นเวลา 15 นาที จะเกิดอะไรขึ้น?</t>
  </si>
  <si>
    <t>ว่าว A บินด้วยลมแรง ในขณะที่ว่าว B บินด้วยลมปานกลาง ว่าวใดมีแนวโน้มที่จะลอยอยู่ในอากาศได้ดีกว่า?</t>
  </si>
  <si>
    <t>ว่าว A บินโดยมือใหม่ ส่วนว่าว B บินโดยผู้เชี่ยวชาญ ว่าวตัวไหนมีแนวโน้มที่จะทำงานได้ดีกว่า?</t>
  </si>
  <si>
    <t>ว่าว A และว่าว B กำลังบินอยู่ในพายุ ว่าวตัวไหนมีแนวโน้มที่จะล้มมากกว่ากัน?</t>
  </si>
  <si>
    <t>ว่าว A มีหางที่เสียหาย ในขณะที่ว่าว B มีหางที่สมบูรณ์ ว่าวใดมีแนวโน้มที่จะลอยอยู่ในอากาศได้ดีกว่า?</t>
  </si>
  <si>
    <t>Kite A บินได้ 45 นาที ในขณะที่ Kite B บินได้ 25 นาที ว่าวตัวไหนชนะ?</t>
  </si>
  <si>
    <t>ว่าว A บินเป็นวงกลม ในขณะที่ว่าว B บินเป็นเส้นตรง ว่าวใดมีแนวโน้มที่จะลอยอยู่ในอากาศได้ดีกว่า?</t>
  </si>
  <si>
    <t>Kite A บินด้วยกรอบที่ใหญ่กว่า ในขณะที่ Kite B มีกรอบที่เล็กกว่า ว่าวใดมีแนวโน้มที่จะมีเสถียรภาพมากกว่า?</t>
  </si>
  <si>
    <t>ว่าว A และว่าว B จะบินระหว่างการแข่งขันเดียวกัน ถ้าว่าวทั้งสองตัวทำงานได้ดีเป็นเวลา 30 นาที จะเกิดอะไรขึ้น?</t>
  </si>
  <si>
    <t>Kite A และ Kite B บินนาน 20 นาที เกิดอะไรขึ้น?</t>
  </si>
  <si>
    <t>ว่าว A บินด้วยโครงที่หนัก ในขณะที่ว่าว B บินด้วยโครงเบา ว่าวตัวไหนมีแนวโน้มที่จะทำงานได้ดีกว่า?</t>
  </si>
  <si>
    <t>ว่าว A และว่าว B บินในสภาพอากาศที่แตกต่างกัน ว่าวชนิดใดมีแนวโน้มที่จะลอยอยู่ในอากาศได้นานกว่า?</t>
  </si>
  <si>
    <t>Kite A และ Kite B บินได้ทั้งคู่เป็นเวลา 30 นาที แต่ Kite A บินได้สูงกว่า เกิดอะไรขึ้น?</t>
  </si>
  <si>
    <t>ไคท์เอ บินได้มั่นคงกว่า</t>
  </si>
  <si>
    <t>ไคท์บี บินได้มั่นคงกว่า</t>
  </si>
  <si>
    <t>ไคท์เอและไคท์บี บินไม่มั่นคงทั้งคู่</t>
  </si>
  <si>
    <t>ว่าว A บินโดยไม่มีกรอบ ในขณะที่ว่าว B บินพร้อมกรอบ ว่าวใดมีแนวโน้มที่จะลอยอยู่ในอากาศได้ดีกว่า?</t>
  </si>
  <si>
    <t>ว่าว A และว่าว B บินพร้อมกันท่ามกลางลมแรง ว่าวใดมีแนวโน้มที่จะมีเสถียรภาพมากกว่า?</t>
  </si>
  <si>
    <t>ว่าว A และว่าว B จะบินระหว่างการแข่งขันเดียวกัน ถ้า Kite A บินนานกว่านี้จะเกิดอะไรขึ้น?</t>
  </si>
  <si>
    <t>สายของ Kite A ขาดหลังจากผ่านไป 20 นาที เกิดอะไรขึ้น?</t>
  </si>
  <si>
    <t>ว่าว A และว่าว B บินภายใต้สภาพลมที่คล้ายคลึงกัน ว่าวใดมีแนวโน้มที่จะมีเสถียรภาพมากกว่า?</t>
  </si>
  <si>
    <t>Kite A และ Kite B บินนาน 25 นาที เกิดอะไรขึ้น?</t>
  </si>
  <si>
    <t>ว่าว A บินด้วยหางเล็ก ในขณะที่ว่าว B บินด้วยหางขนาดใหญ่ ว่าวใดมีแนวโน้มที่จะมีเสถียรภาพมากกว่า?</t>
  </si>
  <si>
    <t>ว่าว A และว่าว B ลอยอยู่ในสายลมสงบ ว่าวชนิดใดมีแนวโน้มที่จะลอยอยู่ในอากาศได้นานกว่า?</t>
  </si>
  <si>
    <t>ว่าว A บินโดยไม่มีการตกแต่ง ในขณะที่ว่าว B บินด้วยสีสันสดใส ว่าวใดมีแนวโน้มที่จะดึงดูดความสนใจมากกว่า?</t>
  </si>
  <si>
    <t>Kite A บินเป็นเวลา 15 นาทีโดยมีลมพัดเบาๆ ในขณะที่ Kite B บินเป็นเวลา 10 นาทีเมื่อมีลมแรง ว่าวตัวไหนชนะ?</t>
  </si>
  <si>
    <t>ว่าว A บินโดยนักบินที่มีประสบการณ์ ส่วนว่าว B บินโดยมือใหม่ ว่าวใดมีแนวโน้มที่จะลอยอยู่ในอากาศได้ดีกว่า?</t>
  </si>
  <si>
    <t>Kite A และ Kite B บินได้ทั้งคู่เป็นเวลา 20 นาที แต่ Kite A บินได้สูงกว่า ว่าวตัวใดมีแนวโน้มที่จะมีเสถียรภาพมากกว่า?</t>
  </si>
  <si>
    <t>ว่าว A บินในทุ่งโล่ง ขณะที่ว่าว B บินใกล้ต้นไม้ ว่าวใดมีแนวโน้มที่จะเผชิญกับอุปสรรคมากกว่า?</t>
  </si>
  <si>
    <t>Kite A บินเป็นวงกลมเป็นเวลา 10 นาที ในขณะที่ Kite B บินตรงเป็นเวลา 10 นาที ว่าวใดมีแนวโน้มที่จะมีเสถียรภาพมากกว่า?</t>
  </si>
  <si>
    <t>ว่าว A และว่าว B บินพร้อมกัน ถ้าว่าวทั้งสองบินด้วยระยะเวลาเท่ากันจะเกิดอะไรขึ้น?</t>
  </si>
  <si>
    <t>หนึ่งชนะ</t>
  </si>
  <si>
    <t>ว่าว A บินโดยไม่มีหาง ในขณะที่ว่าว B บินโดยมีหาง ว่าวตัวไหนมีแนวโน้มที่จะไม่เสถียรมากกว่า?</t>
  </si>
  <si>
    <t>ว่าว A และว่าว B บินในสภาพอากาศเดียวกัน หากว่าว A ลอยอยู่ในอากาศเป็นเวลา 15 นาที จะเกิดอะไรขึ้นกับว่าว B?</t>
  </si>
  <si>
    <t>มันยังคงอยู่ในอากาศ</t>
  </si>
  <si>
    <t>ว่าว A และว่าว B บินในสภาพลมที่คล้ายคลึงกัน ถ้า Kite A สูงกว่าจะเกิดอะไรขึ้น?</t>
  </si>
  <si>
    <t>ว่าว A บินด้วยเชือกยาว ส่วนว่าว B บินด้วยเชือกสั้น ว่าวชนิดใดมีแนวโน้มที่จะควบคุมได้ง่ายกว่า?</t>
  </si>
  <si>
    <t>ว่าว A จะบินในตอนเช้า ส่วนว่าว B จะบินในตอนบ่าย ว่าวใดมีแนวโน้มที่จะเผชิญกับลมแรงกว่า?</t>
  </si>
  <si>
    <t>ว่าว A และว่าว B บินพร้อมกัน ถ้าว่าว A บินได้ 10 นาทีแล้วล้ม จะเกิดอะไรขึ้น?</t>
  </si>
  <si>
    <t>ว่าว A บินด้วยเชือกที่เสียหาย ในขณะที่ว่าว B มีเชือกที่แข็งแรง ว่าวใดมีแนวโน้มที่จะลอยอยู่ในอากาศได้ดีกว่า?</t>
  </si>
  <si>
    <t>Kite A และ Kite B มีดีไซน์เหมือนกัน ถ้าว่าว A บินได้สูงกว่าว่าว B จะเกิดอะไรขึ้น?</t>
  </si>
  <si>
    <t>ว่าว A และว่าว B จะบินระหว่างการแข่งขันเดียวกัน ถ้าว่าวทั้งสองทำท่าคล้ายกัน ตัวไหนมีโอกาสชนะมากกว่ากัน?</t>
  </si>
  <si>
    <t>ว่าว A มีหางและบินในลมที่สม่ำเสมอ ในขณะที่ว่าว B บินในลมกระโชกแรงโดยไม่มีหาง ว่าวใดมีแนวโน้มที่จะลอยอยู่ในอากาศได้ดีกว่า?</t>
  </si>
  <si>
    <t>Kite A บินได้ 5 นาที ในขณะที่ Kite B บินได้ 15 นาที ว่าวตัวไหนชนะ?</t>
  </si>
  <si>
    <t>ว่าว A และว่าว B บินด้วยความสูงเท่ากัน หากว่าว A ลอยอยู่ในอากาศเป็นเวลา 25 นาที จะเกิดอะไรขึ้น?</t>
  </si>
  <si>
    <t>ว่าว A จะบินในช่วงเช้าตรู่ ส่วนว่าว B จะบินในช่วงบ่ายแก่ๆ ว่าวใดมีแนวโน้มที่จะเผชิญกับลมแรงกว่า?</t>
  </si>
  <si>
    <t>Kite A บินในบริเวณที่มีลมพัดเบาๆ ในขณะที่ Kite B บินโดยมีลมแรง ว่าวตัวไหนมีแนวโน้มที่จะไม่เสถียรมากกว่า?</t>
  </si>
  <si>
    <t>Kite A และ Kite B บินร่วมกันเป็นเวลา 30 นาที ถ้า Kite A ทำงานได้ดีขึ้นจะเกิดอะไรขึ้น?</t>
  </si>
  <si>
    <t>คุณสังเกตเห็นว่าเพื่อนร่วมทีมในเซปักตะกร้อดูเหนื่อยล้า คุณจะทำอย่างไร?</t>
  </si>
  <si>
    <t>ผู้ฝึกสอนขอให้คุณนำร้องเพลงเชียร์ทีม คุณจะทำอย่างไร?</t>
  </si>
  <si>
    <t>ขณะเล่นเซปักตะกร้อ คุณสังเกตว่าวงกลมไม่เท่ากัน คุณจะทำอย่างไร?</t>
  </si>
  <si>
    <t>ลูกเซปักตะกร้อโดนคุณแล้วเสียจังหวะ คุณจะทำอย่างไร?</t>
  </si>
  <si>
    <t>ทีมตรงข้ามเล่นเชิงรุกเกินไป คุณจะตอบสนองอย่างไร?</t>
  </si>
  <si>
    <t>A) เล่นเชิงรุกกลับ; B) รักษาความสงบ; C) โต้แย้งกรรมการ; D) ถอนตัวจากเกม</t>
  </si>
  <si>
    <t>B) รักษาความสงบ</t>
  </si>
  <si>
    <t>การสงบสติอารมณ์ช่วยรักษาสมาธิและแผนการเล่นของทีม.</t>
  </si>
  <si>
    <t>มีผู้เล่นในทีมได้รับบาดเจ็บ คุณจะทำอย่างไร?</t>
  </si>
  <si>
    <t>A) เพิกเฉยและเล่นต่อ; B) ขอเวลาหยุดและดูอาการเพื่อน; C) ฉลองข้อผิดพลาดของเขา; D) ออกจากสนาม</t>
  </si>
  <si>
    <t>B) ขอเวลาหยุดและดูอาการเพื่อน</t>
  </si>
  <si>
    <t>ความห่วงใยช่วยเสริมสร้างจิตวิญญาณทีม.</t>
  </si>
  <si>
    <t>คุณถูกย้ายตำแหน่งในเกมกะทันหัน คุณจะทำอย่างไร?</t>
  </si>
  <si>
    <t>A) บ่นไม่พอใจ; B) ฝึกและปรับตัว; C) ขอเปลี่ยนตำแหน่งอีกครั้ง; D) เล่นแบบไม่ตั้งใจ</t>
  </si>
  <si>
    <t>B) ฝึกและปรับตัว</t>
  </si>
  <si>
    <t>การปรับตัวเป็นสิ่งสำคัญในการทำงานเป็นทีม.</t>
  </si>
  <si>
    <t>กรรมการตัดสินผิดพลาดในเกม คุณจะทำอย่างไร?</t>
  </si>
  <si>
    <t>A) ประท้วงเสียงดัง; B) ยอมรับการตัดสิน; C) พูดคุยด้วยความสุภาพ; D) ไม่สนใจสถานการณ์</t>
  </si>
  <si>
    <t>C) พูดคุยด้วยความสุภาพ</t>
  </si>
  <si>
    <t>การแสดงออกอย่างสุภาพช่วยรักษาความสัมพันธ์ที่ดี.</t>
  </si>
  <si>
    <t>คุณต้องเสิร์ฟลูกสำคัญในเกม คุณจะทำอย่างไร?</t>
  </si>
  <si>
    <t>A) รักษาสมาธิและทำเต็มที่; B) รีบเสิร์ฟแบบไม่คิด; C) เสิร์ฟแบบประมาท; D) ปฏิเสธที่จะเสิร์ฟ</t>
  </si>
  <si>
    <t>A) รักษาสมาธิและทำเต็มที่</t>
  </si>
  <si>
    <t>สมาธิช่วยให้คุณทำผลงานได้ดีที่สุด.</t>
  </si>
  <si>
    <t>ทีมตรงข้ามพยายามกดดันคุณด้วยการยั่วโมโห คุณจะทำอย่างไร?</t>
  </si>
  <si>
    <t>A) ตอบโต้กลับทันที; B) เมินเฉยและโฟกัสกับเกม; C) ออกจากสนาม; D) ยั่วกลับด้วยคำพูด</t>
  </si>
  <si>
    <t>B) เมินเฉยและโฟกัสกับเกม</t>
  </si>
  <si>
    <t>การไม่ตอบโต้ช่วยรักษาแผนการเล่นและสมาธิ.</t>
  </si>
  <si>
    <t>คุณเห็นเพื่อนร่วมทีมขาดความมั่นใจ คุณจะทำอย่างไร?</t>
  </si>
  <si>
    <t>A) ให้กำลังใจเขา; B) วิจารณ์เขาแรงๆ; C) เพิกเฉย; D) ขอให้เขาพัก</t>
  </si>
  <si>
    <t>A) ให้กำลังใจเขา</t>
  </si>
  <si>
    <t>การสนับสนุนทางใจช่วยเพิ่มความมั่นใจและผลงาน.</t>
  </si>
  <si>
    <t>ลูกบอลถูกเสิร์ฟมาที่คุณในจังหวะยาก คุณจะทำอย่างไร?</t>
  </si>
  <si>
    <t>A) พยายามรับลูกอย่างสุดความสามารถ; B) ปล่อยให้บอลผ่านไป; C) โทษทีม; D) ขอหยุดเกม</t>
  </si>
  <si>
    <t>A) พยายามรับลูกอย่างสุดความสามารถ</t>
  </si>
  <si>
    <t>การพยายามเต็มที่แสดงให้เห็นถึงความมุ่งมั่น.</t>
  </si>
  <si>
    <t>คุณทำผิดพลาดหลายครั้งในเกม คุณจะทำอย่างไร?</t>
  </si>
  <si>
    <t>A) มีสมาธิและแก้ไขข้อผิดพลาด; B) หยุดเล่นทันที; C) โทษเพื่อนร่วมทีม; D) โกรธตัวเอง</t>
  </si>
  <si>
    <t>A) มีสมาธิและแก้ไขข้อผิดพลาด</t>
  </si>
  <si>
    <t>การมีสมาธิช่วยให้คุณปรับปรุงและเล่นได้ดีขึ้น.</t>
  </si>
  <si>
    <t>คุณได้รับหน้าที่เป็นกัปตันทีม คุณจะทำอย่างไร?</t>
  </si>
  <si>
    <t>A) นำทีมอย่างมีประสิทธิภาพ; B) ปฏิเสธบทบาท; C) มอบบทบาทให้คนอื่น; D) เล่นไปตามใจตัวเอง</t>
  </si>
  <si>
    <t>A) นำทีมอย่างมีประสิทธิภาพ</t>
  </si>
  <si>
    <t>การเป็นผู้นำที่ดีช่วยสร้างความสามัคคีในทีม.</t>
  </si>
  <si>
    <t>เกมกำลังเสมอกันและเหลือเวลาอีกไม่มาก คุณจะทำอย่างไร?</t>
  </si>
  <si>
    <t>A) เล่นเต็มที่และรักษาความสงบ; B) เล่นอย่างไม่สนใจ; C) ปล่อยให้ทีมอื่นชนะ; D) ขอหยุดเกม</t>
  </si>
  <si>
    <t>A) เล่นเต็มที่และรักษาความสงบ</t>
  </si>
  <si>
    <t>ความพยายามและความนิ่งช่วยทีมชนะในจังหวะสำคัญ.</t>
  </si>
  <si>
    <t>คุณเห็นเพื่อนร่วมทีมไม่ฟังแผนการเล่น คุณจะทำอย่างไร?</t>
  </si>
  <si>
    <t>A) เตือนเขาอย่างสุภาพ; B) ดุเขาต่อหน้าทุกคน; C) ปล่อยให้เขาทำตามใจ; D) ขอให้ผู้ฝึกสอนจัดการ</t>
  </si>
  <si>
    <t>A) เตือนเขาอย่างสุภาพ</t>
  </si>
  <si>
    <t>การเตือนอย่างมีมารยาทช่วยรักษาความสัมพันธ์ในทีม.</t>
  </si>
  <si>
    <t>ทีมของคุณทำแต้มพลาดหลายครั้ง คุณจะทำอย่างไร?</t>
  </si>
  <si>
    <t>A) ให้กำลังใจทีมและกระตุ้นให้สู้ต่อ; B) โทษทีม; C) หยุดเล่น; D) บ่นเสียงดัง</t>
  </si>
  <si>
    <t>A) ให้กำลังใจทีมและกระตุ้นให้สู้ต่อ</t>
  </si>
  <si>
    <t>การสนับสนุนทีมช่วยเพิ่มขวัญกำลังใจ.</t>
  </si>
  <si>
    <t>คุณต้องแข่งกับทีมที่เก่งกว่า คุณจะทำอย่างไร?</t>
  </si>
  <si>
    <t>A) เตรียมพร้อมและเล่นเต็มที่; B) ยอมแพ้ตั้งแต่เริ่ม; C) เล่นแบบไม่ตั้งใจ; D) ปฏิเสธการแข่งขัน</t>
  </si>
  <si>
    <t>A) เตรียมพร้อมและเล่นเต็มที่</t>
  </si>
  <si>
    <t>ความพยายามเต็มที่ช่วยให้ทีมพัฒนา.</t>
  </si>
  <si>
    <t>คุณรู้สึกเหนื่อยล้าระหว่างการแข่งขัน คุณจะทำอย่างไร?</t>
  </si>
  <si>
    <t>A) ขอเปลี่ยนตัวพัก; B) เล่นต่อไปทั้งที่เหนื่อย; C) เดินออกจากสนาม; D) โทษทีม</t>
  </si>
  <si>
    <t>A) ขอเปลี่ยนตัวพัก</t>
  </si>
  <si>
    <t>การพักช่วยรักษาความพร้อมของทีม.</t>
  </si>
  <si>
    <t>คุณเห็นคู่ต่อสู้ใช้เทคนิคที่ไม่ยุติธรรมในการเล่นเซปักตะกร้อ คุณจะทำอย่างไร?</t>
  </si>
  <si>
    <t>A) แจ้งกรรมการ; B) โต้แย้งกับคู่ต่อสู้; C) รักษาความสงบและเล่นต่อ; D) ใช้เทคนิคเดียวกัน</t>
  </si>
  <si>
    <t>A) แจ้งกรรมการ</t>
  </si>
  <si>
    <t>การแจ้งกรรมการช่วยให้เกมมีความยุติธรรม.</t>
  </si>
  <si>
    <t>ลูกบอลไม่เข้าตาข่ายจากการตีของคุณ คุณจะทำอย่างไร?</t>
  </si>
  <si>
    <t>A) ยอมรับผิดและเล่นต่อ; B) โทษกรรมการ; C) บ่นกับเพื่อนร่วมทีม; D) ขอให้เล่นใหม่</t>
  </si>
  <si>
    <t>A) ยอมรับผิดและเล่นต่อ</t>
  </si>
  <si>
    <t>การยอมรับข้อผิดพลาดช่วยให้ทีมรักษาจิตวิญญาณที่ดี.</t>
  </si>
  <si>
    <t>คุณรู้สึกว่าผู้เล่นในทีมเริ่มมีความเครียด คุณจะทำอย่างไร?</t>
  </si>
  <si>
    <t>A) พูดคุยและให้กำลังใจเขา; B) ปล่อยให้เขาเงียบๆ; C) ตำหนิเขา; D) เพิกเฉย</t>
  </si>
  <si>
    <t>A) พูดคุยและให้กำลังใจเขา</t>
  </si>
  <si>
    <t>การสนับสนุนทางอารมณ์ช่วยให้ผู้เล่นฟื้นตัวได้เร็ว.</t>
  </si>
  <si>
    <t>คุณได้รับการตัดสินจากกรรมการว่าเล่นผิดกฎ คุณจะทำอย่างไร?</t>
  </si>
  <si>
    <t>A) ยอมรับการตัดสินและปรับตัว; B) โต้แย้งกับกรรมการ; C) ท้อแท้และยอมแพ้; D) โทษเพื่อนร่วมทีม</t>
  </si>
  <si>
    <t>A) ยอมรับการตัดสินและปรับตัว</t>
  </si>
  <si>
    <t>การยอมรับการตัดสินช่วยให้คุณพัฒนาและเรียนรู้.</t>
  </si>
  <si>
    <t>เกมใกล้จะจบลงและคะแนนเสมอกัน คุณจะทำอย่างไร?</t>
  </si>
  <si>
    <t>A) มุ่งมั่นและทำเต็มที่ในช่วงสุดท้าย; B) เล่นให้จบๆ ไป; C) ให้โอกาสทีมตรงข้ามชนะ; D) ขอยุติเกม</t>
  </si>
  <si>
    <t>A) มุ่งมั่นและทำเต็มที่ในช่วงสุดท้าย</t>
  </si>
  <si>
    <t>การให้ความสำคัญกับช่วงท้ายเกมช่วยให้ทีมชนะ.</t>
  </si>
  <si>
    <t>ทีมของคุณถูกกดดันอย่างหนักจากทีมตรงข้าม คุณจะทำอย่างไร?</t>
  </si>
  <si>
    <t>A) ประสานงานและเล่นอย่างมีระเบียบ; B) โกรธและโต้กลับ; C) หยุดเล่น; D) ปล่อยให้ทีมตรงข้ามชนะ</t>
  </si>
  <si>
    <t>A) ประสานงานและเล่นอย่างมีระเบียบ</t>
  </si>
  <si>
    <t>การทำงานเป็นทีมช่วยให้ผ่านสถานการณ์ที่ยากลำบากได้.</t>
  </si>
  <si>
    <t>คุณเห็นคู่ต่อสู้พยายามยั่วยุเพื่อนร่วมทีมของคุณ คุณจะทำอย่างไร?</t>
  </si>
  <si>
    <t>A) ปกป้องเพื่อนร่วมทีม; B) โต้แย้งคู่ต่อสู้; C) มองข้ามและเล่นต่อ; D) หลีกเลี่ยงการเผชิญหน้า</t>
  </si>
  <si>
    <t>A) ปกป้องเพื่อนร่วมทีม</t>
  </si>
  <si>
    <t>การแสดงความเป็นน้ำหนึ่งใจเดียวกันช่วยสร้างความแข็งแกร่งในทีม.</t>
  </si>
  <si>
    <t>ในระหว่างการแข่งขันคุณรู้สึกเจ็บเล็กน้อย คุณจะทำอย่างไร?</t>
  </si>
  <si>
    <t>A) บอกผู้ฝึกสอนและขอพัก; B) เล่นต่อไปโดยไม่แจ้งใคร; C) บ่นและหยุดเล่นทันที; D) เล่นอย่างหนักหน่วง</t>
  </si>
  <si>
    <t>A) บอกผู้ฝึกสอนและขอพัก</t>
  </si>
  <si>
    <t>การแจ้งอาการเจ็บให้ผู้ฝึกสอนทราบช่วยป้องกันการบาดเจ็บที่รุนแรง.</t>
  </si>
  <si>
    <t>ในเกมสุดท้ายคุณมีโอกาสเสิร์ฟลูกชี้ชะตา คุณจะทำอย่างไร?</t>
  </si>
  <si>
    <t>A) รักษาความสงบและเสิร์ฟอย่างมั่นใจ; B) ตื่นตระหนกและเสิร์ฟผิดพลาด; C) ปล่อยให้คนอื่นเสิร์ฟแทน; D) ขอให้พักก่อน</t>
  </si>
  <si>
    <t>A) รักษาความสงบและเสิร์ฟอย่างมั่นใจ</t>
  </si>
  <si>
    <t>การรักษาความสงบช่วยให้คุณทำหน้าที่ได้ดีที่สุด.</t>
  </si>
  <si>
    <t>คู่ต่อสู้ของคุณพยายามใช้การฟาล์วเพื่อทำลายจังหวะของทีม คุณจะทำอย่างไร?</t>
  </si>
  <si>
    <t>A) แจ้งกรรมการและเล่นต่อ; B) ฟาล์วกลับ; C) ตอบโต้ด้วยความรุนแรง; D) เดินออกจากสนาม</t>
  </si>
  <si>
    <t>A) แจ้งกรรมการและเล่นต่อ</t>
  </si>
  <si>
    <t>การแจ้งกรรมการช่วยรักษาความยุติธรรมในเกม.</t>
  </si>
  <si>
    <t>เกมกำลังดุเดือดและคะแนนสูสี คุณจะทำอย่างไร?</t>
  </si>
  <si>
    <t>A) รักษาสมาธิและมุ่งมั่น; B) สับสนและเสียสมาธิ; C) เล่นตามสัญชาตญาณ; D) หยุดเล่น</t>
  </si>
  <si>
    <t>A) รักษาสมาธิและมุ่งมั่น</t>
  </si>
  <si>
    <t>การรักษาสมาธิในช่วงเวลาสำคัญจะช่วยให้ทีมมีโอกาสชนะ.</t>
  </si>
  <si>
    <t>ในระหว่างเกมคุณรู้สึกว่าเพื่อนร่วมทีมกำลังสูญเสียความมั่นใจ คุณจะทำอย่างไร?</t>
  </si>
  <si>
    <t>A) กระตุ้นและให้กำลังใจเขา; B) ปล่อยให้เขาเงียบ; C) บ่นเกี่ยวกับเขา; D) ขอให้เขาหยุดเล่น</t>
  </si>
  <si>
    <t>การให้กำลังใจช่วยเพิ่มขวัญกำลังใจและการเล่นของทีม.</t>
  </si>
  <si>
    <t>ทีมของคุณมีนักกีฬาบาดเจ็บ คุณจะทำอย่างไร?</t>
  </si>
  <si>
    <t>A) ขอให้เขาพักและดูแลตัวเอง; B) ให้เขาเล่นต่อ; C) ให้เขากลับบ้าน; D) ปล่อยให้เขาตัดสินใจเอง</t>
  </si>
  <si>
    <t>A) ขอให้เขาพักและดูแลตัวเอง</t>
  </si>
  <si>
    <t>การให้ผู้บาดเจ็บพักผ่อนช่วยป้องกันการบาดเจ็บที่รุนแรง.</t>
  </si>
  <si>
    <t>ในระหว่างเกมคุณสังเกตเห็นการฟาล์วจากฝ่ายตรงข้าม คุณจะทำอย่างไร?</t>
  </si>
  <si>
    <t>A) แจ้งกรรมการ; B) ฟาล์วกลับ; C) ไม่สนใจ; D) บอกกรรมการอย่างสุภาพ</t>
  </si>
  <si>
    <t>การแจ้งกรรมการช่วยรักษาความยุติธรรมในการแข่งขัน.</t>
  </si>
  <si>
    <t>เกมกำลังจะจบลงและทีมของคุณต้องการคะแนนสุดท้าย คุณจะทำอย่างไร?</t>
  </si>
  <si>
    <t>A) เสิร์ฟอย่างมั่นใจและมีสมาธิ; B) เสิร์ฟแบบรีบร้อน; C) ขอให้ทีมอื่นชนะ; D) หยุดเล่น</t>
  </si>
  <si>
    <t>A) เสิร์ฟอย่างมั่นใจและมีสมาธิ</t>
  </si>
  <si>
    <t>การเสิร์ฟในช่วงสุดท้ายช่วยให้ทีมมีโอกาสชนะ.</t>
  </si>
  <si>
    <t>เพื่อนร่วมทีมของคุณทำผิดพลาดหลายครั้งในเกม คุณจะทำอย่างไร?</t>
  </si>
  <si>
    <t>A) ช่วยเขาฟื้นตัวและให้กำลังใจ; B) โทษเขา; C) พูดถึงความผิดพลาดของเขา; D) หยุดเล่น</t>
  </si>
  <si>
    <t>A) ช่วยเขาฟื้นตัวและให้กำลังใจ</t>
  </si>
  <si>
    <t>การช่วยเพื่อนร่วมทีมฟื้นตัวสร้างจิตวิญญาณของทีม.</t>
  </si>
  <si>
    <t>ในระหว่างการแข่งขันคุณต้องรับบอลในสถานการณ์ยากลำบาก คุณจะทำอย่างไร?</t>
  </si>
  <si>
    <t>A) พยายามรับบอลอย่างสุดความสามารถ; B) ปล่อยให้บอลผ่านไป; C) โทษเพื่อนร่วมทีม; D) หยุดเกม</t>
  </si>
  <si>
    <t>A) พยายามรับบอลอย่างสุดความสามารถ</t>
  </si>
  <si>
    <t>การพยายามรับบอลให้ได้แสดงถึงความมุ่งมั่นและความพยายาม.</t>
  </si>
  <si>
    <t>ทีมตรงข้ามกำลังใช้เทคนิคที่ยากเกินไป คุณจะทำอย่างไร?</t>
  </si>
  <si>
    <t>A) สู้กลับด้วยเทคนิคที่แข็งแกร่ง; B) รักษาความสงบและเล่นตามแผน; C) บ่นกับกรรมการ; D) หลีกเลี่ยงการเล่น</t>
  </si>
  <si>
    <t>A) สู้กลับด้วยเทคนิคที่แข็งแกร่ง</t>
  </si>
  <si>
    <t>การใช้เทคนิคที่แข็งแกร่งช่วยให้คุณแข่งขันได้อย่างมีประสิทธิภาพ.</t>
  </si>
  <si>
    <t>คุณรู้สึกว่าเกมเริ่มยืดเยื้อและเหนื่อยล้า คุณจะทำอย่างไร?</t>
  </si>
  <si>
    <t>A) ขอเวลาพักสั้นๆ; B) เล่นต่อไปโดยไม่พัก; C) บ่นเกี่ยวกับความเหนื่อยล้า; D) ขอให้เกมจบลง</t>
  </si>
  <si>
    <t>A) ขอเวลาพักสั้นๆ</t>
  </si>
  <si>
    <t>การพักผ่อนจะช่วยฟื้นฟูกำลังและช่วยให้คุณเล่นได้ดีขึ้น.</t>
  </si>
  <si>
    <t>ในช่วงที่คุณต้องเสิร์ฟ คุณรู้สึกตื่นเต้นและเครียด คุณจะทำอย่างไร?</t>
  </si>
  <si>
    <t>A) ลองหายใจลึกๆ และรักษาสมาธิ; B) เสิร์ฟอย่างรีบร้อน; C) ขอให้คนอื่นเสิร์ฟแทน; D) หยุดเล่น</t>
  </si>
  <si>
    <t>A) ลองหายใจลึกๆ และรักษาสมาธิ</t>
  </si>
  <si>
    <t>การรักษาสมาธิช่วยให้คุณเสิร์ฟได้ดีขึ้น.</t>
  </si>
  <si>
    <t>เกมใกล้จะจบและคุณกำลังเสิร์ฟในจังหวะสำคัญ คุณจะทำอย่างไร?</t>
  </si>
  <si>
    <t>A) เล่นอย่างมั่นใจและใช้เทคนิคที่ฝึกมา; B) เสิร์ฟแบบไม่มั่นใจ; C) ขอลองเสิร์ฟใหม่; D) ถอยหลังไปและขอโอกาสใหม่</t>
  </si>
  <si>
    <t>A) เล่นอย่างมั่นใจและใช้เทคนิคที่ฝึกมา</t>
  </si>
  <si>
    <t>การเสิร์ฟอย่างมั่นใจช่วยเพิ่มโอกาสในการทำคะแนน.</t>
  </si>
  <si>
    <t>คู่ต่อสู้เล่นช้าและทำให้เกมหยุดชะงัก คุณจะทำอย่างไร?</t>
  </si>
  <si>
    <t>A) รักษาความสงบและเล่นต่อไป; B) ปล่อยให้ทีมตรงข้ามทำตามใจ; C) บ่นเกี่ยวกับพวกเขา; D) ขอให้กรรมการจัดการ</t>
  </si>
  <si>
    <t>A) รักษาความสงบและเล่นต่อไป</t>
  </si>
  <si>
    <t>การรักษาความสงบช่วยให้ทีมรักษาระดับการเล่นที่ดี.</t>
  </si>
  <si>
    <t>คุณเห็นเพื่อนร่วมทีมสับสนเกี่ยวกับแผนการเล่น คุณจะทำอย่างไร?</t>
  </si>
  <si>
    <t>A) ช่วยอธิบายและให้คำแนะนำ; B) ปล่อยให้เขาจัดการเอง; C) ดุเขา; D) เปลี่ยนแผนการเล่นทันที</t>
  </si>
  <si>
    <t>A) ช่วยอธิบายและให้คำแนะนำ</t>
  </si>
  <si>
    <t>การช่วยให้คำแนะนำทำให้ทีมมีความเข้าใจและประสานงานได้ดีขึ้น.</t>
  </si>
  <si>
    <t>ในระหว่างเกมคุณรู้สึกว่าผู้เล่นในทีมขาดความตั้งใจ คุณจะทำอย่างไร?</t>
  </si>
  <si>
    <t>A) กระตุ้นให้พวกเขาโฟกัสและตั้งใจ; B) บ่นเกี่ยวกับพวกเขา; C) ปล่อยให้ทีมเล่นตามใจ; D) หยุดเล่น</t>
  </si>
  <si>
    <t>A) กระตุ้นให้พวกเขาโฟกัสและตั้งใจ</t>
  </si>
  <si>
    <t>การกระตุ้นทีมช่วยให้ฟื้นคืนความมุ่งมั่น.</t>
  </si>
  <si>
    <t>กรรมการไม่ได้ให้คำตัดสินที่คุณคิดว่าไม่ถูกต้อง คุณจะทำอย่างไร?</t>
  </si>
  <si>
    <t>A) รักษาความสงบและเล่นต่อ; B) ขอโต้แย้งอย่างสุภาพ; C) ปฏิเสธที่จะเล่นต่อ; D) ดุกรรมการ</t>
  </si>
  <si>
    <t>A) รักษาความสงบและเล่นต่อ</t>
  </si>
  <si>
    <t>การรักษาความสงบและโฟกัสกับเกมช่วยให้คุณทำผลงานได้ดี.</t>
  </si>
  <si>
    <t>คู่ต่อสู้ทำคะแนนได้อย่างรวดเร็ว คุณจะทำอย่างไร?</t>
  </si>
  <si>
    <t>A) ประสานงานกับทีมและตั้งรับอย่างมีระเบียบ; B) ตอบโต้กลับทันที; C) ยอมแพ้; D) ถามกรรมการให้ตัดสิน</t>
  </si>
  <si>
    <t>A) ประสานงานกับทีมและตั้งรับอย่างมีระเบียบ</t>
  </si>
  <si>
    <t>การร่วมมือและตั้งรับอย่างมีระเบียบช่วยให้คุณกลับสู่การแข่งขันได้.</t>
  </si>
  <si>
    <t>คุณรู้สึกว่าเพื่อนร่วมทีมไม่มีการสื่อสารที่ดีในเกม คุณจะทำอย่างไร?</t>
  </si>
  <si>
    <t>A) กระตุ้นให้พวกเขาสื่อสารกันมากขึ้น; B) ปล่อยให้พวกเขาเล่นตามใจ; C) ตำหนิเพื่อนร่วมทีม; D) ขอให้ผู้ฝึกสอนจัดการ</t>
  </si>
  <si>
    <t>A) กระตุ้นให้พวกเขาสื่อสารกันมากขึ้น</t>
  </si>
  <si>
    <t>การสื่อสารในทีมช่วยเพิ่มความร่วมมือและการประสานงาน.</t>
  </si>
  <si>
    <t>เกมเริ่มร้อนแรงและคู่ต่อสู้ทำให้คุณรู้สึกกดดัน คุณจะทำอย่างไร?</t>
  </si>
  <si>
    <t>A) รักษาความสงบและไม่ปล่อยให้กดดันเข้ามา; B) ตอบโต้ความกดดันกลับ; C) หยุดเล่น; D) แสดงความเครียดออกมา</t>
  </si>
  <si>
    <t>A) รักษาความสงบและไม่ปล่อยให้กดดันเข้ามา</t>
  </si>
  <si>
    <t>การรักษาความสงบในสถานการณ์ที่กดดันช่วยให้คุณทำผลงานได้ดีขึ้น.</t>
  </si>
  <si>
    <t>คุณรู้สึกว่าเกมเริ่มยืดเยื้อ คุณจะทำอย่างไร?</t>
  </si>
  <si>
    <t>A) ขอพักและดื่มน้ำ; B) ยังคงเล่นต่อโดยไม่พัก; C) บ่นเกี่ยวกับความเหนื่อยล้า; D) ถอนตัวจากเกม</t>
  </si>
  <si>
    <t>A) ขอพักและดื่มน้ำ</t>
  </si>
  <si>
    <t>การพักผ่อนช่วยเพิ่มพลังและทำให้คุณเล่นได้ดีขึ้น.</t>
  </si>
  <si>
    <t>ในช่วงท้ายเกม คุณเห็นโอกาสทำคะแนนแต่มีความกังวล คุณจะทำอย่างไร?</t>
  </si>
  <si>
    <t>A) เล่นอย่างมั่นใจและใช้เทคนิคที่ดีที่สุด; B) หลีกเลี่ยงการทำคะแนน; C) เล่นแบบไม่ตั้งใจ; D) ปล่อยให้ทีมตรงข้ามชนะ</t>
  </si>
  <si>
    <t>A) เล่นอย่างมั่นใจและใช้เทคนิคที่ดีที่สุด</t>
  </si>
  <si>
    <t>การเล่นอย่างมั่นใจในช่วงสุดท้ายช่วยเพิ่มโอกาสในการทำคะแนน.</t>
  </si>
  <si>
    <t>เกมกำลังจะจบลงและคะแนนเสมอกัน คุณจะทำอย่างไร?</t>
  </si>
  <si>
    <t>A) เล่นเต็มที่เพื่อชนะ; B) หยุดเล่นและขอเสมอ; C) เสิร์ฟลูกอย่างระมัดระวัง; D) มองหาความช่วยเหลือจากกรรมการ</t>
  </si>
  <si>
    <t>A) เล่นเต็มที่เพื่อชนะ</t>
  </si>
  <si>
    <t>การเล่นเต็มที่ในช่วงสุดท้ายช่วยให้คุณมีโอกาสชนะมากขึ้น.</t>
  </si>
  <si>
    <t>เพื่อนร่วมทีมของคุณดูเหนื่อยล้าหลังจากการเล่นยาวนาน คุณจะทำอย่างไร?</t>
  </si>
  <si>
    <t>A) สนับสนุนให้เขาพักผ่อน; B) บ่นว่าเขาเล่นไม่ดี; C) โทษเขาที่ทำให้เกมช้าลง; D) ให้เขาหยุดเล่น</t>
  </si>
  <si>
    <t>A) สนับสนุนให้เขาพักผ่อน</t>
  </si>
  <si>
    <t>การให้เขาพักผ่อนจะช่วยฟื้นฟูพลังและทำให้เขากลับมามีสมาธิ.</t>
  </si>
  <si>
    <t>คู่ต่อสู้กำลังใช้เทคนิคที่ยากเกินไป คุณจะทำอย่างไร?</t>
  </si>
  <si>
    <t>A) ทำตามเทคนิคของพวกเขา; B) ใช้เทคนิคของตัวเองในการตอบโต้; C) บอกกรรมการให้ตัดสิน; D) หลีกเลี่ยงการเล่น</t>
  </si>
  <si>
    <t>A) ใช้เทคนิคของตัวเองในการตอบโต้</t>
  </si>
  <si>
    <t>การใช้เทคนิคของตัวเองในการตอบโต้ช่วยให้คุณรักษาความมั่นใจ.</t>
  </si>
  <si>
    <t>ในระหว่างเกมคุณเริ่มรู้สึกว่ามีอาการบาดเจ็บ คุณจะทำอย่างไร?</t>
  </si>
  <si>
    <t>A) บอกผู้ฝึกสอนและขอพัก; B) ฝืนเล่นต่อไป; C) ไม่บอกใคร; D) หยุดเล่นทันที</t>
  </si>
  <si>
    <t>การแจ้งอาการบาดเจ็บให้ผู้ฝึกสอนทราบช่วยให้คุณได้รับการดูแลอย่างถูกต้อง.</t>
  </si>
  <si>
    <t>คุณเห็นคู่ต่อสู้กำลังทำฟาล์ว คุณจะทำอย่างไร?</t>
  </si>
  <si>
    <t>A) แจ้งกรรมการทันที; B) ทำฟาล์วกลับ; C) ไม่สนใจและเล่นต่อ; D) บอกกรรมการให้ปรับคะแนน</t>
  </si>
  <si>
    <t>A) แจ้งกรรมการทันที</t>
  </si>
  <si>
    <t>ทีมของคุณกำลังตามหลังในเกม คุณจะทำอย่างไร?</t>
  </si>
  <si>
    <t>A) เล่นอย่างมีความมั่นใจและไม่ยอมแพ้; B) รู้สึกท้อแท้และไม่เล่นเต็มที่; C) บ่นและตำหนิเพื่อนร่วมทีม; D) หยุดเล่นและยอมแพ้</t>
  </si>
  <si>
    <t>A) เล่นอย่างมีความมั่นใจและไม่ยอมแพ้</t>
  </si>
  <si>
    <t>การเล่นอย่างมั่นใจจะช่วยให้ทีมกลับเข้าสู่เกมได้.</t>
  </si>
  <si>
    <t>คุณเห็นกรรมการตัดสินผิด คุณจะทำอย่างไร?</t>
  </si>
  <si>
    <t>A) แจ้งกรรมการอย่างสุภาพ; B) โต้แย้งและทำให้เกมช้าลง; C) ไม่สนใจและเล่นต่อไป; D) บ่นให้เพื่อนร่วมทีมฟัง</t>
  </si>
  <si>
    <t>A) แจ้งกรรมการอย่างสุภาพ</t>
  </si>
  <si>
    <t>เพื่อนร่วมทีมของคุณไม่ได้ปฏิบัติตามแผนการเล่น คุณจะทำอย่างไร?</t>
  </si>
  <si>
    <t>A) อธิบายแผนการใหม่ให้เขาฟัง; B) ตำหนิเขา; C) ปล่อยให้เขาทำตามใจ; D) เปลี่ยนแผนการเล่นทั้งหมด</t>
  </si>
  <si>
    <t>A) อธิบายแผนการใหม่ให้เขาฟัง</t>
  </si>
  <si>
    <t>การสื่อสารและทำให้เพื่อนร่วมทีมเข้าใจแผนการเล่นช่วยให้ทีมประสบความสำเร็จ.</t>
  </si>
  <si>
    <t>เกมยังคงอยู่ในสถานการณ์ที่ตึงเครียด คุณจะทำอย่างไร?</t>
  </si>
  <si>
    <t>A) รักษาสมาธิและควบคุมอารมณ์; B) ตอบโต้ด้วยความรุนแรง; C) หลีกเลี่ยงการเล่น; D) บ่นเกี่ยวกับความเครียด</t>
  </si>
  <si>
    <t>A) รักษาสมาธิและควบคุมอารมณ์</t>
  </si>
  <si>
    <t>การควบคุมอารมณ์ช่วยให้คุณสามารถเล่นได้ดีในสถานการณ์ที่เครียด.</t>
  </si>
  <si>
    <t>คุณเห็นคู่ต่อสู้ใช้เทคนิคที่ไม่ยุติธรรม คุณจะทำอย่างไร?</t>
  </si>
  <si>
    <t>A) แจ้งกรรมการ; B) ฟาล์วกลับเพื่อแสดงความไม่พอใจ; C) ทนและเล่นต่อ; D) บอกกรรมการให้เตือนพวกเขา</t>
  </si>
  <si>
    <t>ในระหว่างเกมคุณเห็นว่าผู้เล่นในทีมของคุณเล่นผิดท่าทาง คุณจะทำอย่างไร?</t>
  </si>
  <si>
    <t>A) ช่วยแนะนำวิธีการเล่นที่ถูกต้อง; B) ปล่อยให้เขาทำตามใจ; C) ตำหนิเขาในที่สาธารณะ; D) ไม่ทำอะไร</t>
  </si>
  <si>
    <t>A) ช่วยแนะนำวิธีการเล่นที่ถูกต้อง</t>
  </si>
  <si>
    <t>การช่วยเหลือเพื่อนร่วมทีมช่วยให้ทีมเล่นได้ดีขึ้น.</t>
  </si>
  <si>
    <t>คุณกำลังอยู่ในตำแหน่งที่ต้องตัดสินใจเกี่ยวกับการเสิร์ฟในเกมสำคัญ คุณจะทำอย่างไร?</t>
  </si>
  <si>
    <t>A) คิดอย่างรอบคอบและเสิร์ฟอย่างมั่นใจ; B) เสิร์ฟด้วยความเครียด; C) ปล่อยให้คนอื่นเสิร์ฟแทน; D) ขอเวลาพัก</t>
  </si>
  <si>
    <t>A) คิดอย่างรอบคอบและเสิร์ฟอย่างมั่นใจ</t>
  </si>
  <si>
    <t>การเสิร์ฟในเกมสำคัญต้องทำด้วยความมั่นใจเพื่อเพิ่มโอกาสชนะ.</t>
  </si>
  <si>
    <t>คุณเห็นเพื่อนร่วมทีมเริ่มเสียสมาธิในระหว่างเกม คุณจะทำอย่างไร?</t>
  </si>
  <si>
    <t>A) ช่วยให้เขากลับมามีสมาธิ; B) ปล่อยให้เขาหยุดเล่น; C) บ่นและตำหนิเขา; D) ไม่สนใจ</t>
  </si>
  <si>
    <t>A) ช่วยให้เขากลับมามีสมาธิ</t>
  </si>
  <si>
    <t>การช่วยให้เพื่อนร่วมทีมกลับมาโฟกัสทำให้ทีมเล่นได้ดีขึ้น.</t>
  </si>
  <si>
    <t>เกมกำลังเข้าสู่ช่วงตัดสิน คุณจะทำอย่างไร?</t>
  </si>
  <si>
    <t>A) เพิ่มความมุ่งมั่นและเล่นอย่างเต็มที่; B) เล่นโดยไม่คิดอะไรมาก; C) หลีกเลี่ยงการเสี่ยง; D) ขอยุติเกม</t>
  </si>
  <si>
    <t>A) เพิ่มความมุ่งมั่นและเล่นอย่างเต็มที่</t>
  </si>
  <si>
    <t>การมุ่งมั่นในช่วงท้ายเกมจะเพิ่มโอกาสในการชนะ.</t>
  </si>
  <si>
    <t>เพื่อนร่วมทีมของคุณทำฟาล์ว คุณจะทำอย่างไร?</t>
  </si>
  <si>
    <t>A) แจ้งกรรมการและยอมรับผล; B) ปกป้องเขาโดยไม่แจ้งกรรมการ; C) ตำหนิเขา; D) หลีกเลี่ยงการพูดถึง</t>
  </si>
  <si>
    <t>A) แจ้งกรรมการและยอมรับผล</t>
  </si>
  <si>
    <t>การยอมรับฟาล์วและรักษาความยุติธรรมจะทำให้ทีมได้รับการปฏิบัติอย่างเท่าเทียม.</t>
  </si>
  <si>
    <t>คุณสังเกตเห็นว่าคู่ต่อสู้กำลังทำลายสมาธิของทีมคุณ คุณจะทำอย่างไร?</t>
  </si>
  <si>
    <t>A) รักษาความสงบและเล่นตามแผน; B) โต้ตอบและทำให้เกมร้อนแรงขึ้น; C) หลีกเลี่ยงการเล่น; D) บอกกรรมการ</t>
  </si>
  <si>
    <t>A) รักษาความสงบและเล่นตามแผน</t>
  </si>
  <si>
    <t>การรักษาความสงบช่วยให้คุณสามารถทำงานร่วมกับทีมได้ดี.</t>
  </si>
  <si>
    <t>เกมกำลังจะสิ้นสุดลงและคุณต้องเสิร์ฟลูกที่สำคัญ คุณจะทำอย่างไร?</t>
  </si>
  <si>
    <t>A) เสิร์ฟด้วยความมั่นใจและทักษะที่ดีที่สุด; B) เสิร์ฟอย่างรีบร้อน; C) ขอให้คนอื่นเสิร์ฟแทน; D) หยุดเล่น</t>
  </si>
  <si>
    <t>A) เสิร์ฟด้วยความมั่นใจและทักษะที่ดีที่สุด</t>
  </si>
  <si>
    <t>การเสิร์ฟในช่วงสำคัญต้องทำอย่างมั่นใจเพื่อเพิ่มโอกาสในการชนะ.</t>
  </si>
  <si>
    <t>คุณรู้สึกว่ามีความเครียดในทีม คุณจะทำอย่างไร?</t>
  </si>
  <si>
    <t>A) พูดคุยและช่วยกันคลายความเครียด; B) ปล่อยให้ความเครียดอยู่ในทีม; C) บ่นเกี่ยวกับความเครียด; D) ไม่ทำอะไร</t>
  </si>
  <si>
    <t>A) พูดคุยและช่วยกันคลายความเครียด</t>
  </si>
  <si>
    <t>การจัดการความเครียดในทีมช่วยให้ทีมมีพลังในการเล่น.</t>
  </si>
  <si>
    <t>คู่ต่อสู้กำลังฟาล์วหลายครั้ง คุณจะทำอย่างไร?</t>
  </si>
  <si>
    <t>A) แจ้งกรรมการและเล่นต่อ; B) ทำฟาล์วกลับ; C) ปล่อยให้พวกเขาฟาล์วต่อไป; D) หยุดเล่น</t>
  </si>
  <si>
    <t>การแจ้งกรรมการช่วยให้เกมยุติธรรมและมีความเป็นธรรม.</t>
  </si>
  <si>
    <t>คุณเห็นทีมตรงข้ามขาดความประสานงานในการเล่น คุณจะทำอย่างไร?</t>
  </si>
  <si>
    <t>A) ใช้โอกาสนี้เพื่อทำคะแนน; B) รักษาความสงบและเล่นตามแผน; C) โต้กลับและทำให้เกมยากขึ้น; D) ไม่สนใจ</t>
  </si>
  <si>
    <t>A) ใช้โอกาสนี้เพื่อทำคะแนน</t>
  </si>
  <si>
    <t>การใช้โอกาสเมื่อคู่ต่อสู้มีจุดอ่อนช่วยให้ทีมสามารถนำได้.</t>
  </si>
  <si>
    <t>ในระหว่างการเล่นคุณรู้สึกว่ามีปัญหากับการเคลื่อนไหวของคุณ คุณจะทำอย่างไร?</t>
  </si>
  <si>
    <t>A) แจ้งโค้ชเพื่อหาทางแก้ไข; B) หยุดเล่น; C) ฝืนเล่นต่อไป; D) ขอให้คนอื่นมาแทน</t>
  </si>
  <si>
    <t>A) แจ้งโค้ชเพื่อหาทางแก้ไข</t>
  </si>
  <si>
    <t>การแจ้งโค้ชเกี่ยวกับปัญหาช่วยให้คุณได้รับการแก้ไขที่ถูกต้อง.</t>
  </si>
  <si>
    <t>คุณได้รับลูกที่ยากจากคู่ต่อสู้ คุณจะทำอย่างไร?</t>
  </si>
  <si>
    <t>A) โจมตีลูกด้วยทักษะที่ดีที่สุดของคุณ; B) ตีลูกอย่างระมัดระวังเพื่อให้ทีมเตรียมพร้อม; C) ปล่อยให้ลูกตก; D) ตีลูกออกนอกสนาม</t>
  </si>
  <si>
    <t>A) โจมตีลูกด้วยทักษะที่ดีที่สุดของคุณ</t>
  </si>
  <si>
    <t>การตอบสนองลูกที่ยากด้วยทักษะจะช่วยให้ทีมมีโอกาสชนะ.</t>
  </si>
  <si>
    <t>ทีมของคุณต้องการชัยชนะ คุณจะทำอย่างไร?</t>
  </si>
  <si>
    <t>A) เพิ่มความมุ่งมั่นและเล่นให้ดีที่สุด; B) รอคอยให้ทีมตรงข้ามทำผิด; C) ลดความเสี่ยงและหยุดเล่น; D) ขอยอมแพ้</t>
  </si>
  <si>
    <t>A) เพิ่มความมุ่งมั่นและเล่นให้ดีที่สุด</t>
  </si>
  <si>
    <t>การมุ่งมั่นและเล่นอย่างเต็มที่ช่วยเพิ่มโอกาสในการชนะ.</t>
  </si>
  <si>
    <t>ในระหว่างเกม คุณรู้สึกว่าคู่ต่อสู้กำลังได้เปรียบ คุณจะทำอย่างไร?</t>
  </si>
  <si>
    <t>A) ใช้โอกาสในการโต้กลับ; B) ปล่อยให้พวกเขาชนะ; C) ทำฟาล์วกลับ; D) หลีกเลี่ยงการเล่น</t>
  </si>
  <si>
    <t>A) ใช้โอกาสในการโต้กลับ</t>
  </si>
  <si>
    <t>การใช้โอกาสเมื่อคู่ต่อสู้ผิดพลาดช่วยให้คุณพลิกสถานการณ์ได้.</t>
  </si>
  <si>
    <t>ผู้เล่นในทีมของคุณรู้สึกไม่มั่นใจ คุณจะทำอย่างไร?</t>
  </si>
  <si>
    <t>A) สนับสนุนและให้กำลังใจเขา; B) ปล่อยให้เขาเล่นตามแบบของตัวเอง; C) ตำหนิเขา; D) หลีกเลี่ยงการพูดถึง</t>
  </si>
  <si>
    <t>A) สนับสนุนและให้กำลังใจเขา</t>
  </si>
  <si>
    <t>คุณเห็นทีมคู่แข่งกำลังเล่นในท่าทางที่ไม่เหมาะสม คุณจะทำอย่างไร?</t>
  </si>
  <si>
    <t>A) แจ้งกรรมการให้เตือนพวกเขา; B) ใช้ท่าทางนั้นเพื่อประโยชน์ของคุณ; C) หลีกเลี่ยงการเล่น; D) บ่นกับเพื่อนร่วมทีม</t>
  </si>
  <si>
    <t>A) แจ้งกรรมการให้เตือนพวกเขา</t>
  </si>
  <si>
    <t>การแจ้งกรรมการจะทำให้เกมมีความยุติธรรม.</t>
  </si>
  <si>
    <t>คุณสังเกตเห็นว่าผู้เล่นในทีมของคุณไม่มีสมาธิ คุณจะทำอย่างไร?</t>
  </si>
  <si>
    <t>A) ช่วยให้เขากลับมาโฟกัส; B) ปล่อยให้เขาหยุดเล่น; C) ตำหนิเขา; D) ไม่สนใจ</t>
  </si>
  <si>
    <t>A) ช่วยให้เขากลับมาโฟกัส</t>
  </si>
  <si>
    <t>การช่วยให้เพื่อนร่วมทีมโฟกัสจะช่วยให้ทีมทำผลงานได้ดีขึ้น.</t>
  </si>
  <si>
    <t>เกมกำลังอยู่ในช่วงท้ายและคุณต้องตัดสินใจเสิร์ฟ คุณจะทำอย่างไร?</t>
  </si>
  <si>
    <t>A) เสิร์ฟด้วยความมั่นใจและรอบคอบ; B) เสิร์ฟโดยไม่คิดอะไรมาก; C) ขอให้คนอื่นเสิร์ฟแทน; D) หยุดเล่น</t>
  </si>
  <si>
    <t>A) เสิร์ฟด้วยความมั่นใจและรอบคอบ</t>
  </si>
  <si>
    <t>การเสิร์ฟในช่วงสำคัญต้องทำด้วยความมั่นใจเพื่อเพิ่มโอกาสในการชนะ.</t>
  </si>
  <si>
    <t>คุณเห็นว่าคู่ต่อสู้กำลังรอคอยให้คุณทำผิด คุณจะทำอย่างไร?</t>
  </si>
  <si>
    <t>A) เล่นอย่างมั่นใจและไม่ยอมแพ้; B) รู้สึกท้อแท้และทำให้ทีมช้าลง; C) หลีกเลี่ยงการเล่น; D) โต้กลับด้วยความแรง</t>
  </si>
  <si>
    <t>A) เล่นอย่างมั่นใจและไม่ยอมแพ้</t>
  </si>
  <si>
    <t>การเล่นอย่างมั่นใจจะทำให้คุณไม่ตกเป็นเหยื่อของคู่ต่อสู้.</t>
  </si>
  <si>
    <t>คุณกำลังจะเล่นเกมสำคัญและรู้สึกเครียด คุณจะทำอย่างไร?</t>
  </si>
  <si>
    <t>A) หายใจลึกๆ และรักษาความสงบ; B) เสี่ยงและทำให้เกมตึงเครียดยิ่งขึ้น; C) หลีกเลี่ยงการเล่น; D) ขอพัก</t>
  </si>
  <si>
    <t>A) หายใจลึกๆ และรักษาความสงบ</t>
  </si>
  <si>
    <t>การรักษาความสงบช่วยให้คุณเล่นได้ดีขึ้นในสถานการณ์เครียด.</t>
  </si>
  <si>
    <t>เกมกำลังเริ่มต้นขึ้นและคุณต้องเลือกตำแหน่งที่เล่น คุณจะทำอย่างไร?</t>
  </si>
  <si>
    <t>A) เลือกตำแหน่งที่คุณถนัด; B) ขอคำแนะนำจากโค้ช; C) เลือกตำแหน่งที่ทีมต้องการ; D) รอจนกว่าจะมีการตัดสินใจ</t>
  </si>
  <si>
    <t>A) เลือกตำแหน่งที่คุณถนัด</t>
  </si>
  <si>
    <t>การเลือกตำแหน่งที่คุณถนัดช่วยให้คุณเล่นได้อย่างมีประสิทธิภาพ.</t>
  </si>
  <si>
    <t>คุณพบว่าคู่ต่อสู้กำลังเล่นได้ดีเกินคาด คุณจะทำอย่างไร?</t>
  </si>
  <si>
    <t>A) เปลี่ยนแผนการเล่นเพื่อปรับสภาพ; B) ยอมแพ้และปล่อยให้พวกเขาชนะ; C) รอจนกว่าเกมจะเป็นประโยชน์กับคุณ; D) ทำให้เกมช้าลง</t>
  </si>
  <si>
    <t>A) เปลี่ยนแผนการเล่นเพื่อปรับสภาพ</t>
  </si>
  <si>
    <t>การปรับแผนการเล่นจะช่วยให้คุณรับมือกับคู่ต่อสู้ที่เล่นดีขึ้น.</t>
  </si>
  <si>
    <t>ทีมของคุณได้รับการเสิร์ฟและคุณต้องรับลูก คุณจะทำอย่างไร?</t>
  </si>
  <si>
    <t>A) ใช้ทักษะที่ดีที่สุดของคุณในการรับลูก; B) รับลูกอย่างระมัดระวัง; C) รอให้ลูกตกก่อนรับ; D) ส่งลูกให้เพื่อนร่วมทีม</t>
  </si>
  <si>
    <t>A) ใช้ทักษะที่ดีที่สุดของคุณในการรับลูก</t>
  </si>
  <si>
    <t>การใช้ทักษะที่ดีที่สุดจะช่วยให้คุณรับลูกได้อย่างแม่นยำ.</t>
  </si>
  <si>
    <t>เพื่อนร่วมทีมของคุณทำผิดพลาดในการเล่น คุณจะทำอย่างไร?</t>
  </si>
  <si>
    <t>A) สนับสนุนและให้กำลังใจเขา; B) ตำหนิเขา; C) บ่นเกี่ยวกับข้อผิดพลาด; D) ทำให้เขารู้สึกผิด</t>
  </si>
  <si>
    <t>การให้กำลังใจเพื่อนร่วมทีมช่วยเพิ่มความมั่นใจให้กับเขา.</t>
  </si>
  <si>
    <t>คู่ต่อสู้ใช้เทคนิคที่ยากและคุณไม่แน่ใจว่าจะรับได้หรือไม่ คุณจะทำอย่างไร?</t>
  </si>
  <si>
    <t>A) ใช้ทักษะของตัวเองในการรับลูก; B) ไม่พยายามรับและรอให้มันตก; C) แจ้งกรรมการ; D) ส่งลูกให้เพื่อนร่วมทีมรับ</t>
  </si>
  <si>
    <t>A) ใช้ทักษะของตัวเองในการรับลูก</t>
  </si>
  <si>
    <t>การใช้ทักษะในการรับลูกจะเพิ่มโอกาสในการตอบโต้คู่ต่อสู้.</t>
  </si>
  <si>
    <t>ในระหว่างการเล่นคุณรู้สึกเครียดและไม่สามารถโฟกัสได้ คุณจะทำอย่างไร?</t>
  </si>
  <si>
    <t>A) หายใจลึกๆ และพยายามโฟกัสใหม่; B) บ่นและรู้สึกท้อแท้; C) หลีกเลี่ยงการเล่น; D) ขอให้คนอื่นเล่นแทน</t>
  </si>
  <si>
    <t>A) หายใจลึกๆ และพยายามโฟกัสใหม่</t>
  </si>
  <si>
    <t>การหายใจลึกๆ ช่วยให้คุณสามารถโฟกัสและเล่นได้ดีขึ้น.</t>
  </si>
  <si>
    <t>A) เพิ่มความมุ่งมั่นและเล่นอย่างเต็มที่; B) รู้สึกท้อแท้และยอมแพ้; C) ทำให้เกมช้าลง; D) ขอพัก</t>
  </si>
  <si>
    <t>การมุ่งมั่นในการเล่นช่วยให้ทีมสามารถพลิกเกมได้.</t>
  </si>
  <si>
    <t>ในระหว่างเกมคุณเห็นว่าคู่ต่อสู้เริ่มทำผิดพลาด คุณจะทำอย่างไร?</t>
  </si>
  <si>
    <t>A) ใช้โอกาสนี้เพื่อทำคะแนน; B) รอให้พวกเขาทำผิดพลาดต่อไป; C) บ่นเกี่ยวกับความผิดพลาด; D) ทำฟาล์วเพื่อให้เขาเสียคะแนน</t>
  </si>
  <si>
    <t>การใช้โอกาสเมื่อคู่ต่อสู้ทำผิดพลาดช่วยให้คุณได้เปรียบ.</t>
  </si>
  <si>
    <t>คุณต้องตัดสินใจระหว่างเสิร์ฟและรับลูกในเกมสำคัญ คุณจะทำอย่างไร?</t>
  </si>
  <si>
    <t>A) เสิร์ฟด้วยความมั่นใจ; B) รับลูกอย่างระมัดระวังและปลอดภัย; C) ขอให้คนอื่นเสิร์ฟแทน; D) หลีกเลี่ยงการเล่น</t>
  </si>
  <si>
    <t>A) เสิร์ฟด้วยความมั่นใจ</t>
  </si>
  <si>
    <t>การเสิร์ฟด้วยความมั่นใจจะช่วยให้คุณมีโอกาสชนะมากขึ้น.</t>
  </si>
  <si>
    <t>คุณเห็นเพื่อนร่วมทีมทำผิดพลาดบ่อยๆ คุณจะทำอย่างไร?</t>
  </si>
  <si>
    <t>A) พูดคุยเพื่อให้เขากลับมามีสมาธิ; B) ตำหนิเขาในที่สาธารณะ; C) ปล่อยให้เขาเล่นตามแบบของตัวเอง; D) ไม่ทำอะไร</t>
  </si>
  <si>
    <t>A) พูดคุยเพื่อให้เขากลับมามีสมาธิ</t>
  </si>
  <si>
    <t>การพูดคุยและให้คำแนะนำช่วยให้เพื่อนร่วมทีมสามารถกลับมามีสมาธิ.</t>
  </si>
  <si>
    <t>ในช่วงท้ายเกมคุณเห็นคู่ต่อสู้เริ่มเหนื่อย คุณจะทำอย่างไร?</t>
  </si>
  <si>
    <t>A) เพิ่มความกดดันและเล่นอย่างเต็มที่; B) เล่นตามแผนและไม่เร่งรีบ; C) หลีกเลี่ยงการเสี่ยง; D) รอจนกว่าพวกเขาจะทำผิดพลาด</t>
  </si>
  <si>
    <t>A) เพิ่มความกดดันและเล่นอย่างเต็มที่</t>
  </si>
  <si>
    <t>การเล่นอย่างเต็มที่ในช่วงท้ายจะช่วยให้คุณมีโอกาสชนะ.</t>
  </si>
  <si>
    <t>คุณรู้สึกว่าตัวเองเริ่มทำผิดพลาดบ่อยๆ คุณจะทำอย่างไร?</t>
  </si>
  <si>
    <t>A) หยุดพักและคิดใหม่; B) ฝืนเล่นต่อไปโดยไม่เปลี่ยนแปลงอะไร; C) บ่นเกี่ยวกับความผิดพลาด; D) ขอให้คนอื่นมาแทน</t>
  </si>
  <si>
    <t>A) หยุดพักและคิดใหม่</t>
  </si>
  <si>
    <t>การหยุดพักและคิดใหม่จะช่วยให้คุณสามารถกลับมาทำผลงานได้ดีขึ้น.</t>
  </si>
  <si>
    <t>ในระหว่างเกมคุณพบว่าเพื่อนร่วมทีมเล่นไม่ดี คุณจะทำอย่างไร?</t>
  </si>
  <si>
    <t>A) พูดคุยและช่วยให้เขาแก้ไขปัญหา; B) ตำหนิเขา; C) บ่นเกี่ยวกับข้อผิดพลาด; D) ปล่อยให้เขาทำตามใจ</t>
  </si>
  <si>
    <t>A) พูดคุยและช่วยให้เขาแก้ไขปัญหา</t>
  </si>
  <si>
    <t>การช่วยเหลือเพื่อนร่วมทีมช่วยให้ทีมทำผลงานได้ดีขึ้น.</t>
  </si>
  <si>
    <t>ทีมของคุณเสิร์ฟในช่วงสำคัญและคุณต้องตอบสนอง คุณจะทำอย่างไร?</t>
  </si>
  <si>
    <t>A) ตอบสนองด้วยความมั่นใจ; B) ตอบสนองอย่างระมัดระวัง; C) รอจนกว่าคู่ต่อสู้จะทำผิดพลาด; D) ปล่อยให้ลูกตก</t>
  </si>
  <si>
    <t>A) ตอบสนองด้วยความมั่นใจ</t>
  </si>
  <si>
    <t>การตอบสนองด้วยความมั่นใจช่วยให้คุณเล่นได้ดีในสถานการณ์สำคัญ.</t>
  </si>
  <si>
    <t>ในระหว่างเกมคุณเห็นคู่ต่อสู้เริ่มกดดันทีมของคุณ คุณจะทำอย่างไร?</t>
  </si>
  <si>
    <t>A) รักษาความสงบและเล่นตามแผน; B) ทำให้เกมช้าลงเพื่อกดดันพวกเขา; C) บ่นเกี่ยวกับความกดดัน; D) หลีกเลี่ยงการเล่น</t>
  </si>
  <si>
    <t>การรักษาความสงบช่วยให้คุณไม่ตกอยู่ในความกดดัน.</t>
  </si>
  <si>
    <t>คุณรู้สึกว่าคุณกำลังเล่นผิดพลาดมากเกินไป คุณจะทำอย่างไร?</t>
  </si>
  <si>
    <t>A) ปรับปรุงทักษะและความมั่นใจในการเล่น; B) บ่นเกี่ยวกับการเล่นของตัวเอง; C) หลีกเลี่ยงการเล่น; D) ยอมแพ้</t>
  </si>
  <si>
    <t>A) ปรับปรุงทักษะและความมั่นใจในการเล่น</t>
  </si>
  <si>
    <t>การปรับปรุงทักษะจะช่วยให้คุณเล่นได้ดีขึ้นในเกม.</t>
  </si>
  <si>
    <t>ในระหว่างการเล่น คุณรู้สึกว่าคู่ต่อสู้กำลังพยายามทำลายสมาธิของคุณ คุณจะทำอย่างไร?</t>
  </si>
  <si>
    <t>A) รักษาสมาธิและเล่นต่อไป; B) โต้กลับและทำให้เกมตึงเครียดขึ้น; C) หลีกเลี่ยงการเล่น; D) บ่นให้เพื่อนร่วมทีมฟัง</t>
  </si>
  <si>
    <t>A) รักษาสมาธิและเล่นต่อไป</t>
  </si>
  <si>
    <t>การรักษาสมาธิช่วยให้คุณสามารถทำงานร่วมกับทีมได้ดี.</t>
  </si>
  <si>
    <t>ในช่วงเกมสำคัญ คุณต้องทำการตัดสินใจที่รวดเร็ว คุณจะทำอย่างไร?</t>
  </si>
  <si>
    <t>A) ตัดสินใจอย่างมั่นใจและเล่นต่อ; B) ขอโอกาสในการพิจารณาก่อนตัดสินใจ; C) ปล่อยให้คนอื่นตัดสินใจแทน; D) หลีกเลี่ยงการตัดสินใจ</t>
  </si>
  <si>
    <t>A) ตัดสินใจอย่างมั่นใจและเล่นต่อ</t>
  </si>
  <si>
    <t>การตัดสินใจอย่างมั่นใจช่วยให้คุณเล่นได้อย่างมีประสิทธิภาพ.</t>
  </si>
  <si>
    <t>เพื่อนร่วมทีมของคุณขาดความมั่นใจ คุณจะทำอย่างไร?</t>
  </si>
  <si>
    <t>A) ให้กำลังใจและสนับสนุนเขา; B) ปล่อยให้เขาเล่นตามที่เขาต้องการ; C) ตำหนิเขาในที่สาธารณะ; D) หลีกเลี่ยงการพูดถึง</t>
  </si>
  <si>
    <t>A) ให้กำลังใจและสนับสนุนเขา</t>
  </si>
  <si>
    <t>การให้กำลังใจจะช่วยให้เพื่อนร่วมทีมสามารถฟื้นฟูความมั่นใจ.</t>
  </si>
  <si>
    <t>ในเกมสำคัญ คุณต้องรับลูกและคุณมีเวลาไม่นาน คุณจะทำอย่างไร?</t>
  </si>
  <si>
    <t>A) รับลูกอย่างรวดเร็วและแม่นยำ; B) ปล่อยให้ลูกตกและรอให้มันไปที่ผู้เล่นคนอื่น; C) ขอยอมแพ้; D) บ่นเกี่ยวกับสถานการณ์</t>
  </si>
  <si>
    <t>A) รับลูกอย่างรวดเร็วและแม่นยำ</t>
  </si>
  <si>
    <t>การรับลูกอย่างรวดเร็วและแม่นยำช่วยให้คุณไม่พลาดโอกาสในเกม.</t>
  </si>
  <si>
    <t>เกมกำลังเริ่มต้นและคุณรู้สึกตื่นเต้น คุณจะทำอย่างไร?</t>
  </si>
  <si>
    <t>A) พยายามทำตัวให้ผ่อนคลาย; B) ยอมรับความตื่นเต้นและใช้มันให้เป็นประโยชน์; C) หยุดเล่นและพัก; D) บ่นเกี่ยวกับความตื่นเต้น</t>
  </si>
  <si>
    <t>A) พยายามทำตัวให้ผ่อนคลาย</t>
  </si>
  <si>
    <t>การทำตัวให้ผ่อนคลายช่วยให้คุณโฟกัสในการเล่น.</t>
  </si>
  <si>
    <t>คู่ต่อสู้ของคุณพยายามใช้เทคนิคใหม่ๆ ที่คุณไม่เคยเห็นมาก่อน คุณจะทำอย่างไร?</t>
  </si>
  <si>
    <t>A) ศึกษาและลองรับมือกับมัน; B) บ่นเกี่ยวกับเทคนิคใหม่; C) หลีกเลี่ยงการเล่น; D) ขอให้กรรมการเข้ามาช่วย</t>
  </si>
  <si>
    <t>A) ศึกษาและลองรับมือกับมัน</t>
  </si>
  <si>
    <t>การศึกษาคู่ต่อสู้จะช่วยให้คุณรับมือได้ดีขึ้น.</t>
  </si>
  <si>
    <t>ในช่วงท้ายของเกมคุณรู้สึกว่าทีมของคุณเหนื่อย คุณจะทำอย่างไร?</t>
  </si>
  <si>
    <t>A) พยายามกระตุ้นเพื่อนร่วมทีม; B) ยอมแพ้และรอให้เกมจบ; C) หยุดเล่นและพัก; D) ขอลดความเร็วในเกม</t>
  </si>
  <si>
    <t>A) พยายามกระตุ้นเพื่อนร่วมทีม</t>
  </si>
  <si>
    <t>การกระตุ้นเพื่อนร่วมทีมช่วยให้ทีมฟื้นตัวและสามารถเล่นต่อได้.</t>
  </si>
  <si>
    <t>คุณต้องรับลูกที่ยากและไม่มั่นใจว่าจะทำได้ คุณจะทำอย่างไร?</t>
  </si>
  <si>
    <t>A) พยายามรับลูกอย่างมั่นใจ; B) หลีกเลี่ยงการรับลูก; C) ขอให้เพื่อนร่วมทีมรับลูกแทน; D) ปล่อยให้ลูกตก</t>
  </si>
  <si>
    <t>A) พยายามรับลูกอย่างมั่นใจ</t>
  </si>
  <si>
    <t>การรับลูกด้วยความมั่นใจจะช่วยให้คุณไม่พลาดโอกาส.</t>
  </si>
  <si>
    <t>คุณเห็นว่าคู่ต่อสู้พยายามทำให้คุณเสียสมาธิ คุณจะทำอย่างไร?</t>
  </si>
  <si>
    <t>A) รักษาสมาธิและเล่นตามแผน; B) โต้กลับและทำให้เกมตึงเครียดขึ้น; C) หลีกเลี่ยงการเล่น; D) บ่นให้เพื่อนร่วมทีมฟัง</t>
  </si>
  <si>
    <t>A) รักษาสมาธิและเล่นตามแผน</t>
  </si>
  <si>
    <t>การรักษาสมาธิช่วยให้คุณเล่นได้ดีขึ้นในสถานการณ์กดดัน.</t>
  </si>
  <si>
    <t>คุณเห็นทีมของคุณทำผิดพลาดซ้ำๆ คุณจะทำอย่างไร?</t>
  </si>
  <si>
    <t>A) ช่วยให้ทีมกลับมามีสมาธิ; B) ตำหนิทีม; C) หลีกเลี่ยงการเล่น; D) ยอมแพ้</t>
  </si>
  <si>
    <t>A) ช่วยให้ทีมกลับมามีสมาธิ</t>
  </si>
  <si>
    <t>การช่วยเพื่อนร่วมทีมกลับมาโฟกัสจะช่วยให้ทีมทำผลงานได้ดีขึ้น.</t>
  </si>
  <si>
    <t>คู่ต่อสู้กำลังใช้เทคนิคที่คุณไม่สามารถรับมือได้ คุณจะทำอย่างไร?</t>
  </si>
  <si>
    <t>A) ปรับเปลี่ยนแผนการเล่น; B) ยอมให้พวกเขาชนะ; C) รอให้พวกเขาทำผิดพลาด; D) หลีกเลี่ยงการเล่น</t>
  </si>
  <si>
    <t>A) ปรับเปลี่ยนแผนการเล่น</t>
  </si>
  <si>
    <t>การปรับแผนการเล่นจะช่วยให้คุณรับมือกับเทคนิคที่ใหม่หรือยาก.</t>
  </si>
  <si>
    <t>ในระหว่างเกมคุณสังเกตเห็นว่าคู่ต่อสู้เหนื่อย คุณจะทำอย่างไร?</t>
  </si>
  <si>
    <t>A) เพิ่มความกดดันและเร่งเกม; B) ลดความเร็วและรอให้พวกเขาทำผิดพลาด; C) หลีกเลี่ยงการเสี่ยง; D) รอให้เกมจบ</t>
  </si>
  <si>
    <t>A) เพิ่มความกดดันและเร่งเกม</t>
  </si>
  <si>
    <t>การเพิ่มความกดดันจะทำให้คู่ต่อสู้รู้สึกเหนื่อยและมีโอกาสทำผิดพลาด.</t>
  </si>
  <si>
    <t>คุณรู้สึกว่าเกมนี้สำคัญมากและคุณรู้สึกเครียด คุณจะทำอย่างไร?</t>
  </si>
  <si>
    <t>การหายใจลึกๆ ช่วยให้คุณสามารถควบคุมอารมณ์และเล่นได้ดี.</t>
  </si>
  <si>
    <t>คุณสังเกตเห็นว่าคู่ต่อสู้ทำฟาล์ว คุณจะทำอย่างไร?</t>
  </si>
  <si>
    <t>A) แจ้งกรรมการเพื่อให้มีการตัดสินใจ; B) ใช้ฟาล์วเพื่อประโยชน์ของคุณ; C) ปล่อยให้มันผ่านไป; D) บ่นเกี่ยวกับฟาล์ว</t>
  </si>
  <si>
    <t>A) แจ้งกรรมการเพื่อให้มีการตัดสินใจ</t>
  </si>
  <si>
    <t>การแจ้งกรรมการช่วยให้เกมเป็นไปอย่างยุติธรรม.</t>
  </si>
  <si>
    <t>ในเกมสำคัญ คุณต้องตัดสินใจที่จะเสิร์ฟ คุณจะทำอย่างไร?</t>
  </si>
  <si>
    <t>A) เสิร์ฟด้วยความมั่นใจและคิดอย่างรอบคอบ; B) เสิร์ฟโดยไม่คิดอะไรมาก; C) ขอให้คนอื่นเสิร์ฟแทน; D) หยุดเล่น</t>
  </si>
  <si>
    <t>A) เสิร์ฟด้วยความมั่นใจและคิดอย่างรอบคอบ</t>
  </si>
  <si>
    <t>ทีมของคุณกำลังตามหลังและต้องการคะแนนเพิ่ม คุณจะทำอย่างไร?</t>
  </si>
  <si>
    <t>A) มุ่งมั่นและพยายามทำคะแนนให้ได้มากที่สุด; B) ลดความเสี่ยงและรอคอยให้คู่ต่อสู้ทำผิดพลาด; C) หลีกเลี่ยงการเสี่ยง; D) ขอให้เกมจบเร็วๆ</t>
  </si>
  <si>
    <t>A) มุ่งมั่นและพยายามทำคะแนนให้ได้มากที่สุด</t>
  </si>
  <si>
    <t>การมุ่งมั่นในการทำคะแนนจะช่วยให้ทีมกลับมามีโอกาสชนะ.</t>
  </si>
  <si>
    <t>คุณเห็นเพื่อนร่วมทีมรู้สึกเครียดและไม่มั่นใจ คุณจะทำอย่างไร?</t>
  </si>
  <si>
    <t>A) ให้กำลังใจและสนับสนุนเขา; B) ปล่อยให้เขาเล่นตามที่เขาต้องการ; C) ตำหนิเขา; D) หลีกเลี่ยงการพูดถึง</t>
  </si>
  <si>
    <t>คุณรู้สึกว่าเกมนี้มันสำคัญมากและคุณมีความกดดัน คุณจะทำอย่างไร?</t>
  </si>
  <si>
    <t>A) รักษาความสงบและมุ่งมั่นเล่นต่อไป; B) รู้สึกท้อแท้และทำให้เกมตึงเครียดยิ่งขึ้น; C) หลีกเลี่ยงการเล่น; D) ขอพัก</t>
  </si>
  <si>
    <t>A) รักษาความสงบและมุ่งมั่นเล่นต่อไป</t>
  </si>
  <si>
    <t>การรักษาความสงบช่วยให้คุณทำงานร่วมกับทีมได้ดีขึ้น.</t>
  </si>
  <si>
    <t>ทีมของคุณทำคะแนนได้สำเร็จและคู่ต่อสู้เริ่มเครียด คุณจะทำอย่างไร?</t>
  </si>
  <si>
    <t>A) รักษาความกดดันและเพิ่มโอกาสในการทำคะแนน; B) หลีกเลี่ยงการเล่น; C) รอจนกว่าคู่ต่อสู้จะทำผิดพลาด; D) ขอลดความเร็ว</t>
  </si>
  <si>
    <t>A) รักษาความกดดันและเพิ่มโอกาสในการทำคะแนน</t>
  </si>
  <si>
    <t>การรักษาความกดดันช่วยให้คู่ต่อสู้รู้สึกเครียดและทำผิดพลาด.</t>
  </si>
  <si>
    <t>ในช่วงท้ายเกมคุณต้องการทำคะแนนสำคัญ คุณจะทำอย่างไร?</t>
  </si>
  <si>
    <t>A) ใช้ทักษะที่ดีที่สุดในการทำคะแนน; B) ทำตามแผนที่วางไว้; C) ขอลดความเสี่ยง; D) รอให้คู่ต่อสู้ทำผิดพลาด</t>
  </si>
  <si>
    <t>A) ใช้ทักษะที่ดีที่สุดในการทำคะแนน</t>
  </si>
  <si>
    <t>การใช้ทักษะจะช่วยให้คุณทำคะแนนได้สำเร็จในช่วงเวลาสำคัญ.</t>
  </si>
  <si>
    <t>ทีมของคุณเสียคะแนนไปหลายครั้ง คุณจะทำอย่างไร?</t>
  </si>
  <si>
    <t>A) พยายามกระตุ้นให้ทีมมีสมาธิและฟื้นฟูความมั่นใจ; B) ยอมแพ้และรอให้เกมจบ; C) หลีกเลี่ยงการเล่น; D) บ่นเกี่ยวกับสถานการณ์</t>
  </si>
  <si>
    <t>A) พยายามกระตุ้นให้ทีมมีสมาธิและฟื้นฟูความมั่นใจ</t>
  </si>
  <si>
    <t>ในระหว่างเกมคุณเห็นคู่ต่อสู้เริ่มทำผิดพลาดบ่อยๆ คุณจะทำอย่างไร?</t>
  </si>
  <si>
    <t>A) ใช้โอกาสนี้เพื่อทำคะแนน; B) รอให้พวกเขาทำผิดพลาดต่อไป; C) บ่นเกี่ยวกับข้อผิดพลาด; D) หลีกเลี่ยงการเล่น</t>
  </si>
  <si>
    <t>การใช้โอกาสเมื่อคู่ต่อสู้ทำผิดพลาดจะช่วยให้คุณพลิกเกม.</t>
  </si>
  <si>
    <t>คุณกำลังเล่นเกมสำคัญและรู้สึกเครียด คุณจะทำอย่างไร?</t>
  </si>
  <si>
    <t>A) หายใจลึกๆ และพยายามรักษาความสงบ; B) เสี่ยงและทำให้เกมตึงเครียดยิ่งขึ้น; C) หลีกเลี่ยงการเล่น; D) ขอพัก</t>
  </si>
  <si>
    <t>A) หายใจลึกๆ และพยายามรักษาความสงบ</t>
  </si>
  <si>
    <t>การหายใจลึกๆ ช่วยลดความเครียดและทำให้คุณมีสมาธิ.</t>
  </si>
  <si>
    <t>คุณเห็นเพื่อนร่วมทีมเสียสมาธิระหว่างเกม คุณจะทำอย่างไร?</t>
  </si>
  <si>
    <t>A) ช่วยเพื่อนร่วมทีมกลับมาโฟกัส; B) ตำหนิเขาในที่สาธารณะ; C) หลีกเลี่ยงการพูดถึงมัน; D) ปล่อยให้เขาเล่นเอง</t>
  </si>
  <si>
    <t>A) ช่วยเพื่อนร่วมทีมกลับมาโฟกัส</t>
  </si>
  <si>
    <t>การช่วยเพื่อนร่วมทีมโฟกัสใหม่จะช่วยให้ทีมทำผลงานได้ดีขึ้น.</t>
  </si>
  <si>
    <t>คุณเห็นว่าทีมของคุณเริ่มผิดพลาดบ่อยๆ คุณจะทำอย่างไร?</t>
  </si>
  <si>
    <t>A) ช่วยทีมกลับมามีสมาธิ; B) ตำหนิทีม; C) หลีกเลี่ยงการเล่น; D) ยอมแพ้</t>
  </si>
  <si>
    <t>A) ช่วยทีมกลับมามีสมาธิ</t>
  </si>
  <si>
    <t>การช่วยให้ทีมกลับมาโฟกัสจะทำให้ทีมสามารถเล่นได้ดีขึ้น.</t>
  </si>
  <si>
    <t>ในช่วงเวลาที่สำคัญ คุณรู้สึกว่าคู่ต่อสู้เริ่มกดดันคุณ คุณจะทำอย่างไร?</t>
  </si>
  <si>
    <t>A) รักษาความสงบและมุ่งมั่นเล่นต่อไป; B) ตอบโต้คู่ต่อสู้; C) หลีกเลี่ยงการเล่น; D) ขอลดความเร็ว</t>
  </si>
  <si>
    <t>การรักษาความสงบจะช่วยให้คุณรับมือกับความกดดันได้ดี.</t>
  </si>
  <si>
    <t>เกมกำลังอยู่ในสถานการณ์ที่สำคัญ และคุณต้องตัดสินใจส่งลูก คุณจะทำอย่างไร?</t>
  </si>
  <si>
    <t>A) ส่งลูกให้แม่นยำและระมัดระวัง; B) ส่งลูกโดยไม่คิดอะไรมาก; C) ขอให้เพื่อนร่วมทีมทำการส่งลูก; D) หลีกเลี่ยงการส่งลูก</t>
  </si>
  <si>
    <t>A) ส่งลูกให้แม่นยำและระมัดระวัง</t>
  </si>
  <si>
    <t>การส่งลูกด้วยความมั่นใจและระมัดระวังจะช่วยให้ทีมได้เปรียบ.</t>
  </si>
  <si>
    <t>คุณเห็นเพื่อนร่วมทีมกำลังเสียสมาธิ คุณจะทำอย่างไร?</t>
  </si>
  <si>
    <t>คุณเห็นคู่ต่อสู้ทำฟาล์ว แต่กรรมการไม่เห็น คุณจะทำอย่างไร?</t>
  </si>
  <si>
    <t>A) แจ้งกรรมการเกี่ยวกับฟาล์ว; B) ใช้ฟาล์วเพื่อประโยชน์ของคุณ; C) ปล่อยให้มันผ่านไป; D) หลีกเลี่ยงการพูดถึงฟาล์ว</t>
  </si>
  <si>
    <t>A) แจ้งกรรมการเกี่ยวกับฟาล์ว</t>
  </si>
  <si>
    <t>การแจ้งกรรมการทำให้เกมเป็นไปอย่างยุติธรรม.</t>
  </si>
  <si>
    <t>ในระหว่างการแข่งขัน คุณมีอาการเหนื่อยล้า คุณจะทำอย่างไร?</t>
  </si>
  <si>
    <t>A) พักสักครู่แล้วกลับมามีสมาธิ; B) ยอมแพ้และหยุดเล่น; C) บ่นเกี่ยวกับความเหนื่อย; D) รอให้เพื่อนร่วมทีมช่วย</t>
  </si>
  <si>
    <t>A) พักสักครู่แล้วกลับมามีสมาธิ</t>
  </si>
  <si>
    <t>การพักผ่อนช่วยฟื้นฟูพลังและทำให้สามารถเล่นได้ดีขึ้น.</t>
  </si>
  <si>
    <t>คู่ต่อสู้ของคุณกำลังใช้เทคนิคที่คุณไม่เคยเห็นมาก่อน คุณจะทำอย่างไร?</t>
  </si>
  <si>
    <t>A) ศึกษาและพยายามรับมือกับมัน; B) หลีกเลี่ยงการเล่น; C) บ่นเกี่ยวกับเทคนิคใหม่; D) ขอให้กรรมการเข้ามาช่วย</t>
  </si>
  <si>
    <t>A) ศึกษาและพยายามรับมือกับมัน</t>
  </si>
  <si>
    <t>การศึกษาคู่ต่อสู้ช่วยให้คุณพร้อมรับมือกับเทคนิคใหม่.</t>
  </si>
  <si>
    <t>ในช่วงท้ายของเกมคุณเห็นว่าเวลาใกล้หมด คุณจะทำอย่างไร?</t>
  </si>
  <si>
    <t>A) เร่งเกมเพื่อทำคะแนน; B) รอให้เกมจบเร็วๆ; C) หลีกเลี่ยงการเสี่ยง; D) บ่นเกี่ยวกับเวลาที่เหลือ</t>
  </si>
  <si>
    <t>A) เร่งเกมเพื่อทำคะแนน</t>
  </si>
  <si>
    <t>การเร่งเกมในช่วงเวลาสำคัญช่วยให้คุณมีโอกาสทำคะแนน.</t>
  </si>
  <si>
    <t>คุณเห็นเพื่อนร่วมทีมท้อแท้และไม่มั่นใจ คุณจะทำอย่างไร?</t>
  </si>
  <si>
    <t>การให้กำลังใจช่วยให้เพื่อนร่วมทีมสามารถฟื้นฟูความมั่นใจ.</t>
  </si>
  <si>
    <t>คุณกำลังจะเสิร์ฟลูกในเกมสำคัญ คุณจะทำอย่างไร?</t>
  </si>
  <si>
    <t>A) เสิร์ฟอย่างมั่นใจและระมัดระวัง; B) เสิร์ฟอย่างรีบเร่ง; C) ขอให้คนอื่นเสิร์ฟแทน; D) หลีกเลี่ยงการเสิร์ฟ</t>
  </si>
  <si>
    <t>A) เสิร์ฟอย่างมั่นใจและระมัดระวัง</t>
  </si>
  <si>
    <t>การเสิร์ฟอย่างมั่นใจและระมัดระวังจะช่วยให้คุณไม่พลาดโอกาสสำคัญ.</t>
  </si>
  <si>
    <t>คุณเห็นคู่ต่อสู้เริ่มทำผิดพลาดมากขึ้น คุณจะทำอย่างไร?</t>
  </si>
  <si>
    <t>A) ใช้โอกาสนี้เพื่อทำคะแนน; B) รอให้พวกเขาทำผิดพลาดเพิ่ม; C) หลีกเลี่ยงการเล่น; D) บ่นเกี่ยวกับข้อผิดพลาด</t>
  </si>
  <si>
    <t>การใช้โอกาสเมื่อคู่ต่อสู้ทำผิดพลาดช่วยให้คุณทำคะแนน.</t>
  </si>
  <si>
    <t>ในระหว่างการแข่งขัน คุณรู้สึกว่าทีมของคุณเริ่มเหนื่อย คุณจะทำอย่างไร?</t>
  </si>
  <si>
    <t>A) กระตุ้นให้ทีมมีสมาธิและกลับมามีพลัง; B) รอให้ทีมทำผิดพลาด; C) ลดความเสี่ยงในเกม; D) บ่นเกี่ยวกับความเหนื่อย</t>
  </si>
  <si>
    <t>A) กระตุ้นให้ทีมมีสมาธิและกลับมามีพลัง</t>
  </si>
  <si>
    <t>การกระตุ้นทีมจะช่วยฟื้นฟูพลังและทำให้ทีมมีสมาธิ.</t>
  </si>
  <si>
    <t>คุณเห็นว่าเกมนี้สำคัญมาก คุณจะทำอย่างไร?</t>
  </si>
  <si>
    <t>A) รักษาความสงบและโฟกัสที่เกม; B) รู้สึกเครียดและทำให้เกมตึงเครียดยิ่งขึ้น; C) หลีกเลี่ยงการเล่น; D) ขอพัก</t>
  </si>
  <si>
    <t>A) รักษาความสงบและโฟกัสที่เกม</t>
  </si>
  <si>
    <t>การรักษาความสงบช่วยให้คุณสามารถเล่นได้อย่างมีประสิทธิภาพ.</t>
  </si>
  <si>
    <t>ในขณะที่เล่นคุณพบว่าคู่ต่อสู้เริ่มใช้เทคนิคที่ซับซ้อน คุณจะทำอย่างไร?</t>
  </si>
  <si>
    <t>A) พยายามศึกษาหรือปรับตัวให้เข้ากับเทคนิค; B) ตอบโต้เทคนิคของพวกเขา; C) หลีกเลี่ยงการรับลูก; D) รอให้พวกเขาทำผิดพลาด</t>
  </si>
  <si>
    <t>A) พยายามศึกษาหรือปรับตัวให้เข้ากับเทคนิค</t>
  </si>
  <si>
    <t>การปรับตัวให้เข้ากับเทคนิคใหม่จะช่วยให้คุณรับมือได้ดี.</t>
  </si>
  <si>
    <t>เกมของคุณใกล้จะจบลงแล้ว และคุณต้องทำการรับลูกสำคัญ คุณจะทำอย่างไร?</t>
  </si>
  <si>
    <t>A) รับลูกให้มั่นใจและรอคอยโอกาส; B) เสี่ยงในการรับลูก; C) ปล่อยให้ลูกตก; D) ขอให้เพื่อนร่วมทีมรับลูกแทน</t>
  </si>
  <si>
    <t>A) รับลูกให้มั่นใจและรอคอยโอกาส</t>
  </si>
  <si>
    <t>การรับลูกอย่างมั่นใจจะช่วยให้ทีมมีโอกาสทำคะแนน.</t>
  </si>
  <si>
    <t>ทีมของคุณทำการโจมตีอย่างรวดเร็ว แต่คุณรู้สึกไม่มั่นใจเกี่ยวกับการทำคะแนน คุณจะทำอย่างไร?</t>
  </si>
  <si>
    <t>A) ยึดตามแผนการเล่นและพยายามทำคะแนนให้ได้; B) หลีกเลี่ยงการเสี่ยง; C) รอให้ทีมทำคะแนนแทน; D) บ่นเกี่ยวกับสถานการณ์</t>
  </si>
  <si>
    <t>A) ยึดตามแผนการเล่นและพยายามทำคะแนนให้ได้</t>
  </si>
  <si>
    <t>การทำตามแผนการเล่นจะช่วยให้ทีมมีโอกาสชนะ.</t>
  </si>
  <si>
    <t>คุณต้องการทำให้ทีมของคุณมีสมาธิในการเล่น คุณจะทำอย่างไร?</t>
  </si>
  <si>
    <t>A) กระตุ้นทีมให้โฟกัสและกลับมามีพลัง; B) หลีกเลี่ยงการพูดถึงมัน; C) ตำหนิทีมในที่สาธารณะ; D) ปล่อยให้ทีมทำตามที่พวกเขาต้องการ</t>
  </si>
  <si>
    <t>A) กระตุ้นทีมให้โฟกัสและกลับมามีพลัง</t>
  </si>
  <si>
    <t>การกระตุ้นทีมจะช่วยให้ทีมฟื้นตัวจากความผิดพลาด.</t>
  </si>
  <si>
    <t>คู่ต่อสู้กำลังทำคะแนนอย่างรวดเร็ว คุณจะทำอย่างไร?</t>
  </si>
  <si>
    <t>A) เพิ่มความกดดันและพยายามทำคะแนนกลับ; B) ลดความเสี่ยงและรอให้พวกเขาทำผิดพลาด; C) หลีกเลี่ยงการเล่น; D) ยอมให้พวกเขาทำคะแนน</t>
  </si>
  <si>
    <t>A) เพิ่มความกดดันและพยายามทำคะแนนกลับ</t>
  </si>
  <si>
    <t>การเพิ่มความกดดันช่วยให้คู่ต่อสู้รู้สึกเครียดและทำผิดพลาด.</t>
  </si>
  <si>
    <t>ในขณะที่เล่นคุณเห็นว่าเพื่อนร่วมทีมของคุณไม่ได้ตามเกม คุณจะทำอย่างไร?</t>
  </si>
  <si>
    <t>A) ให้กำลังใจและพยายามช่วยให้เขากลับมามีสมาธิ; B) ตำหนิเขา; C) ปล่อยให้เขาทำตามใจ; D) รอให้เขาทำผิดพลาด</t>
  </si>
  <si>
    <t>A) ให้กำลังใจและพยายามช่วยให้เขากลับมามีสมาธิ</t>
  </si>
  <si>
    <t>การให้กำลังใจช่วยฟื้นฟูความมั่นใจและทำให้เพื่อนร่วมทีมกลับมาโฟกัส.</t>
  </si>
  <si>
    <t>เกมของคุณกำลังอยู่ในช่วงเวลาสำคัญ และคุณต้องทำการเสิร์ฟ คุณจะทำอย่างไร?</t>
  </si>
  <si>
    <t>A) เสิร์ฟด้วยความมั่นใจและรักษาความสงบ; B) เสิร์ฟอย่างรีบเร่ง; C) ขอให้คนอื่นเสิร์ฟแทน; D) หลีกเลี่ยงการเสิร์ฟ</t>
  </si>
  <si>
    <t>A) เสิร์ฟด้วยความมั่นใจและรักษาความสงบ</t>
  </si>
  <si>
    <t>การเสิร์ฟด้วยความมั่นใจช่วยให้คุณเริ่มเกมได้ดี.</t>
  </si>
  <si>
    <t>คุณรู้สึกว่าคู่ต่อสู้ของคุณเริ่มมีความมั่นใจมากขึ้น คุณจะทำอย่างไร?</t>
  </si>
  <si>
    <t>A) เพิ่มความกดดันและพยายามทำคะแนนกลับ; B) ลดความเสี่ยงและหลีกเลี่ยงการเล่น; C) รอให้พวกเขาทำผิดพลาด; D) รู้สึกเครียด</t>
  </si>
  <si>
    <t>การเพิ่มความกดดันจะช่วยให้คู่ต่อสู้รู้สึกเครียดและทำผิดพลาด.</t>
  </si>
  <si>
    <t>ในระหว่างเกมคุณเห็นเพื่อนร่วมทีมเริ่มเหนื่อยล้า คุณจะทำอย่างไร?</t>
  </si>
  <si>
    <t>A) สนับสนุนและช่วยให้เขามีพลังใหม่; B) ปล่อยให้เขาพัก; C) บ่นเกี่ยวกับการเหนื่อย; D) รอให้เกมจบลง</t>
  </si>
  <si>
    <t>A) สนับสนุนและช่วยให้เขามีพลังใหม่</t>
  </si>
  <si>
    <t>การให้กำลังใจและสนับสนุนเพื่อนร่วมทีมช่วยให้พวกเขาฟื้นฟูพลัง.</t>
  </si>
  <si>
    <t>เกมกำลังเริ่มเข้มข้น คุณจะทำอย่างไรเพื่อให้ทีมของคุณมีสมาธิ?</t>
  </si>
  <si>
    <t>A) กระตุ้นให้ทีมโฟกัสและมีสมาธิ; B) ปล่อยให้ทีมเล่นตามสไตล์ของตัวเอง; C) หลีกเลี่ยงการเสี่ยง; D) บ่นเกี่ยวกับสถานการณ์</t>
  </si>
  <si>
    <t>A) กระตุ้นให้ทีมโฟกัสและมีสมาธิ</t>
  </si>
  <si>
    <t>การกระตุ้นทีมจะช่วยให้ทุกคนมีสมาธิและพร้อมในการแข่งขัน.</t>
  </si>
  <si>
    <t>ในขณะที่กำลังเล่นคุณรู้สึกว่าคุณเริ่มเล่นผิดพลาด คุณจะทำอย่างไร?</t>
  </si>
  <si>
    <t>A) หายใจลึกๆ และตั้งสมาธิใหม่; B) หยุดเล่นและขอพัก; C) บ่นเกี่ยวกับความผิดพลาด; D) รอให้เพื่อนร่วมทีมช่วย</t>
  </si>
  <si>
    <t>A) หายใจลึกๆ และตั้งสมาธิใหม่</t>
  </si>
  <si>
    <t>การหายใจลึกๆ ช่วยให้คุณสงบและกลับมามีสมาธิ.</t>
  </si>
  <si>
    <t>เมื่อคุณเห็นว่าเพื่อนร่วมทีมของคุณทำผิดพลาด คุณจะทำอย่างไร?</t>
  </si>
  <si>
    <t>A) ให้กำลังใจและช่วยให้เขามีสมาธิใหม่; B) ตำหนิเขาในที่สาธารณะ; C) หลีกเลี่ยงการพูดถึงมัน; D) ปล่อยให้เขาทำตามใจ</t>
  </si>
  <si>
    <t>A) ให้กำลังใจและช่วยให้เขามีสมาธิใหม่</t>
  </si>
  <si>
    <t>การให้กำลังใจช่วยให้เพื่อนร่วมทีมกลับมามีสมาธิ.</t>
  </si>
  <si>
    <t>ในช่วงท้ายของเกมคุณต้องรับลูกสำคัญ คุณจะทำอย่างไร?</t>
  </si>
  <si>
    <t>A) รับลูกด้วยความมั่นใจและระมัดระวัง; B) เสี่ยงในการรับลูก; C) ปล่อยให้ลูกตก; D) ขอให้คนอื่นรับลูกแทน</t>
  </si>
  <si>
    <t>A) รับลูกด้วยความมั่นใจและระมัดระวัง</t>
  </si>
  <si>
    <t>การรับลูกด้วยความมั่นใจช่วยให้ทีมมีโอกาสทำคะแนน.</t>
  </si>
  <si>
    <t>คุณเห็นว่าคู่ต่อสู้เริ่มผิดพลาด คุณจะทำอย่างไร?</t>
  </si>
  <si>
    <t>A) ใช้โอกาสนี้เพื่อทำคะแนน; B) รอให้พวกเขาทำผิดพลาดเพิ่ม; C) หลีกเลี่ยงการเสี่ยง; D) บ่นเกี่ยวกับข้อผิดพลาด</t>
  </si>
  <si>
    <t>การใช้โอกาสที่คู่ต่อสู้ทำผิดพลาดจะช่วยให้คุณทำคะแนน.</t>
  </si>
  <si>
    <t>เมื่อคู่ต่อสู้กำลังทำการโจมตีอย่างรวดเร็ว คุณจะทำอย่างไร?</t>
  </si>
  <si>
    <t>A) ปรับท่าทางและเตรียมตัวรับลูก; B) หลีกเลี่ยงการเล่น; C) บ่นเกี่ยวกับการโจมตีของพวกเขา; D) ขอให้เพื่อนร่วมทีมช่วย</t>
  </si>
  <si>
    <t>A) ปรับท่าทางและเตรียมตัวรับลูก</t>
  </si>
  <si>
    <t>การปรับท่าทางจะช่วยให้คุณรับลูกได้ดีขึ้น.</t>
  </si>
  <si>
    <t>คุณเห็นว่าเกมเริ่มมีความตึงเครียด คุณจะทำอย่างไร?</t>
  </si>
  <si>
    <t>A) รักษาความสงบและมุ่งมั่น; B) รู้สึกเครียดและทำให้เกมตึงเครียดยิ่งขึ้น; C) หลีกเลี่ยงการเล่น; D) ขอพัก</t>
  </si>
  <si>
    <t>A) รักษาความสงบและมุ่งมั่น</t>
  </si>
  <si>
    <t>การรักษาความสงบจะช่วยให้คุณไม่สูญเสียสมาธิ.</t>
  </si>
  <si>
    <t>คู่ต่อสู้ของคุณเริ่มใช้เทคนิคที่ไม่คุ้นเคย คุณจะทำอย่างไร?</t>
  </si>
  <si>
    <t>A) พยายามศึกษาและปรับตัวให้เข้ากับเทคนิคใหม่; B) หลีกเลี่ยงการเล่น; C) บ่นเกี่ยวกับเทคนิคใหม่; D) ขอให้กรรมการเข้ามาช่วย</t>
  </si>
  <si>
    <t>A) พยายามศึกษาและปรับตัวให้เข้ากับเทคนิคใหม่</t>
  </si>
  <si>
    <t>การศึกษาคู่ต่อสู้จะช่วยให้คุณรับมือกับเทคนิคใหม่ได้ดี.</t>
  </si>
  <si>
    <t>เมื่อทีมของคุณเริ่มทำผิดพลาด คุณจะทำอย่างไร?</t>
  </si>
  <si>
    <t>A) ช่วยให้ทีมกลับมามีสมาธิและโฟกัสใหม่; B) ตำหนิทีมในที่สาธารณะ; C) หลีกเลี่ยงการพูดถึงมัน; D) ยอมแพ้</t>
  </si>
  <si>
    <t>A) ช่วยให้ทีมกลับมามีสมาธิและโฟกัสใหม่</t>
  </si>
  <si>
    <t>การช่วยทีมฟื้นฟูสมาธิจะช่วยให้ทีมทำผลงานได้ดีขึ้น.</t>
  </si>
  <si>
    <t>ในช่วงเวลาสำคัญคุณรู้สึกไม่มั่นใจในการเล่น คุณจะทำอย่างไร?</t>
  </si>
  <si>
    <t>A) ตั้งสมาธิใหม่และเชื่อมั่นในตัวเอง; B) บ่นเกี่ยวกับความไม่มั่นใจ; C) หลีกเลี่ยงการเล่น; D) รอให้เพื่อนร่วมทีมช่วย</t>
  </si>
  <si>
    <t>A) ตั้งสมาธิใหม่และเชื่อมั่นในตัวเอง</t>
  </si>
  <si>
    <t>การตั้งสมาธิใหม่จะช่วยให้คุณเล่นได้ดีขึ้น.</t>
  </si>
  <si>
    <t>คุณเห็นว่าเพื่อนร่วมทีมเริ่มท้อแท้ คุณจะทำอย่างไร?</t>
  </si>
  <si>
    <t>A) ให้กำลังใจและช่วยให้เขากลับมามีสมาธิใหม่; B) ปล่อยให้เขาทำตามใจ; C) ตำหนิเขาในที่สาธารณะ; D) หลีกเลี่ยงการพูดถึงมัน</t>
  </si>
  <si>
    <t>A) ให้กำลังใจและช่วยให้เขากลับมามีสมาธิใหม่</t>
  </si>
  <si>
    <t>การให้กำลังใจช่วยให้เพื่อนร่วมทีมกลับมาโฟกัสและเล่นได้ดีขึ้น.</t>
  </si>
  <si>
    <t>เกมของคุณใกล้จะจบลงและคุณต้องทำการรับลูกสำคัญ คุณจะทำอย่างไร?</t>
  </si>
  <si>
    <t>การรับลูกสำคัญจะช่วยให้ทีมของคุณมีโอกาสทำคะแนน.</t>
  </si>
  <si>
    <t>คุณรู้สึกว่าทีมของคุณเริ่มทำผิดพลาดมากขึ้น คุณจะทำอย่างไร?</t>
  </si>
  <si>
    <t>A) ช่วยทีมกลับมาโฟกัสและตั้งสมาธิใหม่; B) ปล่อยให้ทีมทำตามใจ; C) หลีกเลี่ยงการพูดถึงมัน; D) ตำหนิทีม</t>
  </si>
  <si>
    <t>A) ช่วยทีมกลับมาโฟกัสและตั้งสมาธิใหม่</t>
  </si>
  <si>
    <t>การช่วยทีมโฟกัสใหม่จะทำให้ทีมมีโอกาสทำผลงานได้ดีขึ้น.</t>
  </si>
  <si>
    <t>คุณเห็นว่าเกมของคุณเริ่มมีความตึงเครียด คุณจะทำอย่างไร?</t>
  </si>
  <si>
    <t>ในระหว่างเกมคุณเห็นว่าทีมของคุณเริ่มเหนื่อย คุณจะทำอย่างไร?</t>
  </si>
  <si>
    <t>A) กระตุ้นให้ทีมมีสมาธิและฟื้นฟูพลัง; B) ปล่อยให้ทีมเล่นตามสไตล์ของตัวเอง; C) ลดความเสี่ยงในเกม; D) บ่นเกี่ยวกับความเหนื่อย</t>
  </si>
  <si>
    <t>A) กระตุ้นให้ทีมมีสมาธิและฟื้นฟูพลัง</t>
  </si>
  <si>
    <t>การกระตุ้นทีมจะช่วยให้ทุกคนกลับมามีพลังและสมาธิ.</t>
  </si>
  <si>
    <t>คุณเห็นคู่ต่อสู้เริ่มทำคะแนนอย่างรวดเร็ว คุณจะทำอย่างไร?</t>
  </si>
  <si>
    <t>A) เพิ่มความกดดันและพยายามทำคะแนนกลับ; B) หลีกเลี่ยงการเล่น; C) รอให้พวกเขาทำผิดพลาด; D) บ่นเกี่ยวกับสถานการณ์</t>
  </si>
  <si>
    <t>การเพิ่มความกดดันจะทำให้คู่ต่อสู้รู้สึกเครียดและอาจทำผิดพลาด.</t>
  </si>
  <si>
    <t>คุณต้องทำการเสิร์ฟในช่วงเวลาที่สำคัญ คุณจะทำอย่างไร?</t>
  </si>
  <si>
    <t>การเสิร์ฟด้วยความมั่นใจจะช่วยให้คุณเริ่มเกมได้ดีและรักษาผลลัพธ์.</t>
  </si>
  <si>
    <t>คุณเห็นเพื่อนร่วมทีมเริ่มท้อแท้หลังจากทำผิดพลาด คุณจะทำอย่างไร?</t>
  </si>
  <si>
    <t>A) ให้กำลังใจและพยายามช่วยให้เขากลับมามีสมาธิ; B) ปล่อยให้เขาทำตามใจ; C) ตำหนิเขาในที่สาธารณะ; D) หลีกเลี่ยงการพูดถึงมัน</t>
  </si>
  <si>
    <t>การให้กำลังใจช่วยให้เพื่อนร่วมทีมกลับมามีสมาธิและเล่นได้ดีขึ้น.</t>
  </si>
  <si>
    <t>ในระหว่างเกมคุณสังเกตเห็นคู่ต่อสู้เริ่มเล่นผิดพลาด คุณจะทำอย่างไร?</t>
  </si>
  <si>
    <t>A) ใช้โอกาสนี้เพื่อเพิ่มคะแนน; B) รอให้พวกเขาทำผิดพลาดมากขึ้น; C) หลีกเลี่ยงการเล่น; D) บ่นเกี่ยวกับข้อผิดพลาดของพวกเขา</t>
  </si>
  <si>
    <t>A) ใช้โอกาสนี้เพื่อเพิ่มคะแนน</t>
  </si>
  <si>
    <t>การใช้โอกาสที่คู่ต่อสู้ทำผิดพลาดจะช่วยให้ทีมของคุณสามารถทำคะแนนได้.</t>
  </si>
  <si>
    <t>ในเกมที่กำลังเข้มข้น คุณรู้สึกว่าคุณเริ่มเหนื่อย คุณจะทำอย่างไร?</t>
  </si>
  <si>
    <t>A) ขอให้เพื่อนร่วมทีมช่วยในช่วงเวลานี้; B) หยุดเล่นและขอพัก; C) ทำให้ตัวเองมีสมาธิและเล่นต่อไป; D) บ่นเกี่ยวกับความเหนื่อย</t>
  </si>
  <si>
    <t>A) ขอให้เพื่อนร่วมทีมช่วยในช่วงเวลานี้</t>
  </si>
  <si>
    <t>การขอความช่วยเหลือจากเพื่อนร่วมทีมจะช่วยให้ทีมสามารถทำผลงานได้ดีขึ้น.</t>
  </si>
  <si>
    <t>เกมกำลังจะจบและคะแนนยังคงเสมอกัน คุณจะทำอย่างไร?</t>
  </si>
  <si>
    <t>A) เสิร์ฟด้วยความมั่นใจและมุ่งมั่น; B) หลีกเลี่ยงการเสี่ยง; C) รอให้คู่ต่อสู้ทำผิดพลาด; D) ยอมแพ้</t>
  </si>
  <si>
    <t>A) เสิร์ฟด้วยความมั่นใจและมุ่งมั่น</t>
  </si>
  <si>
    <t>การเสิร์ฟอย่างมั่นใจช่วยให้คุณเริ่มต้นอย่างแข็งแกร่งในช่วงสุดท้ายของเกม.</t>
  </si>
  <si>
    <t>ทีมของคุณเริ่มทำคะแนนห่างจากคู่ต่อสู้ คุณจะทำอย่างไร?</t>
  </si>
  <si>
    <t>A) รักษาความสมดุลและไม่ประมาท; B) เล่นอย่างรีบร้อนเพื่อทำคะแนนเพิ่ม; C) หลีกเลี่ยงการเสี่ยง; D) บ่นเกี่ยวกับสถานการณ์</t>
  </si>
  <si>
    <t>A) รักษาความสมดุลและไม่ประมาท</t>
  </si>
  <si>
    <t>การรักษาความสมดุลในเกมจะช่วยให้คุณควบคุมสถานการณ์และรักษาความได้เปรียบ.</t>
  </si>
  <si>
    <t>เพื่อนร่วมทีมของคุณทำการเล่นผิดพลาดในช่วงสำคัญ คุณจะทำอย่างไร?</t>
  </si>
  <si>
    <t>A) ให้กำลังใจและช่วยให้เขามีสมาธิใหม่; B) ตำหนิเขาในที่สาธารณะ; C) หลีกเลี่ยงการพูดถึงมัน; D) ยอมแพ้</t>
  </si>
  <si>
    <t>การให้กำลังใจจะช่วยให้เพื่อนร่วมทีมสามารถกลับมามีสมาธิและเล่นได้ดีขึ้น.</t>
  </si>
  <si>
    <t>เมื่อคุณต้องการทำการโจมตีที่สำคัญ คุณจะทำอย่างไร?</t>
  </si>
  <si>
    <t>A) โจมตีด้วยความมั่นใจและระมัดระวัง; B) หลีกเลี่ยงการโจมตี; C) ขอโอกาสให้เพื่อนร่วมทีมโจมตีแทน; D) รีบทำการโจมตีโดยไม่คิด</t>
  </si>
  <si>
    <t>A) โจมตีด้วยความมั่นใจและระมัดระวัง</t>
  </si>
  <si>
    <t>การโจมตีด้วยความมั่นใจช่วยให้ทีมมีโอกาสทำคะแนน.</t>
  </si>
  <si>
    <t>เกมของคุณกำลังถูกกดดันจากคู่ต่อสู้ คุณจะทำอย่างไร?</t>
  </si>
  <si>
    <t>A) ควบคุมอารมณ์และพยายามทำเกมของตัวเอง; B) รู้สึกเครียดและเสียสมาธิ; C) หลีกเลี่ยงการเล่น; D) ตำหนิทีม</t>
  </si>
  <si>
    <t>A) ควบคุมอารมณ์และพยายามทำเกมของตัวเอง</t>
  </si>
  <si>
    <t>การควบคุมอารมณ์และไม่ให้สถานการณ์มีผลกระทบจะช่วยให้คุณทำเกมได้ดีขึ้น.</t>
  </si>
  <si>
    <t>คู่ต่อสู้ทำการโจมตีอย่างรวดเร็วและไม่สามารถคาดเดาได้ คุณจะทำอย่างไร?</t>
  </si>
  <si>
    <t>A) ปรับตัวและเตรียมพร้อมรับลูก; B) หลีกเลี่ยงการเล่น; C) รอให้เพื่อนร่วมทีมช่วย; D) บ่นเกี่ยวกับการโจมตี</t>
  </si>
  <si>
    <t>A) ปรับตัวและเตรียมพร้อมรับลูก</t>
  </si>
  <si>
    <t>การเตรียมตัวและปรับท่าทางจะช่วยให้คุณรับลูกได้ดีขึ้น.</t>
  </si>
  <si>
    <t>คุณเห็นเพื่อนร่วมทีมเริ่มเล่นไม่ดี คุณจะทำอย่างไร?</t>
  </si>
  <si>
    <t>คุณรู้สึกว่าเกมเริ่มเข้มข้นและคุณต้องรับลูกสำคัญ คุณจะทำอย่างไร?</t>
  </si>
  <si>
    <t>A) รับลูกด้วยความมั่นใจและระมัดระวัง; B) หลีกเลี่ยงการรับลูก; C) ขอให้คนอื่นรับลูกแทน; D) รีบรับลูกโดยไม่คิด</t>
  </si>
  <si>
    <t>การรับลูกอย่างมั่นใจช่วยให้คุณควบคุมเกมได้ดีขึ้น.</t>
  </si>
  <si>
    <t>ในขณะที่เล่นคุณเห็นคู่ต่อสู้เริ่มเล่นผิดพลาด คุณจะทำอย่างไร?</t>
  </si>
  <si>
    <t>A) ใช้โอกาสนี้เพื่อเพิ่มคะแนน; B) รอให้พวกเขาทำผิดพลาดมากขึ้น; C) หลีกเลี่ยงการเล่น; D) ตำหนิพวกเขา</t>
  </si>
  <si>
    <t>การใช้โอกาสที่คู่ต่อสู้ทำผิดพลาดจะช่วยให้ทีมทำคะแนนได้.</t>
  </si>
  <si>
    <t>คุณรู้สึกว่าเกมเริ่มท้าทายมากขึ้น คุณจะทำอย่างไร?</t>
  </si>
  <si>
    <t>A) รักษาความสงบและมุ่งมั่นในเกม; B) รู้สึกเครียดและทำให้เกมยากขึ้น; C) หลีกเลี่ยงการเล่น; D) ขอให้ทีมช่วย</t>
  </si>
  <si>
    <t>A) รักษาความสงบและมุ่งมั่นในเกม</t>
  </si>
  <si>
    <t>การรักษาความสงบจะช่วยให้คุณสามารถจัดการสถานการณ์ได้ดีขึ้น.</t>
  </si>
  <si>
    <t>ในระหว่างเกมคุณเห็นเพื่อนร่วมทีมเริ่มมีอาการเหนื่อย คุณจะทำอย่างไร?</t>
  </si>
  <si>
    <t>A) กระตุ้นให้เขาฟื้นฟูพลังและมีสมาธิใหม่; B) ปล่อยให้เขาพัก; C) บ่นเกี่ยวกับความเหนื่อย; D) รอให้เขาหยุดเล่น</t>
  </si>
  <si>
    <t>A) กระตุ้นให้เขาฟื้นฟูพลังและมีสมาธิใหม่</t>
  </si>
  <si>
    <t>การกระตุ้นให้เพื่อนร่วมทีมฟื้นฟูพลังช่วยให้เขากลับมาเล่นได้ดี.</t>
  </si>
  <si>
    <t>คุณเห็นคู่ต่อสู้เริ่มมีความมั่นใจมากขึ้น คุณจะทำอย่างไร?</t>
  </si>
  <si>
    <t>A) เพิ่มความกดดันและพยายามทำคะแนนกลับ; B) รู้สึกเครียดและไม่สามารถเล่นได้; C) หลีกเลี่ยงการเล่น; D) รอให้พวกเขาทำผิดพลาด</t>
  </si>
  <si>
    <t>คุณกำลังอยู่ในช่วงเวลาสำคัญของเกม คุณจะทำอย่างไร?</t>
  </si>
  <si>
    <t>A) รักษาความมั่นใจและมุ่งมั่น; B) รีบเล่นโดยไม่คิด; C) หลีกเลี่ยงการเสี่ยง; D) ขอยกเลิกการเล่น</t>
  </si>
  <si>
    <t>A) รักษาความมั่นใจและมุ่งมั่น</t>
  </si>
  <si>
    <t>การรักษาความมั่นใจจะช่วยให้คุณสามารถทำเกมได้ดีในช่วงเวลาสำคัญ.</t>
  </si>
  <si>
    <t>เมื่อคุณเห็นว่าทีมของคุณเริ่มทำผิดพลาด คุณจะทำอย่างไร?</t>
  </si>
  <si>
    <t>A) ช่วยให้ทีมกลับมามีสมาธิและโฟกัสใหม่; B) ปล่อยให้ทีมทำตามใจ; C) หลีกเลี่ยงการพูดถึงมัน; D) ยอมแพ้</t>
  </si>
  <si>
    <t>การช่วยทีมกลับมามีสมาธิจะช่วยให้ทีมสามารถฟื้นตัวจากความผิดพลาดได้.</t>
  </si>
  <si>
    <t>เมื่อคู่ต่อสู้ของคุณเริ่มทำการโจมตีอย่างหนัก คุณจะทำอย่างไร?</t>
  </si>
  <si>
    <t>A) ปรับท่าทางและเตรียมรับลูก; B) หลีกเลี่ยงการรับลูก; C) ขอโอกาสให้เพื่อนร่วมทีมช่วย; D) รีบตอบโต้กลับ</t>
  </si>
  <si>
    <t>A) ปรับท่าทางและเตรียมรับลูก</t>
  </si>
  <si>
    <t>การปรับท่าทางและเตรียมพร้อมจะช่วยให้คุณสามารถรับลูกได้.</t>
  </si>
  <si>
    <t>ในระหว่างการเล่นคุณเห็นคู่ต่อสู้เริ่มเล่นผิดพลาด คุณจะทำอย่างไร?</t>
  </si>
  <si>
    <t>A) ใช้โอกาสนี้เพื่อทำคะแนน; B) รอให้พวกเขาทำผิดพลาดมากขึ้น; C) หลีกเลี่ยงการเล่น; D) ตำหนิพวกเขา</t>
  </si>
  <si>
    <t>เมื่อคุณรู้สึกว่าคุณเริ่มเหนื่อยในระหว่างเกม คุณจะทำอย่างไร?</t>
  </si>
  <si>
    <t>การขอความช่วยเหลือจากเพื่อนร่วมทีมจะช่วยให้ทีมทำผลงานได้ดีขึ้น.</t>
  </si>
  <si>
    <t>คุณกำลังอยู่ในสถานการณ์ที่คะแนนเท่ากัน คุณจะทำอย่างไร?</t>
  </si>
  <si>
    <t>A) ควบคุมความเครียดและมุ่งมั่นทำคะแนน; B) รู้สึกกดดันและทำให้สถานการณ์ยากขึ้น; C) หลีกเลี่ยงการเล่น; D) บ่นเกี่ยวกับสถานการณ์</t>
  </si>
  <si>
    <t>A) ควบคุมความเครียดและมุ่งมั่นทำคะแนน</t>
  </si>
  <si>
    <t>การควบคุมความเครียดและมุ่งมั่นจะช่วยให้คุณทำเกมได้ดีในช่วงเวลาสำคัญ.</t>
  </si>
  <si>
    <t>คุณเห็นเพื่อนร่วมทีมเริ่มไม่มั่นใจในการเล่น คุณจะทำอย่างไร?</t>
  </si>
  <si>
    <t>A) ให้กำลังใจและช่วยเขากลับมามีสมาธิใหม่; B) ปล่อยให้เขาทำตามใจ; C) ตำหนิเขา; D) หลีกเลี่ยงการพูดถึงมัน</t>
  </si>
  <si>
    <t>A) ให้กำลังใจและช่วยเขากลับมามีสมาธิใหม่</t>
  </si>
  <si>
    <t>การให้กำลังใจจะช่วยให้เพื่อนร่วมทีมกลับมามีสมาธิและมั่นใจในการเล่น.</t>
  </si>
  <si>
    <t>ในระหว่างเกมคุณรู้สึกว่าคุณเริ่มทำผิดพลาดบ่อยครั้ง คุณจะทำอย่างไร?</t>
  </si>
  <si>
    <t>A) หยุดพักและทำสมาธิใหม่; B) รู้สึกเครียดและไม่สามารถเล่นต่อได้; C) ตำหนิตัวเอง; D) บ่นเกี่ยวกับความผิดพลาด</t>
  </si>
  <si>
    <t>A) หยุดพักและทำสมาธิใหม่</t>
  </si>
  <si>
    <t>การหยุดพักและทำสมาธิใหม่ช่วยให้คุณกลับมามีสมาธิในการเล่น.</t>
  </si>
  <si>
    <t>คู่ต่อสู้เริ่มโจมตีอย่างรวดเร็วและยากต่อการรับ คุณจะทำอย่างไร?</t>
  </si>
  <si>
    <t>A) ปรับท่าทางและเตรียมพร้อมรับลูก; B) หลีกเลี่ยงการรับลูก; C) ขอให้คนอื่นรับลูกแทน; D) บ่นเกี่ยวกับการโจมตี</t>
  </si>
  <si>
    <t>A) ปรับท่าทางและเตรียมพร้อมรับลูก</t>
  </si>
  <si>
    <t>การปรับท่าทางและเตรียมตัวจะช่วยให้คุณรับลูกได้ดีขึ้น.</t>
  </si>
  <si>
    <t>ทีมของคุณกำลังทำคะแนนห่างจากคู่ต่อสู้ คุณจะทำอย่างไร?</t>
  </si>
  <si>
    <t>A) รักษาความสมดุลและไม่ประมาท; B) รีบทำคะแนนเพิ่ม; C) หลีกเลี่ยงการเสี่ยง; D) บ่นเกี่ยวกับสถานการณ์</t>
  </si>
  <si>
    <t>การรักษาความสมดุลในเกมจะช่วยให้ทีมควบคุมสถานการณ์ได้ดีขึ้น.</t>
  </si>
  <si>
    <t>เมื่อคู่ต่อสู้เริ่มเล่นไม่ดี คุณจะทำอย่างไร?</t>
  </si>
  <si>
    <t>A) ใช้โอกาสนี้ทำคะแนน; B) รอให้พวกเขาทำผิดพลาดมากขึ้น; C) หลีกเลี่ยงการเล่น; D) ตำหนิพวกเขา</t>
  </si>
  <si>
    <t>A) ใช้โอกาสนี้ทำคะแนน</t>
  </si>
  <si>
    <t>การใช้โอกาสที่คู่ต่อสู้ทำผิดพลาดจะช่วยให้ทีมของคุณทำคะแนนได้.</t>
  </si>
  <si>
    <t>ทีมของคุณกำลังจะเริ่มเซตสุดท้าย คุณจะทำอย่างไร?</t>
  </si>
  <si>
    <t>A) เตรียมตัวให้พร้อมและโฟกัส; B) รู้สึกเครียดและทำให้เกมยากขึ้น; C) หลีกเลี่ยงการเล่น; D) บ่นเกี่ยวกับสถานการณ์</t>
  </si>
  <si>
    <t>A) เตรียมตัวให้พร้อมและโฟกัส</t>
  </si>
  <si>
    <t>การเตรียมตัวอย่างมีสมาธิจะช่วยให้คุณทำผลงานได้ดีที่สุดในเซตสุดท้าย.</t>
  </si>
  <si>
    <t>เมื่อคุณทำผิดพลาดในเกม คุณจะทำอย่างไร?</t>
  </si>
  <si>
    <t>A) กลับมามีสมาธิและพยายามใหม่; B) รู้สึกเครียดและไม่สามารถเล่นต่อได้; C) ตำหนิตัวเอง; D) หลีกเลี่ยงการพูดถึงมัน</t>
  </si>
  <si>
    <t>A) กลับมามีสมาธิและพยายามใหม่</t>
  </si>
  <si>
    <t>การมีสมาธิใหม่หลังจากผิดพลาดจะช่วยให้คุณทำเกมได้ดีขึ้น.</t>
  </si>
  <si>
    <t>เมื่อคุณต้องรับลูกในสถานการณ์สำคัญ คุณจะทำอย่างไร?</t>
  </si>
  <si>
    <t>A) รับลูกอย่างมั่นใจและระมัดระวัง; B) หลีกเลี่ยงการรับลูก; C) ขอให้คนอื่นรับลูกแทน; D) รีบรับลูกโดยไม่คิด</t>
  </si>
  <si>
    <t>A) รับลูกอย่างมั่นใจและระมัดระวัง</t>
  </si>
  <si>
    <t>การรับลูกอย่างมั่นใจช่วยให้คุณควบคุมเกมได้ดี.</t>
  </si>
  <si>
    <t>ในช่วงท้ายเกม คุณเห็นคู่ต่อสู้เริ่มมีความมั่นใจ คุณจะทำอย่างไร?</t>
  </si>
  <si>
    <t>A) เพิ่มความกดดันและพยายามทำคะแนนกลับ; B) รู้สึกเครียดและเสียสมาธิ; C) หลีกเลี่ยงการเล่น; D) รอให้พวกเขาทำผิดพลาด</t>
  </si>
  <si>
    <t>การเพิ่มความกดดันจะทำให้คู่ต่อสู้รู้สึกเครียดและทำผิดพลาด.</t>
  </si>
  <si>
    <t>เมื่อคุณมีโอกาสทำคะแนนในสถานการณ์สำคัญ คุณจะทำอย่างไร?</t>
  </si>
  <si>
    <t>A) ทำคะแนนด้วยความมั่นใจ; B) รู้สึกกดดันและไม่สามารถทำคะแนนได้; C) หลีกเลี่ยงการทำคะแนน; D) ขอให้เพื่อนร่วมทีมทำคะแนนแทน</t>
  </si>
  <si>
    <t>A) ทำคะแนนด้วยความมั่นใจ</t>
  </si>
  <si>
    <t>การทำคะแนนด้วยความมั่นใจจะช่วยให้ทีมสามารถชนะได้.</t>
  </si>
  <si>
    <t>ทีมของคุณเริ่มทำผิดพลาดอย่างต่อเนื่อง คุณจะทำอย่างไร?</t>
  </si>
  <si>
    <t>A) ช่วยทีมกลับมามีสมาธิและโฟกัสใหม่; B) ปล่อยให้ทีมทำตามใจ; C) หลีกเลี่ยงการพูดถึงมัน; D) บ่นเกี่ยวกับความผิดพลาด</t>
  </si>
  <si>
    <t>A) ช่วยทีมกลับมามีสมาธิและโฟกัสใหม่</t>
  </si>
  <si>
    <t>ในช่วงเวลาที่คุณรู้สึกกดดัน คุณจะทำอย่างไร?</t>
  </si>
  <si>
    <t>A) ควบคุมอารมณ์และทำเกมตามแผน; B) รู้สึกเครียดและไม่สามารถเล่นได้; C) หลีกเลี่ยงการเล่น; D) ตำหนิตัวเอง</t>
  </si>
  <si>
    <t>A) ควบคุมอารมณ์และทำเกมตามแผน</t>
  </si>
  <si>
    <t>การควบคุมอารมณ์จะช่วยให้คุณเล่นได้อย่างมีประสิทธิภาพ.</t>
  </si>
  <si>
    <t>เมื่อคู่ต่อสู้ทำการโจมตีอย่างหนัก คุณจะทำอย่างไร?</t>
  </si>
  <si>
    <t>A) ปรับท่าทางและเตรียมรับลูก; B) หลีกเลี่ยงการรับลูก; C) ขอให้คนอื่นรับลูกแทน; D) รีบตอบโต้กลับ</t>
  </si>
  <si>
    <t>การเตรียมพร้อมและปรับท่าทางจะช่วยให้คุณสามารถรับลูกได้.</t>
  </si>
  <si>
    <t>เพื่อนร่วมทีมของคุณเริ่มท้อแท้ คุณจะทำอย่างไร?</t>
  </si>
  <si>
    <t>A) ให้กำลังใจและช่วยให้เขากลับมามีสมาธิใหม่; B) ปล่อยให้เขาทำตามใจ; C) บ่นเกี่ยวกับสถานการณ์; D) รอให้เขาทำผิดพลาด</t>
  </si>
  <si>
    <t>คุณมีการโจมตีที่สำคัญในช่วงท้ายเกม คุณจะทำอย่างไร?</t>
  </si>
  <si>
    <t>A) โจมตีอย่างมั่นใจและระมัดระวัง; B) หลีกเลี่ยงการโจมตี; C) รีบทำการโจมตีโดยไม่คิด; D) ขอให้คนอื่นโจมตีแทน</t>
  </si>
  <si>
    <t>A) โจมตีอย่างมั่นใจและระมัดระวัง</t>
  </si>
  <si>
    <t>การโจมตีด้วยความมั่นใจจะช่วยให้ทีมมีโอกาสทำคะแนน.</t>
  </si>
  <si>
    <t>ในขณะที่คุณรู้สึกเหนื่อยและเกมยังคงเข้มข้น คุณจะทำอย่างไร?</t>
  </si>
  <si>
    <t>A) ขอให้เพื่อนร่วมทีมช่วยและฟื้นฟูพลัง; B) ทำต่อไปโดยไม่สนใจความเหนื่อย; C) หลีกเลี่ยงการเล่น; D) บ่นเกี่ยวกับความเหนื่อย</t>
  </si>
  <si>
    <t>A) ขอให้เพื่อนร่วมทีมช่วยและฟื้นฟูพลัง</t>
  </si>
  <si>
    <t>การขอความช่วยเหลือจากเพื่อนร่วมทีมจะช่วยให้คุณมีพลังในการเล่นต่อ.</t>
  </si>
  <si>
    <t>เมื่อทีมของคุณกำลังจะทำคะแนนที่สำคัญ คุณจะทำอย่างไร?</t>
  </si>
  <si>
    <t>A) เตรียมตัวให้พร้อมและมุ่งมั่นในทุกการเคลื่อนไหว; B) รีบทำคะแนนโดยไม่คิด; C) หลีกเลี่ยงการเล่น; D) รอให้ทีมทำคะแนน</t>
  </si>
  <si>
    <t>A) เตรียมตัวให้พร้อมและมุ่งมั่นในทุกการเคลื่อนไหว</t>
  </si>
  <si>
    <t>การเตรียมตัวอย่างมั่นใจจะช่วยให้ทีมทำคะแนนได้.</t>
  </si>
  <si>
    <t>คุณสังเกตเห็นว่าเพื่อนร่วมทีมในมวยไทยดูเหนื่อยล้า คุณจะทำอย่างไร?</t>
  </si>
  <si>
    <t>ขณะฝึกมวยไทย คุณสังเกตว่าวงกลมไม่เท่ากัน คุณจะทำอย่างไร?</t>
  </si>
  <si>
    <t>A) ปรับตำแหน่งของคุณทันที; B) เพิกเฉยและฝึกต่อ; C) แจ้งผู้ฝึกสอน; D) เดินออกจากวง</t>
  </si>
  <si>
    <t>การรักษาวงกลมให้สมดุลเป็นสิ่งสำคัญต่อความราบรื่นของการฝึก.</t>
  </si>
  <si>
    <t>เพื่อนร่วมทีมทำจังหวะพลาดในระหว่างการฝึก คุณจะทำอย่างไร?</t>
  </si>
  <si>
    <t>A) ช่วยเขาอย่างเงียบๆ; B) ตำหนิเขาดังๆ; C) ฝึกต่อไปตามปกติ; D) หยุดการฝึก</t>
  </si>
  <si>
    <t>คุณได้รับการบาดเจ็บระหว่างการฝึก คุณจะทำอย่างไร?</t>
  </si>
  <si>
    <t>A) พักและแจ้งผู้ฝึกสอน; B) ฝึกต่อไป; C) ขอให้เพื่อนช่วย; D) ออกจากสนาม</t>
  </si>
  <si>
    <t>A) พักและแจ้งผู้ฝึกสอน</t>
  </si>
  <si>
    <t>การให้ความสำคัญกับการบาดเจ็บช่วยป้องกันอาการบาดเจ็บที่รุนแรง.</t>
  </si>
  <si>
    <t>ในระหว่างการฝึกมวยไทย คุณรู้สึกว่าตัวเองกำลังเหนื่อยเกินไป คุณจะทำอย่างไร?</t>
  </si>
  <si>
    <t>A) ลดความเร็วในการฝึก; B) พักและดื่มน้ำ; C) ขอลาออกจากการฝึก; D) รักษาความเร็วและทำต่อไป</t>
  </si>
  <si>
    <t>B) พักและดื่มน้ำ</t>
  </si>
  <si>
    <t>การพักผ่อนและดื่มน้ำช่วยฟื้นฟูร่างกายได้ดี.</t>
  </si>
  <si>
    <t>คุณต้องเผชิญหน้ากับคู่แข่งที่มีทักษะสูง คุณจะทำอย่างไร?</t>
  </si>
  <si>
    <t>A) รักษาสถานการณ์และไม่หวาดกลัว; B) ขอลาออกจากการแข่ง; C) ปรับเทคนิคการต่อสู้; D) ใช้กำลังทั้งหมดในการโจมตี</t>
  </si>
  <si>
    <t>C) ปรับเทคนิคการต่อสู้</t>
  </si>
  <si>
    <t>การปรับเปลี่ยนเทคนิคให้เหมาะสมช่วยเพิ่มโอกาสในการชนะ.</t>
  </si>
  <si>
    <t>ผู้ฝึกสอนของคุณมีอารมณ์ไม่ดีในระหว่างการฝึก คุณจะทำอย่างไร?</t>
  </si>
  <si>
    <t>A) รอให้เขาหายโกรธ; B) พูดคุยกับเขาอย่างตรงไปตรงมา; C) ฝึกต่อไปอย่างเงียบๆ; D) ถามคำแนะนำจากเขา</t>
  </si>
  <si>
    <t>C) ฝึกต่อไปอย่างเงียบๆ</t>
  </si>
  <si>
    <t>การฝึกต่อไปช่วยให้ไม่เสียสมาธิ.</t>
  </si>
  <si>
    <t>เพื่อนร่วมทีมทำผิดในระหว่างการแข่งขัน คุณจะทำอย่างไร?</t>
  </si>
  <si>
    <t>A) ตำหนิเขาดังๆ; B) ช่วยเขาทันที; C) ละเลยและเล่นต่อ; D) หยุดการแข่งขัน</t>
  </si>
  <si>
    <t>B) ช่วยเขาทันที</t>
  </si>
  <si>
    <t>การช่วยเหลือเพื่อนร่วมทีมช่วยเพิ่มความสามัคคีในทีม.</t>
  </si>
  <si>
    <t>คู่แข่งทำท่าทางไม่สุภาพระหว่างการแข่ง คุณจะทำอย่างไร?</t>
  </si>
  <si>
    <t>A) ตอบโต้ท่าทางนั้น; B) ปล่อยให้เป็นไปตามธรรมชาติ; C) แจ้งผู้ตัดสิน; D) ใช้ท่าทางที่สุภาพเพื่อให้เขารู้สึกผิด</t>
  </si>
  <si>
    <t>B) ปล่อยให้เป็นไปตามธรรมชาติ</t>
  </si>
  <si>
    <t>การไม่ตอบโต้ช่วยรักษาความสงบ.</t>
  </si>
  <si>
    <t>ฝึกมวยไทยแล้วรู้สึกไม่มั่นใจ คุณจะทำอย่างไร?</t>
  </si>
  <si>
    <t>A) พยายามฝึกต่อไป; B) ขอคำแนะนำจากผู้ฝึกสอน; C) ขอลาออกจากการฝึก; D) หยุดฝึกไปเลย</t>
  </si>
  <si>
    <t>B) ขอคำแนะนำจากผู้ฝึกสอน</t>
  </si>
  <si>
    <t>คำแนะนำจากผู้ฝึกสอนช่วยเสริมความมั่นใจ.</t>
  </si>
  <si>
    <t>คู่แข่งใช้เทคนิคผิดกฎ คุณจะทำอย่างไร?</t>
  </si>
  <si>
    <t>A) แจ้งผู้ตัดสิน; B) ปล่อยให้เขาทำไป; C) โต้แย้งเขาในทันที; D) แจ้งเพื่อนร่วมทีม</t>
  </si>
  <si>
    <t>A) แจ้งผู้ตัดสิน</t>
  </si>
  <si>
    <t>การแจ้งผู้ตัดสินช่วยให้การแข่งขันเป็นไปตามกฎ.</t>
  </si>
  <si>
    <t>ในระหว่างการฝึก คุณรู้สึกว่าตัวเองยังไม่พร้อม คุณจะทำอย่างไร?</t>
  </si>
  <si>
    <t>A) พักและให้ร่างกายฟื้นฟู; B) ฝึกต่อไปโดยไม่สนใจความเหนื่อย; C) พูดคุยกับผู้ฝึกสอน; D) ออกจากสนาม</t>
  </si>
  <si>
    <t>A) พักและให้ร่างกายฟื้นฟู</t>
  </si>
  <si>
    <t>การพักฟื้นช่วยให้ร่างกายกลับมาแข็งแรง.</t>
  </si>
  <si>
    <t>คุณเห็นคู่แข่งมีการบาดเจ็บระหว่างการแข่งขัน คุณจะทำอย่างไร?</t>
  </si>
  <si>
    <t>A) ช่วยเหลือเขาทันที; B) แจ้งผู้ตัดสิน; C) เล่นต่อไปโดยไม่สนใจ; D) ขอโทษเขา</t>
  </si>
  <si>
    <t>B) แจ้งผู้ตัดสิน</t>
  </si>
  <si>
    <t>การแจ้งผู้ตัดสินให้ความสำคัญกับความปลอดภัยของผู้เล่น.</t>
  </si>
  <si>
    <t>ในการฝึกมวยไทย คุณรู้สึกว่าผลการแข่งขันไม่เป็นธรรม คุณจะทำอย่างไร?</t>
  </si>
  <si>
    <t>A) โต้แย้งผู้ตัดสิน; B) ยอมรับผลการแข่งขัน; C) หาคำแนะนำจากผู้ฝึกสอน; D) หลีกเลี่ยงการแข่งขันในครั้งหน้า</t>
  </si>
  <si>
    <t>B) ยอมรับผลการแข่งขัน</t>
  </si>
  <si>
    <t>การยอมรับผลการแข่งขันช่วยให้เรียนรู้จากประสบการณ์.</t>
  </si>
  <si>
    <t>คู่แข่งดูเหมือนจะมีจิตใจอ่อนแอ คุณจะทำอย่างไร?</t>
  </si>
  <si>
    <t>A) ใช้จังหวะโจมตีอย่างหนัก; B) สู้ด้วยเทคนิคที่ดีกว่า; C) ลดความเข้มข้นของการโจมตี; D) แสดงการยอมรับในคู่แข่ง</t>
  </si>
  <si>
    <t>B) สู้ด้วยเทคนิคที่ดีกว่า</t>
  </si>
  <si>
    <t>การใช้เทคนิคช่วยให้ได้เปรียบในการแข่งขัน.</t>
  </si>
  <si>
    <t>ผู้ฝึกสอนของคุณขอให้คุณฝึกท่าที่คุณไม่ถนัด คุณจะทำอย่างไร?</t>
  </si>
  <si>
    <t>A) ฝึกไปตามคำแนะนำ; B) บอกผู้ฝึกสอนว่าคุณไม่ทำได้; C) หลีกเลี่ยงการฝึกท่าดังกล่าว; D) ฝึกแต่ในเวลาส่วนตัว</t>
  </si>
  <si>
    <t>A) ฝึกไปตามคำแนะนำ</t>
  </si>
  <si>
    <t>การฝึกฝนทุกท่าจะช่วยพัฒนาทักษะโดยรวม.</t>
  </si>
  <si>
    <t>คุณทำให้คู่แข่งล้มลงในระหว่างการแข่งขัน คุณจะทำอย่างไร?</t>
  </si>
  <si>
    <t>A) เฉลิมฉลองอย่างเกินเลย; B) ช่วยเขาขึ้นมา; C) รอให้เขาฟื้นตัวเอง; D) ออกจากสนาม</t>
  </si>
  <si>
    <t>B) ช่วยเขาขึ้นมา</t>
  </si>
  <si>
    <t>การแสดงน้ำใจในการแข่งขันช่วยส่งเสริมการเล่นที่เป็นธรรม.</t>
  </si>
  <si>
    <t>คุณรู้สึกว่าผู้ฝึกสอนไม่พอใจกับผลงานของคุณ คุณจะทำอย่างไร?</t>
  </si>
  <si>
    <t>A) พยายามฝึกหนักขึ้น; B) คุยกับเขาเกี่ยวกับการพัฒนา; C) เลิกฝึกไปเลย; D) สังเกตสิ่งที่ผู้ฝึกสอนทำ</t>
  </si>
  <si>
    <t>B) คุยกับเขาเกี่ยวกับการพัฒนา</t>
  </si>
  <si>
    <t>การพูดคุยเพื่อพัฒนาเป็นวิธีที่ดีที่สุด.</t>
  </si>
  <si>
    <t>ในระหว่างการฝึก คุณรู้สึกว่าผู้ฝึกสอนให้คำแนะนำที่ไม่เหมาะสม คุณจะทำอย่างไร?</t>
  </si>
  <si>
    <t>A) โต้แย้งคำแนะนำ; B) ปรับคำแนะนำให้เข้ากับตัวเอง; C) ละเลยคำแนะนำ; D) ถามคำแนะนำจากเพื่อนร่วมทีม</t>
  </si>
  <si>
    <t>B) ปรับคำแนะนำให้เข้ากับตัวเอง</t>
  </si>
  <si>
    <t>การปรับตัวช่วยให้ฝึกได้ดียิ่งขึ้น.</t>
  </si>
  <si>
    <t>เพื่อนร่วมทีมขัดขวางการฝึก คุณจะทำอย่างไร?</t>
  </si>
  <si>
    <t>A) คุยกับเขาอย่างใจเย็น; B) บอกผู้ฝึกสอน; C) ข้ามการฝึกไป; D) ร่วมมือกับเขา</t>
  </si>
  <si>
    <t>A) คุยกับเขาอย่างใจเย็น</t>
  </si>
  <si>
    <t>การคุยด้วยเหตุผลช่วยแก้ปัญหาที่เกิดขึ้น.</t>
  </si>
  <si>
    <t>คู่แข่งทำท่าทางยั่วยุระหว่างการแข่งขัน คุณจะทำอย่างไร?</t>
  </si>
  <si>
    <t>A) โต้ตอบท่าทางนั้น; B) ฝึกสงบและไม่ตอบโต้; C) แจ้งผู้ตัดสิน; D) ละเลยและโฟกัสที่การแข่งขัน</t>
  </si>
  <si>
    <t>B) ฝึกสงบและไม่ตอบโต้</t>
  </si>
  <si>
    <t>การไม่ตอบโต้ท่าทางยั่วยุช่วยรักษาความสงบ.</t>
  </si>
  <si>
    <t>การฝึกมวยไทยของคุณยังไม่ดีพอ คุณจะทำอย่างไร?</t>
  </si>
  <si>
    <t>A) ฝึกต่อไปด้วยความมุ่งมั่น; B) ละเลยและยอมแพ้; C) หาคำแนะนำจากผู้ฝึกสอน; D) เลิกฝึกไปเลย</t>
  </si>
  <si>
    <t>C) หาคำแนะนำจากผู้ฝึกสอน</t>
  </si>
  <si>
    <t>คำแนะนำจากผู้ฝึกสอนช่วยพัฒนา.</t>
  </si>
  <si>
    <t>คุณกำลังแข่งขันในรอบสุดท้าย คุณรู้สึกกดดัน คุณจะทำอย่างไร?</t>
  </si>
  <si>
    <t>A) ควบคุมจิตใจและโฟกัสที่การแข่งขัน; B) ตัดสินใจทำทุกอย่างเพื่อชัยชนะ; C) หยุดการแข่งขัน; D) พยายามทำให้ตัวเองรู้สึกดีขึ้น</t>
  </si>
  <si>
    <t>A) ควบคุมจิตใจและโฟกัสที่การแข่งขัน</t>
  </si>
  <si>
    <t>การควบคุมจิตใจทำให้คุณสามารถทำผลงานได้ดีที่สุด.</t>
  </si>
  <si>
    <t>คุณเห็นคู่แข่งใช้เทคนิคที่เสี่ยง คุณจะทำอย่างไร?</t>
  </si>
  <si>
    <t>A) ใช้เทคนิคที่ดีกว่าในการตอบโต้; B) รอให้เขาทำผิดพลาด; C) แจ้งผู้ตัดสิน; D) สังเกตเขาต่อไป</t>
  </si>
  <si>
    <t>การใช้เทคนิคที่ดีกว่าจะช่วยให้ได้เปรียบ.</t>
  </si>
  <si>
    <t>ในระหว่างการฝึก คุณรู้สึกขาดสมาธิ คุณจะทำอย่างไร?</t>
  </si>
  <si>
    <t>A) พักสั้นๆ เพื่อฟื้นฟูสมาธิ; B) ฝึกต่อไปโดยไม่คิดอะไร; C) พูดคุยกับเพื่อนร่วมทีม; D) หยุดฝึกทันที</t>
  </si>
  <si>
    <t>A) พักสั้นๆ เพื่อฟื้นฟูสมาธิ</t>
  </si>
  <si>
    <t>การพักฟื้นช่วยเพิ่มสมาธิในการฝึก.</t>
  </si>
  <si>
    <t>ฝึกมวยไทยกับคู่ฝึกที่แข็งแกร่งกว่า คุณจะทำอย่างไร?</t>
  </si>
  <si>
    <t>A) ปรับเปลี่ยนเทคนิคให้เหมาะสม; B) ทำให้เขารู้สึกว่าคุณไม่กลัว; C) หลีกเลี่ยงการฝึกกับเขา; D) ฝึกหนักขึ้น</t>
  </si>
  <si>
    <t>A) ปรับเปลี่ยนเทคนิคให้เหมาะสม</t>
  </si>
  <si>
    <t>การปรับเทคนิคทำให้คุณสามารถรับมือกับคู่แข่งที่แข็งแกร่งกว่า.</t>
  </si>
  <si>
    <t>ในระหว่างการแข่งขัน คุณรู้สึกว่าคู่แข่งมีความได้เปรียบ คุณจะทำอย่างไร?</t>
  </si>
  <si>
    <t>A) สู้ต่อไปอย่างมั่นใจ; B) เลิกแข่ง; C) บอกผู้ตัดสินให้ยุติการแข่งขัน; D) รักษาความสงบและรอจังหวะ</t>
  </si>
  <si>
    <t>D) รักษาความสงบและรอจังหวะ</t>
  </si>
  <si>
    <t>การรักษาความสงบช่วยให้คุณสามารถฟื้นตัวและมีสมาธิ.</t>
  </si>
  <si>
    <t>คุณรู้สึกว่าผู้ฝึกสอนไม่พอใจในตัวคุณ คุณจะทำอย่างไร?</t>
  </si>
  <si>
    <t>A) พยายามฝึกให้ดีขึ้น; B) ถามเขาเกี่ยวกับการปรับปรุงตัวเอง; C) หลีกเลี่ยงการฝึกกับเขา; D) หยุดฝึกไปเลย</t>
  </si>
  <si>
    <t>B) ถามเขาเกี่ยวกับการปรับปรุงตัวเอง</t>
  </si>
  <si>
    <t>การพูดคุยเกี่ยวกับการปรับปรุงจะช่วยให้คุณพัฒนาได้ดีขึ้น.</t>
  </si>
  <si>
    <t>เพื่อนร่วมทีมทำตัวไม่เหมาะสมในระหว่างการฝึก คุณจะทำอย่างไร?</t>
  </si>
  <si>
    <t>A) บอกเขาอย่างสุภาพ; B) ละเลยการกระทำของเขา; C) รายงานผู้ฝึกสอน; D) ปล่อยให้เขาทำต่อไป</t>
  </si>
  <si>
    <t>A) บอกเขาอย่างสุภาพ</t>
  </si>
  <si>
    <t>การพูดคุยด้วยความสุภาพช่วยแก้ปัญหาได้ดีกว่า.</t>
  </si>
  <si>
    <t>ในระหว่างการแข่งขันมวยไทย คุณรู้สึกว่าคู่แข่งเริ่มล้าหลัง คุณจะทำอย่างไร?</t>
  </si>
  <si>
    <t>A) ใช้โอกาสนี้โจมตีหนัก; B) รักษาระยะห่างและสังเกตจังหวะ; C) หยุดโจมตีและให้เขาฟื้นตัว; D) สังเกตการเคลื่อนไหวของเขา</t>
  </si>
  <si>
    <t>B) รักษาระยะห่างและสังเกตจังหวะ</t>
  </si>
  <si>
    <t>การรักษาระยะห่างช่วยให้คุณสามารถควบคุมเกมได้.</t>
  </si>
  <si>
    <t>ในระหว่างการฝึก คุณรู้สึกว่าคู่ฝึกไม่พร้อม คุณจะทำอย่างไร?</t>
  </si>
  <si>
    <t>A) ปรับการฝึกให้เหมาะสมกับเขา; B) บอกเขาให้พยายามมากขึ้น; C) ฝึกไปตามปกติ; D) เปลี่ยนคู่ฝึกทันที</t>
  </si>
  <si>
    <t>A) ปรับการฝึกให้เหมาะสมกับเขา</t>
  </si>
  <si>
    <t>การปรับการฝึกช่วยให้คู่ฝึกสามารถพัฒนาทักษะได้ดีขึ้น.</t>
  </si>
  <si>
    <t>ผู้ฝึกสอนสั่งให้คุณฝึกท่าที่ไม่ถนัด คุณจะทำอย่างไร?</t>
  </si>
  <si>
    <t>A) ยอมรับและพยายามฝึกให้ดีขึ้น; B) ปฏิเสธคำสั่ง; C) ขอฝึกท่าอื่นที่ถนัดกว่า; D) เลือกฝึกแค่ท่าที่ถนัด</t>
  </si>
  <si>
    <t>A) ยอมรับและพยายามฝึกให้ดีขึ้น</t>
  </si>
  <si>
    <t>การยอมรับท่าที่ไม่ถนัดช่วยพัฒนาทักษะในระยะยาว.</t>
  </si>
  <si>
    <t>ระหว่างการแข่งขัน คุณรู้สึกว่าผู้ตัดสินทำการตัดสินที่ผิด คุณจะทำอย่างไร?</t>
  </si>
  <si>
    <t>A) แจ้งผู้ตัดสินทันที; B) ยอมรับการตัดสินและเล่นต่อ; C) โต้แย้งการตัดสิน; D) แจ้งเพื่อนร่วมทีม</t>
  </si>
  <si>
    <t>B) ยอมรับการตัดสินและเล่นต่อ</t>
  </si>
  <si>
    <t>การยอมรับการตัดสินช่วยรักษาความสงบและโฟกัสที่การแข่งขัน.</t>
  </si>
  <si>
    <t>คุณพบว่าคู่แข่งใช้เทคนิคที่ไม่ถูกต้องในระหว่างการแข่งขัน คุณจะทำอย่างไร?</t>
  </si>
  <si>
    <t>A) แจ้งผู้ตัดสินทันที; B) บอกคู่แข่งให้หยุด; C) ใช้เทคนิคที่ถูกต้องในการแข่งขัน; D) เพิกเฉยและเล่นต่อไป</t>
  </si>
  <si>
    <t>A) แจ้งผู้ตัดสินทันที</t>
  </si>
  <si>
    <t>ผู้ฝึกสอนของคุณดูเหมือนจะไม่พอใจกับการฝึกของคุณ คุณจะทำอย่างไร?</t>
  </si>
  <si>
    <t>A) ขอคำแนะนำจากผู้ฝึกสอน; B) ปฏิเสธคำแนะนำ; C) หยุดฝึก; D) ฝึกต่อไปอย่างเงียบๆ</t>
  </si>
  <si>
    <t>การขอคำแนะนำช่วยให้คุณพัฒนาตัวเองได้.</t>
  </si>
  <si>
    <t>ในระหว่างการแข่งขัน คุณเห็นคู่แข่งทำท่าทางยั่วยุ คุณจะทำอย่างไร?</t>
  </si>
  <si>
    <t>A) โต้ตอบกลับด้วยท่าทาง; B) มุ่งมั่นในการแข่งขันและไม่สนใจ; C) แจ้งผู้ตัดสินเกี่ยวกับการกระทำ; D) ปล่อยให้เขาทำไป</t>
  </si>
  <si>
    <t>B) มุ่งมั่นในการแข่งขันและไม่สนใจ</t>
  </si>
  <si>
    <t>การไม่ตอบโต้ช่วยให้คุณสามารถรักษาความสงบ.</t>
  </si>
  <si>
    <t>ระหว่างการฝึก คุณรู้สึกว่าคุณไม่สามารถทำท่าได้ดี คุณจะทำอย่างไร?</t>
  </si>
  <si>
    <t>A) พักและฝึกใหม่ในครั้งหน้า; B) ขอคำแนะนำจากผู้ฝึกสอน; C) ละทิ้งการฝึกท่านั้น; D) หยุดฝึกทันที</t>
  </si>
  <si>
    <t>การขอคำแนะนำช่วยให้คุณพัฒนาทักษะ.</t>
  </si>
  <si>
    <t>A) เพิ่มความเข้มข้นในการโจมตี; B) ปรับกลยุทธ์การต่อสู้; C) รอให้คู่แข่งทำผิดพลาด; D) ละทิ้งการแข่งขัน</t>
  </si>
  <si>
    <t>B) ปรับกลยุทธ์การต่อสู้</t>
  </si>
  <si>
    <t>การปรับกลยุทธ์ช่วยให้คุณสามารถควบคุมสถานการณ์ได้.</t>
  </si>
  <si>
    <t>คุณได้รับบาดเจ็บระหว่างการฝึก คุณจะทำอย่างไร?</t>
  </si>
  <si>
    <t>A) พักและแจ้งผู้ฝึกสอน; B) ฝึกต่อไป; C) ขอให้เพื่อนช่วย; D) ลุกขึ้นและเล่นต่อ</t>
  </si>
  <si>
    <t>การแจ้งผู้ฝึกสอนเกี่ยวกับการบาดเจ็บช่วยป้องกันอาการบาดเจ็บที่รุนแรง.</t>
  </si>
  <si>
    <t>ในระหว่างการฝึก คุณรู้สึกท้อแท้ คุณจะทำอย่างไร?</t>
  </si>
  <si>
    <t>A) พักและคิดใหม่; B) หยุดฝึก; C) ขอคำแนะนำจากผู้ฝึกสอน; D) ฝึกต่อไปโดยไม่สนใจความท้อแท้</t>
  </si>
  <si>
    <t>C) ขอคำแนะนำจากผู้ฝึกสอน</t>
  </si>
  <si>
    <t>การขอคำแนะนำช่วยเพิ่มกำลังใจในการฝึก.</t>
  </si>
  <si>
    <t>คุณเห็นเพื่อนร่วมทีมทำผิดในระหว่างการแข่งขัน คุณจะทำอย่างไร?</t>
  </si>
  <si>
    <t>A) ตำหนิเขาดังๆ; B) ช่วยเขาและให้กำลังใจ; C) เล่นต่อไปโดยไม่สนใจ; D) หยุดการแข่งขัน</t>
  </si>
  <si>
    <t>B) ช่วยเขาและให้กำลังใจ</t>
  </si>
  <si>
    <t>การช่วยเพื่อนร่วมทีมช่วยให้ทีมแข็งแกร่งขึ้น.</t>
  </si>
  <si>
    <t>คุณรู้สึกว่าคู่แข่งใช้กลยุทธ์ที่คุณไม่เข้าใจ คุณจะทำอย่างไร?</t>
  </si>
  <si>
    <t>A) สังเกตการเคลื่อนไหวของเขาและปรับกลยุทธ์; B) ขอคำแนะนำจากผู้ฝึกสอน; C) พยายามใช้กลยุทธ์ของตัวเอง; D) ปล่อยให้คู่แข่งทำไป</t>
  </si>
  <si>
    <t>A) สังเกตการเคลื่อนไหวของเขาและปรับกลยุทธ์</t>
  </si>
  <si>
    <t>การปรับกลยุทธ์ช่วยให้คุณตอบสนองได้ดียิ่งขึ้น.</t>
  </si>
  <si>
    <t>ในระหว่างการแข่งขัน คุณรู้สึกเหนื่อยและไม่มีแรง คุณจะทำอย่างไร?</t>
  </si>
  <si>
    <t>A) ลดความเข้มข้นของการต่อสู้; B) พักสั้นๆ และดื่มน้ำ; C) เลิกแข่งขัน; D) รักษาจังหวะและฝึกต่อ</t>
  </si>
  <si>
    <t>B) พักสั้นๆ และดื่มน้ำ</t>
  </si>
  <si>
    <t>การพักสั้นๆ ช่วยให้ร่างกายฟื้นฟู.</t>
  </si>
  <si>
    <t>ผู้ฝึกสอนของคุณสังเกตเห็นว่าคุณทำท่าผิด คุณจะทำอย่างไร?</t>
  </si>
  <si>
    <t>A) ปฏิเสธการรับคำแนะนำ; B) รับคำแนะนำและพยายามปรับปรุง; C) หลีกเลี่ยงการฝึก; D) สงสัยในคำแนะนำ</t>
  </si>
  <si>
    <t>B) รับคำแนะนำและพยายามปรับปรุง</t>
  </si>
  <si>
    <t>การรับคำแนะนำและพยายามปรับปรุงทำให้คุณพัฒนาขึ้น.</t>
  </si>
  <si>
    <t>คุณรู้สึกว่าคู่แข่งในสนามมีกำลังมากกว่าคุณ คุณจะทำอย่างไร?</t>
  </si>
  <si>
    <t>A) ใช้กลยุทธ์ที่ดีกว่า; B) ยอมรับและเล่นไปตามปกติ; C) โฟกัสที่จุดแข็งของตัวเอง; D) หยุดแข่งขัน</t>
  </si>
  <si>
    <t>C) โฟกัสที่จุดแข็งของตัวเอง</t>
  </si>
  <si>
    <t>การโฟกัสที่จุดแข็งช่วยให้คุณสามารถทำผลงานได้ดี.</t>
  </si>
  <si>
    <t>คุณเห็นผู้ฝึกสอนของคุณเหนื่อยล้าและไม่ค่อยพูด คุณจะทำอย่างไร?</t>
  </si>
  <si>
    <t>A) คุยกับเขาเกี่ยวกับสถานการณ์; B) ฝึกต่อไปอย่างเงียบๆ; C) ขอให้เขาพักผ่อน; D) หยุดการฝึกทั้งหมด</t>
  </si>
  <si>
    <t>B) ฝึกต่อไปอย่างเงียบๆ</t>
  </si>
  <si>
    <t>ในระหว่างการแข่งขัน คุณเจอคู่แข่งที่มีทักษะการป้องกันดีเยี่ยม คุณจะทำอย่างไร?</t>
  </si>
  <si>
    <t>A) ใช้การโจมตีอย่างรวดเร็ว; B) ปรับการโจมตีให้หลากหลาย; C) ใช้กลยุทธ์การป้องกันที่ดี; D) โจมตีอย่างแรง</t>
  </si>
  <si>
    <t>B) ปรับการโจมตีให้หลากหลาย</t>
  </si>
  <si>
    <t>การใช้หลากหลายการโจมตีช่วยให้ไม่ถูกคาดเดา.</t>
  </si>
  <si>
    <t>ระหว่างการฝึก คุณรู้สึกไม่เข้าใจในท่าที่ฝึก คุณจะทำอย่างไร?</t>
  </si>
  <si>
    <t>A) ถามผู้ฝึกสอนทันที; B) ฝึกต่อไปจนกว่าจะเข้าใจ; C) ละทิ้งการฝึกท่านั้น; D) ฝึกตามวิธีของตัวเอง</t>
  </si>
  <si>
    <t>A) ถามผู้ฝึกสอนทันที</t>
  </si>
  <si>
    <t>การถามผู้ฝึกสอนช่วยให้เข้าใจท่าได้เร็วขึ้น.</t>
  </si>
  <si>
    <t>คุณรู้สึกว่าการฝึกของคุณไม่มีความก้าวหน้า คุณจะทำอย่างไร?</t>
  </si>
  <si>
    <t>A) พักและคิดถึงวิธีใหม่ๆ; B) ถามผู้ฝึกสอนเกี่ยวกับการพัฒนาตัวเอง; C) หยุดฝึก; D) ฝึกต่อไปตามเดิม</t>
  </si>
  <si>
    <t>B) ถามผู้ฝึกสอนเกี่ยวกับการพัฒนาตัวเอง</t>
  </si>
  <si>
    <t>การขอคำแนะนำจะช่วยให้คุณพัฒนาทักษะได้เร็วขึ้น.</t>
  </si>
  <si>
    <t>ในการฝึกมวยไทย คุณรู้สึกว่าคุณทำได้ช้าเกินไป คุณจะทำอย่างไร?</t>
  </si>
  <si>
    <t>A) เร่งฝึกให้เร็วขึ้น; B) ปรับการฝึกให้เหมาะสมกับความสามารถ; C) หยุดฝึก; D) บอกผู้ฝึกสอนเกี่ยวกับปัญหา</t>
  </si>
  <si>
    <t>B) ปรับการฝึกให้เหมาะสมกับความสามารถ</t>
  </si>
  <si>
    <t>การปรับการฝึกให้เหมาะสมช่วยให้คุณพัฒนาได้อย่างมีประสิทธิภาพ.</t>
  </si>
  <si>
    <t>ในระหว่างการแข่งขัน คุณรู้สึกว่าอาการบาดเจ็บเริ่มกลับมา คุณจะทำอย่างไร?</t>
  </si>
  <si>
    <t>A) แจ้งผู้ฝึกสอนและขอพัก; B) ฝึกต่อไปจนจบ; C) เลิกการแข่งขันทันที; D) พยายามไม่ให้คู่แข่งรู้</t>
  </si>
  <si>
    <t>การแจ้งผู้ฝึกสอนเกี่ยวกับอาการบาดเจ็บช่วยป้องกันการบาดเจ็บที่รุนแรง.</t>
  </si>
  <si>
    <t>ระหว่างการฝึก คุณรู้สึกไม่พอใจกับผลลัพธ์ คุณจะทำอย่างไร?</t>
  </si>
  <si>
    <t>A) พักและรีเซ็ตตัวเอง; B) หยุดฝึก; C) ขอคำแนะนำจากผู้ฝึกสอน; D) บ่นกับเพื่อนร่วมทีม</t>
  </si>
  <si>
    <t>การขอคำแนะนำจากผู้ฝึกสอนช่วยให้คุณสามารถพัฒนาได้อย่างมีทิศทาง.</t>
  </si>
  <si>
    <t>คุณเห็นคู่แข่งมีท่าทีมั่นใจเกินไป คุณจะทำอย่างไร?</t>
  </si>
  <si>
    <t>A) โต้ตอบด้วยความมั่นใจ; B) ไม่สนใจและโฟกัสที่การต่อสู้ของคุณเอง; C) คาดการณ์การเคลื่อนไหวของเขา; D) หยุดและให้เขาโจมตี</t>
  </si>
  <si>
    <t>B) ไม่สนใจและโฟกัสที่การต่อสู้ของคุณเอง</t>
  </si>
  <si>
    <t>การไม่สนใจคู่แข่งช่วยให้คุณสามารถควบคุมเกมได้ดีขึ้น.</t>
  </si>
  <si>
    <t>ระหว่างการแข่งขัน คุณคิดว่าผู้ตัดสินตัดสินผิดในเรื่องของเวลา คุณจะทำอย่างไร?</t>
  </si>
  <si>
    <t>A) แจ้งผู้ตัดสินทันที; B) ยอมรับและเล่นต่อ; C) พูดคุยกับคู่แข่ง; D) รอให้ผู้ตัดสินตัดสินใหม่</t>
  </si>
  <si>
    <t>B) ยอมรับและเล่นต่อ</t>
  </si>
  <si>
    <t>การยอมรับการตัดสินช่วยให้คุณไม่เสียสมาธิในการแข่งขัน.</t>
  </si>
  <si>
    <t>ในระหว่างการฝึก คุณรู้สึกเหนื่อยจนไม่สามารถฝึกต่อได้ คุณจะทำอย่างไร?</t>
  </si>
  <si>
    <t>A) หยุดพักและดื่มน้ำ; B) ฝึกต่อไปจนเสร็จ; C) บอกผู้ฝึกสอน; D) พยายามทำให้เสร็จโดยไม่หยุด</t>
  </si>
  <si>
    <t>A) หยุดพักและดื่มน้ำ</t>
  </si>
  <si>
    <t>การหยุดพักช่วยฟื้นฟูร่างกายและจิตใจ.</t>
  </si>
  <si>
    <t>ผู้ฝึกสอนให้คุณฝึกกับคู่ฝึกที่มีทักษะสูงกว่า คุณจะทำอย่างไร?</t>
  </si>
  <si>
    <t>A) ใช้โอกาสนี้ในการเรียนรู้; B) หลีกเลี่ยงการฝึกกับเขา; C) รอให้เขาฝึกกับคุณ; D) ฝึกต่อไปตามวิธีของคุณ</t>
  </si>
  <si>
    <t>A) ใช้โอกาสนี้ในการเรียนรู้</t>
  </si>
  <si>
    <t>การฝึกกับคนที่เก่งกว่าช่วยให้คุณพัฒนาตัวเองได้ดีขึ้น.</t>
  </si>
  <si>
    <t>คุณเห็นเพื่อนร่วมทีมล้มเหลวในการทำท่าฝึก คุณจะทำอย่างไร?</t>
  </si>
  <si>
    <t>A) ช่วยเขาให้ฟื้นตัว; B) ละทิ้งการช่วยเหลือและฝึกต่อไป; C) ตำหนิเขา; D) รายงานให้ผู้ฝึกสอนทราบ</t>
  </si>
  <si>
    <t>A) ช่วยเขาให้ฟื้นตัว</t>
  </si>
  <si>
    <t>การช่วยเหลือเพื่อนร่วมทีมช่วยสร้างความสัมพันธ์ที่ดี.</t>
  </si>
  <si>
    <t>ในระหว่างการแข่งขัน คู่แข่งเริ่มทำผิดกฎ คุณจะทำอย่างไร?</t>
  </si>
  <si>
    <t>A) แจ้งผู้ตัดสิน; B) ปล่อยให้มันผ่านไป; C) โต้แย้งกับคู่แข่ง; D) ไม่สนใจและเล่นต่อไป</t>
  </si>
  <si>
    <t>การแจ้งผู้ตัดสินเกี่ยวกับการกระทำผิดกฎทำให้การแข่งขันเป็นไปอย่างยุติธรรม.</t>
  </si>
  <si>
    <t>ระหว่างการแข่งขัน คุณรู้สึกว่าคุณมีความได้เปรียบ คุณจะทำอย่างไร?</t>
  </si>
  <si>
    <t>A) ใช้ความได้เปรียบนี้ให้เต็มที่; B) เล่นตามสบายๆ; C) หยุดพักและรอให้คู่แข่งฟื้นตัว; D) ควบคุมจังหวะและไม่เร่งรีบ</t>
  </si>
  <si>
    <t>D) ควบคุมจังหวะและไม่เร่งรีบ</t>
  </si>
  <si>
    <t>การรักษาความสงบช่วยให้คุณสามารถควบคุมสถานการณ์ได้ดี.</t>
  </si>
  <si>
    <t>คุณเห็นว่าผู้ฝึกสอนเริ่มผิดหวังในผลงานของคุณ คุณจะทำอย่างไร?</t>
  </si>
  <si>
    <t>A) ถามผู้ฝึกสอนเกี่ยวกับการปรับปรุง; B) ละทิ้งการฝึก; C) หลีกเลี่ยงการฝึกกับเขา; D) บ่นกับเพื่อนร่วมทีม</t>
  </si>
  <si>
    <t>A) ถามผู้ฝึกสอนเกี่ยวกับการปรับปรุง</t>
  </si>
  <si>
    <t>การขอคำแนะนำช่วยให้คุณพัฒนาตัวเอง.</t>
  </si>
  <si>
    <t>ระหว่างการฝึก คุณรู้สึกว่าทักษะของคุณไม่ก้าวหน้า คุณจะทำอย่างไร?</t>
  </si>
  <si>
    <t>A) ปรับเทคนิคการฝึก; B) หยุดฝึก; C) ฝึกตามวิธีเดิม; D) เปลี่ยนท่าและฝึกท่าใหม่</t>
  </si>
  <si>
    <t>A) ปรับเทคนิคการฝึก</t>
  </si>
  <si>
    <t>การปรับเทคนิคช่วยพัฒนาความสามารถในระยะยาว.</t>
  </si>
  <si>
    <t>ในระหว่างการแข่งขัน คุณรู้สึกว่าคู่แข่งเริ่มทำให้คุณรู้สึกกดดัน คุณจะทำอย่างไร?</t>
  </si>
  <si>
    <t>A) ควบคุมจิตใจและโฟกัสที่การต่อสู้; B) ตอบโต้การกดดัน; C) หยุดการต่อสู้; D) ขอให้ผู้ตัดสินยุติการแข่งขัน</t>
  </si>
  <si>
    <t>A) ควบคุมจิตใจและโฟกัสที่การต่อสู้</t>
  </si>
  <si>
    <t>การรักษาความสงบช่วยให้คุณสามารถควบคุมสถานการณ์.</t>
  </si>
  <si>
    <t>คุณเห็นเพื่อนร่วมทีมทำผิดพลาดซ้ำๆ คุณจะทำอย่างไร?</t>
  </si>
  <si>
    <t>A) ช่วยเขาในการปรับปรุง; B) ตำหนิเขา; C) ละทิ้งการช่วยเหลือ; D) บอกผู้ฝึกสอน</t>
  </si>
  <si>
    <t>A) ช่วยเขาในการปรับปรุง</t>
  </si>
  <si>
    <t>การช่วยเพื่อนร่วมทีมทำให้ทีมแข็งแกร่งขึ้น.</t>
  </si>
  <si>
    <t>ในการฝึก คุณทำท่าผิดหลายครั้ง คุณจะทำอย่างไร?</t>
  </si>
  <si>
    <t>A) หยุดฝึกและพักผ่อน; B) ขอโทษผู้ฝึกสอน; C) พยายามฝึกต่อไป; D) ปรับท่าของตัวเองให้เหมาะสม</t>
  </si>
  <si>
    <t>C) พยายามฝึกต่อไป</t>
  </si>
  <si>
    <t>การฝึกต่อไปช่วยให้คุณแก้ไขข้อผิดพลาดได้.</t>
  </si>
  <si>
    <t>ระหว่างการฝึก คุณรู้สึกว่าคุณไม่สามารถทำท่าบางท่าได้ดี คุณจะทำอย่างไร?</t>
  </si>
  <si>
    <t>A) ขอคำแนะนำจากผู้ฝึกสอน; B) ฝึกต่อไปเอง; C) หยุดฝึก; D) บ่นเกี่ยวกับความยาก</t>
  </si>
  <si>
    <t>การขอคำแนะนำจากผู้ฝึกสอนช่วยให้คุณพัฒนาได้เร็วขึ้น.</t>
  </si>
  <si>
    <t>ผู้ฝึกสอนสังเกตเห็นว่าคุณทำท่าผิดหลายครั้ง คุณจะทำอย่างไร?</t>
  </si>
  <si>
    <t>A) ขอโทษและถามผู้ฝึกสอนเกี่ยวกับวิธีปรับปรุง; B) หลีกเลี่ยงการฝึกท่านั้น; C) โต้แย้งผู้ฝึกสอน; D) ปล่อยให้ท่าผิดไป</t>
  </si>
  <si>
    <t>A) ขอโทษและถามผู้ฝึกสอนเกี่ยวกับวิธีปรับปรุง</t>
  </si>
  <si>
    <t>การขอโทษและขอคำแนะนำช่วยพัฒนาทักษะ.</t>
  </si>
  <si>
    <t>ระหว่างการแข่งขัน คุณรู้สึกว่าคู่แข่งเริ่มเก่งขึ้น คุณจะทำอย่างไร?</t>
  </si>
  <si>
    <t>A) พยายามปรับกลยุทธ์ของคุณ; B) เล่นต่อไปโดยไม่สนใจ; C) รอให้คู่แข่งทำผิดพลาด; D) หยุดการแข่งขัน</t>
  </si>
  <si>
    <t>A) พยายามปรับกลยุทธ์ของคุณ</t>
  </si>
  <si>
    <t>การปรับกลยุทธ์ช่วยให้คุณสามารถควบคุมการแข่งขันได้.</t>
  </si>
  <si>
    <t>ในระหว่างการฝึก คุณรู้สึกว่าคุณเริ่มหมดแรง คุณจะทำอย่างไร?</t>
  </si>
  <si>
    <t>A) พักสั้นๆ และดื่มน้ำ; B) ฝึกต่อไป; C) หยุดฝึกทันที; D) ขอให้ผู้ฝึกสอนยุติการฝึก</t>
  </si>
  <si>
    <t>A) พักสั้นๆ และดื่มน้ำ</t>
  </si>
  <si>
    <t>การพักสั้นๆ ช่วยฟื้นฟูพลังงานและทำให้การฝึกมีประสิทธิภาพ.</t>
  </si>
  <si>
    <t>ในระหว่างการแข่งขัน คุณเริ่มมีอาการเจ็บที่มือ คุณจะทำอย่างไร?</t>
  </si>
  <si>
    <t>A) แจ้งผู้ฝึกสอนและขอพัก; B) ฝึกต่อไปจนจบ; C) ขอโทษทีมและขอหยุดการแข่งขัน; D) พยายามฝึกต่อไปจนจบ</t>
  </si>
  <si>
    <t>ในการฝึก คุณรู้สึกไม่มั่นใจในทักษะของคุณ คุณจะทำอย่างไร?</t>
  </si>
  <si>
    <t>A) ขอคำแนะนำจากผู้ฝึกสอน; B) หลีกเลี่ยงการฝึกท่าใหม่; C) หยุดฝึก; D) ฝึกตามวิธีเดิม</t>
  </si>
  <si>
    <t>การขอคำแนะนำจากผู้ฝึกสอนช่วยเพิ่มความมั่นใจ.</t>
  </si>
  <si>
    <t>คุณรู้สึกว่าการฝึกของคุณช้าเกินไป คุณจะทำอย่างไร?</t>
  </si>
  <si>
    <t>A) ฝึกต่อไปเร็วขึ้น; B) ขอตารางฝึกใหม่จากผู้ฝึกสอน; C) ฝึกท่าเดิมซ้ำๆ; D) หยุดฝึก</t>
  </si>
  <si>
    <t>B) ขอตารางฝึกใหม่จากผู้ฝึกสอน</t>
  </si>
  <si>
    <t>การปรับตารางฝึกให้เหมาะสมช่วยให้คุณพัฒนาได้ดีขึ้น.</t>
  </si>
  <si>
    <t>ระหว่างการฝึก คุณรู้สึกว่าอาการบาดเจ็บเล็กน้อยเริ่มแย่ลง คุณจะทำอย่างไร?</t>
  </si>
  <si>
    <t>A) แจ้งผู้ฝึกสอนและขอหยุดฝึก; B) ฝึกต่อไปจนเสร็จ; C) รอจนท่าบาดเจ็บหาย; D) ละทิ้งการฝึก</t>
  </si>
  <si>
    <t>A) แจ้งผู้ฝึกสอนและขอหยุดฝึก</t>
  </si>
  <si>
    <t>การแจ้งผู้ฝึกสอนจะช่วยให้คุณได้รับการดูแลที่เหมาะสม.</t>
  </si>
  <si>
    <t>ในระหว่างการแข่งขัน คุณคิดว่าคุณเริ่มเสียสมาธิ คุณจะทำอย่างไร?</t>
  </si>
  <si>
    <t>A) หยุดและฟื้นฟูสมาธิ; B) ฝึกต่อไปโดยไม่สนใจ; C) ขอโทษผู้ฝึกสอน; D) เลิกการแข่งขัน</t>
  </si>
  <si>
    <t>A) หยุดและฟื้นฟูสมาธิ</t>
  </si>
  <si>
    <t>การฟื้นฟูสมาธิช่วยให้คุณกลับมาแข็งแกร่งขึ้น.</t>
  </si>
  <si>
    <t>ระหว่างการฝึก คุณเห็นเพื่อนร่วมทีมทุ่มเทมากเกินไป คุณจะทำอย่างไร?</t>
  </si>
  <si>
    <t>A) ช่วยเขาให้รู้จักการพักผ่อน; B) ปล่อยให้เขาฝึกเอง; C) ตำหนิเขา; D) บอกผู้ฝึกสอน</t>
  </si>
  <si>
    <t>A) ช่วยเขาให้รู้จักการพักผ่อน</t>
  </si>
  <si>
    <t>การให้คำแนะนำจะช่วยเพื่อนร่วมทีมรักษาสมดุลในการฝึก.</t>
  </si>
  <si>
    <t>ในระหว่างการแข่งขัน คุณเห็นคู่แข่งใช้เทคนิคที่คุณไม่เคยเห็นมาก่อน คุณจะทำอย่างไร?</t>
  </si>
  <si>
    <t>A) สังเกตและพยายามเรียนรู้; B) ไม่สนใจและเล่นตามแผนเดิม; C) ถามผู้ฝึกสอนทันที; D) รอให้คู่แข่งทำผิดพลาด</t>
  </si>
  <si>
    <t>A) สังเกตและพยายามเรียนรู้</t>
  </si>
  <si>
    <t>การสังเกตและเรียนรู้จากคู่แข่งช่วยให้คุณพัฒนาทักษะใหม่ๆ.</t>
  </si>
  <si>
    <t>คุณรู้สึกว่าผู้ฝึกสอนเริ่มไม่พอใจกับผลงานของคุณ คุณจะทำอย่างไร?</t>
  </si>
  <si>
    <t>A) ขอคำแนะนำเกี่ยวกับการพัฒนา; B) หลีกเลี่ยงการฝึกกับเขา; C) รอให้ผู้ฝึกสอนพูดก่อน; D) ฝึกต่อไปตามเดิม</t>
  </si>
  <si>
    <t>A) ขอคำแนะนำเกี่ยวกับการพัฒนา</t>
  </si>
  <si>
    <t>การขอคำแนะนำช่วยให้คุณปรับปรุงตัวเองได้.</t>
  </si>
  <si>
    <t>ระหว่างการแข่งขัน คุณรู้สึกว่าเทคนิคของคุณเริ่มลดลง คุณจะทำอย่างไร?</t>
  </si>
  <si>
    <t>A) ปรับเทคนิคและควบคุมจังหวะ; B) รอให้คู่แข่งทำผิดพลาด; C) หยุดการแข่งขัน; D) เล่นตามความสะดวกของตัวเอง</t>
  </si>
  <si>
    <t>A) ปรับเทคนิคและควบคุมจังหวะ</t>
  </si>
  <si>
    <t>การปรับเทคนิคช่วยให้คุณสามารถควบคุมการแข่งขันได้ดีขึ้น.</t>
  </si>
  <si>
    <t>ในการฝึก คุณมีความรู้สึกว่าทักษะของคุณเริ่มแย่ลง คุณจะทำอย่างไร?</t>
  </si>
  <si>
    <t>A) ขอคำแนะนำจากผู้ฝึกสอนเพื่อปรับปรุง; B) หยุดฝึก; C) หลีกเลี่ยงการฝึกท่าใหม่; D) ทำท่าฝึกซ้ำๆ</t>
  </si>
  <si>
    <t>A) ขอคำแนะนำจากผู้ฝึกสอนเพื่อปรับปรุง</t>
  </si>
  <si>
    <t>การขอคำแนะนำจากผู้ฝึกสอนช่วยให้คุณสามารถพัฒนาได้.</t>
  </si>
  <si>
    <t>คุณรู้สึกเหนื่อยล้าหลังจากฝึกเสร็จ คุณจะทำอย่างไร?</t>
  </si>
  <si>
    <t>A) พักผ่อนและฟื้นฟูร่างกาย; B) ฝึกต่อไป; C) ละทิ้งการฝึก; D) ขอให้ผู้ฝึกสอนยุติการฝึก</t>
  </si>
  <si>
    <t>A) พักผ่อนและฟื้นฟูร่างกาย</t>
  </si>
  <si>
    <t>การพักผ่อนหลังฝึกช่วยให้ร่างกายฟื้นตัวและพร้อมสำหรับการฝึกต่อไป.</t>
  </si>
  <si>
    <t>ในการแข่งขันมวยไทย คุณเห็นคู่แข่งเริ่มมีท่าทีไม่มั่นใจ คุณจะทำอย่างไร?</t>
  </si>
  <si>
    <t>A) ใช้ความได้เปรียบและเร่งเกม; B) หยุดเล่นเพื่อให้เขาฟื้นตัว; C) ลดความเร็วและสังเกตการเคลื่อนไหวของเขา; D) หยุดการแข่งขันทันที</t>
  </si>
  <si>
    <t>A) ใช้ความได้เปรียบและเร่งเกม</t>
  </si>
  <si>
    <t>การใช้ความได้เปรียบช่วยให้คุณสามารถควบคุมการแข่งขันได้ดีขึ้น.</t>
  </si>
  <si>
    <t>ในการฝึก คุณรู้สึกว่าการเคลื่อนไหวของคุณยังไม่คล่องตัว คุณจะทำอย่างไร?</t>
  </si>
  <si>
    <t>A) ฝึกฝนท่าหลายๆ ครั้งจนคล่อง; B) หลีกเลี่ยงการฝึกท่านั้น; C) ขอคำแนะนำจากเพื่อนร่วมทีม; D) หยุดฝึก</t>
  </si>
  <si>
    <t>A) ฝึกฝนท่าหลายๆ ครั้งจนคล่อง</t>
  </si>
  <si>
    <t>การฝึกซ้ำช่วยให้การเคลื่อนไหวดีขึ้น.</t>
  </si>
  <si>
    <t>คุณรู้สึกว่าการฝึกมวยไทยในวันนี้ทำให้ร่างกายของคุณอ่อนล้า คุณจะทำอย่างไร?</t>
  </si>
  <si>
    <t>A) พักผ่อนและฟื้นฟูร่างกาย; B) ฝึกต่อไปจนเสร็จ; C) ขอให้ผู้ฝึกสอนยุติการฝึก; D) ลดการฝึกให้เบาลง</t>
  </si>
  <si>
    <t>การพักผ่อนช่วยให้ร่างกายฟื้นตัวและพร้อมสำหรับการฝึกต่อไป.</t>
  </si>
  <si>
    <t>ระหว่างการฝึก คุณเห็นเพื่อนร่วมทีมทำผิดพลาดซ้ำๆ คุณจะทำอย่างไร?</t>
  </si>
  <si>
    <t>A) ช่วยเขาให้ปรับปรุง; B) ตำหนิเขาต่อหน้าคนอื่น; C) ไม่สนใจและฝึกต่อไป; D) บอกผู้ฝึกสอนทันที</t>
  </si>
  <si>
    <t>A) ช่วยเขาให้ปรับปรุง</t>
  </si>
  <si>
    <t>การช่วยเหลือเพื่อนร่วมทีมช่วยให้ทีมแข็งแกร่งขึ้น.</t>
  </si>
  <si>
    <t>คุณรู้สึกว่าคู่แข่งใช้เทคนิคที่คุณไม่เคยเจอมาก่อน คุณจะทำอย่างไร?</t>
  </si>
  <si>
    <t>A) ศึกษาและลองหาวิธีรับมือ; B) ไม่สนใจและเล่นตามแผนเดิม; C) หยุดการแข่งขันทันที; D) รอให้คู่แข่งทำผิดพลาด</t>
  </si>
  <si>
    <t>A) ศึกษาและลองหาวิธีรับมือ</t>
  </si>
  <si>
    <t>การศึกษาและปรับตัวช่วยให้คุณสามารถรับมือกับเทคนิคใหม่ๆ ได้.</t>
  </si>
  <si>
    <t>ในการฝึก คุณรู้สึกว่าอาการบาดเจ็บเริ่มรบกวนการเคลื่อนไหวของคุณ คุณจะทำอย่างไร?</t>
  </si>
  <si>
    <t>A) แจ้งผู้ฝึกสอนและหยุดฝึก; B) ฝึกต่อไปและพยายามไม่ให้เจ็บ; C) หลีกเลี่ยงการฝึกท่าที่ทำให้เจ็บ; D) ขอโทษผู้ฝึกสอนและขอพัก</t>
  </si>
  <si>
    <t>A) แจ้งผู้ฝึกสอนและหยุดฝึก</t>
  </si>
  <si>
    <t>การแจ้งผู้ฝึกสอนช่วยให้คุณได้รับการดูแลอย่างทันท่วงที.</t>
  </si>
  <si>
    <t>ระหว่างการแข่งขัน คุณเห็นคู่แข่งทำผิดกฎ คุณจะทำอย่างไร?</t>
  </si>
  <si>
    <t>A) แจ้งผู้ตัดสินทันที; B) ปล่อยให้มันผ่านไป; C) กล่าวโทษคู่แข่ง; D) รอให้ผู้ตัดสินตัดสินใหม่</t>
  </si>
  <si>
    <t>การแจ้งผู้ตัดสินทำให้การแข่งขันเป็นไปตามกฎ.</t>
  </si>
  <si>
    <t>คุณเห็นผู้ฝึกสอนโกรธกับการฝึกของคุณ คุณจะทำอย่างไร?</t>
  </si>
  <si>
    <t>A) ขอคำแนะนำจากผู้ฝึกสอนเพื่อปรับปรุง; B) ปล่อยให้เขาโกรธต่อไป; C) หลีกเลี่ยงการฝึกกับเขา; D) บ่นเกี่ยวกับความยาก</t>
  </si>
  <si>
    <t>การขอคำแนะนำช่วยให้คุณสามารถพัฒนาได้ดีขึ้น.</t>
  </si>
  <si>
    <t>ในการฝึก คุณรู้สึกว่าคุณยังไม่พร้อมสำหรับการฝึกขั้นสูง คุณจะทำอย่างไร?</t>
  </si>
  <si>
    <t>A) ขอฝึกกับท่าพื้นฐานต่อไป; B) ฝึกขั้นสูงต่อไป; C) หยุดฝึก; D) ปรึกษาผู้ฝึกสอน</t>
  </si>
  <si>
    <t>A) ขอฝึกกับท่าพื้นฐานต่อไป</t>
  </si>
  <si>
    <t>การฝึกท่าพื้นฐานช่วยพัฒนาความคล่องแคล่ว.</t>
  </si>
  <si>
    <t>ระหว่างการแข่งขัน คุณรู้สึกว่าอาการบาดเจ็บที่เก่ากลับมารบกวนคุณ คุณจะทำอย่างไร?</t>
  </si>
  <si>
    <t>A) แจ้งผู้ฝึกสอนและขอพัก; B) ฝึกต่อไปจนจบ; C) ขอให้หยุดการแข่งขัน; D) รอให้ผู้ฝึกสอนตัดสิน</t>
  </si>
  <si>
    <t>การแจ้งผู้ฝึกสอนเพื่อการดูแลที่เหมาะสม.</t>
  </si>
  <si>
    <t>คุณเห็นคู่แข่งที่คุณเคยแพ้ในครั้งก่อน คุณจะทำอย่างไร?</t>
  </si>
  <si>
    <t>A) พยายามเก็บข้อมูลจากครั้งก่อนเพื่อแก้แค้น; B) เล่นตามแผนเดิมและไม่สนใจความเสียเปรียบ; C) หลีกเลี่ยงการปะทะกับเขา; D) ฝึกกับคู่ฝึกที่เก่งกว่าก่อนแข่งขัน</t>
  </si>
  <si>
    <t>A) พยายามเก็บข้อมูลจากครั้งก่อนเพื่อแก้แค้น</t>
  </si>
  <si>
    <t>การศึกษาคู่แข่งจะช่วยให้คุณสามารถเตรียมตัวได้ดีขึ้น.</t>
  </si>
  <si>
    <t>ในการฝึก คุณทำผิดพลาดหลายครั้ง คุณจะทำอย่างไร?</t>
  </si>
  <si>
    <t>A) ยอมรับความผิดพลาดและถามผู้ฝึกสอนเพื่อปรับปรุง; B) ฝึกต่อไปโดยไม่แก้ไข; C) หยุดฝึก; D) โทษตัวเอง</t>
  </si>
  <si>
    <t>A) ยอมรับความผิดพลาดและถามผู้ฝึกสอนเพื่อปรับปรุง</t>
  </si>
  <si>
    <t>การยอมรับและขอคำแนะนำช่วยให้คุณพัฒนาตัวเอง.</t>
  </si>
  <si>
    <t>ระหว่างการแข่งขัน คุณรู้สึกว่าคู่แข่งเริ่มเข้ามาใกล้มากเกินไป คุณจะทำอย่างไร?</t>
  </si>
  <si>
    <t>A) สร้างระยะห่างและควบคุมจังหวะการต่อสู้; B) โต้กลับและทำให้เขาถอยหลัง; C) หลีกเลี่ยงการปะทะ; D) ใช้เทคนิคใหม่ๆ เพื่อทำให้เขาหยุด</t>
  </si>
  <si>
    <t>A) สร้างระยะห่างและควบคุมจังหวะการต่อสู้</t>
  </si>
  <si>
    <t>การควบคุมจังหวะช่วยให้คุณสามารถจัดการสถานการณ์ได้ดีขึ้น.</t>
  </si>
  <si>
    <t>ในระหว่างการฝึก คุณรู้สึกว่าอาการบาดเจ็บเล็กน้อยทำให้คุณเคลื่อนไหวไม่ได้ตามปกติ คุณจะทำอย่างไร?</t>
  </si>
  <si>
    <t>A) แจ้งผู้ฝึกสอนและขอหยุดฝึก; B) หยุดฝึกเองโดยไม่บอกใคร; C) ฝึกต่อไปจนกว่าการบาดเจ็บจะหาย; D) ละทิ้งการฝึกไปเลย</t>
  </si>
  <si>
    <t>การแจ้งผู้ฝึกสอนช่วยให้คุณได้รับการดูแลที่เหมาะสม.</t>
  </si>
  <si>
    <t>ในการฝึก คุณรู้สึกว่าการทำท่าฝึกไม่เป็นไปตามที่คิด คุณจะทำอย่างไร?</t>
  </si>
  <si>
    <t>A) ขอคำแนะนำจากผู้ฝึกสอน; B) หลีกเลี่ยงการฝึกท่านั้น; C) ฝึกต่อไปตามเดิม; D) ปรับท่าฝึกด้วยตัวเอง</t>
  </si>
  <si>
    <t>การขอคำแนะนำช่วยให้คุณสามารถปรับท่าฝึกได้ดีขึ้น.</t>
  </si>
  <si>
    <t>ระหว่างการแข่งขัน คุณรู้สึกว่าคุณเริ่มมีความได้เปรียบ คุณจะทำอย่างไร?</t>
  </si>
  <si>
    <t>A) ใช้ความได้เปรียบให้เต็มที่และเร่งเกม; B) ลดความเร็วและเล่นแบบประหยัดแรง; C) สังเกตการเคลื่อนไหวของคู่แข่งและตอบโต้; D) ควบคุมจังหวะและไม่รีบร้อน</t>
  </si>
  <si>
    <t>D) ควบคุมจังหวะและไม่รีบร้อน</t>
  </si>
  <si>
    <t>การควบคุมจังหวะช่วยให้คุณสามารถรักษาความได้เปรียบได้ดี.</t>
  </si>
  <si>
    <t>ในการฝึก คุณรู้สึกว่าผลงานของคุณไม่ดีเท่าที่ควร คุณจะทำอย่างไร?</t>
  </si>
  <si>
    <t>A) ขอคำแนะนำจากผู้ฝึกสอนเพื่อปรับปรุง; B) หลีกเลี่ยงการฝึกท่านั้น; C) บ่นเกี่ยวกับความยาก; D) หยุดฝึก</t>
  </si>
  <si>
    <t>การขอคำแนะนำจากผู้ฝึกสอนช่วยให้คุณสามารถพัฒนาทักษะได้.</t>
  </si>
  <si>
    <t>ในระหว่างการแข่งขัน คุณรู้สึกว่าคู่แข่งมีท่าทีที่จะชนะ คุณจะทำอย่างไร?</t>
  </si>
  <si>
    <t>A) ควบคุมจังหวะและรอดูโอกาสที่เหมาะสม; B) พยายามโจมตีทันทีเพื่อทำคะแนน; C) สังเกตและใช้จุดอ่อนของเขา; D) พยายามทำให้เขาเหนื่อยล้า</t>
  </si>
  <si>
    <t>A) ควบคุมจังหวะและรอดูโอกาสที่เหมาะสม</t>
  </si>
  <si>
    <t>การควบคุมจังหวะช่วยให้คุณสามารถรักษาความได้เปรียบ.</t>
  </si>
  <si>
    <t>ในการฝึก คุณรู้สึกว่าคุณพลาดท่าหลายครั้ง คุณจะทำอย่างไร?</t>
  </si>
  <si>
    <t>A) ยอมรับข้อผิดพลาดและปรึกษาผู้ฝึกสอน; B) ฝึกต่อไปโดยไม่แก้ไข; C) หยุดฝึก; D) โทษตัวเอง</t>
  </si>
  <si>
    <t>A) ยอมรับข้อผิดพลาดและปรึกษาผู้ฝึกสอน</t>
  </si>
  <si>
    <t>การปรึกษาผู้ฝึกสอนช่วยให้คุณสามารถพัฒนาได้ดีขึ้น.</t>
  </si>
  <si>
    <t>ระหว่างการแข่งขัน คุณพบว่าคู่แข่งเริ่มทำให้คุณรู้สึกกดดัน คุณจะทำอย่างไร?</t>
  </si>
  <si>
    <t>A) ควบคุมการหายใจและรักษาความสงบ; B) โจมตีทันทีเพื่อทำคะแนน; C) บ่นเกี่ยวกับความกดดัน; D) ล้มเหลวในการควบคุมอารมณ์</t>
  </si>
  <si>
    <t>A) ควบคุมการหายใจและรักษาความสงบ</t>
  </si>
  <si>
    <t>การรักษาความสงบช่วยให้คุณสามารถควบคุมสถานการณ์ได้ดีขึ้น.</t>
  </si>
  <si>
    <t>ในการแข่งขันมวยไทย คุณพบว่าผู้ตัดสินตัดสินผลการแข่งขันผิด คุณจะทำอย่างไร?</t>
  </si>
  <si>
    <t>A) แจ้งผู้ตัดสินทันที; B) ไม่สนใจและเล่นต่อไป; C) ปล่อยให้มันผ่านไป; D) กล่าวโทษผู้ตัดสิน</t>
  </si>
  <si>
    <t>การแจ้งผู้ตัดสินทำให้ผลการแข่งขันถูกต้อง.</t>
  </si>
  <si>
    <t>ระหว่างการฝึก คุณรู้สึกว่าอาการบาดเจ็บกำเริบ คุณจะทำอย่างไร?</t>
  </si>
  <si>
    <t>A) หยุดฝึกและแจ้งผู้ฝึกสอน; B) ฝึกต่อไปจนเสร็จ; C) หลีกเลี่ยงการทำท่าที่ทำให้เจ็บ; D) ปรึกษาผู้ฝึกสอนทันที</t>
  </si>
  <si>
    <t>A) หยุดฝึกและแจ้งผู้ฝึกสอน</t>
  </si>
  <si>
    <t>การหยุดฝึกช่วยให้คุณได้รับการดูแลที่เหมาะสม.</t>
  </si>
  <si>
    <t>คุณมีคู่แข่งที่เคยชนะคุณมาก่อนในการแข่งขัน คุณจะทำอย่างไร?</t>
  </si>
  <si>
    <t>A) พยายามศึกษาวิธีการชนะและเตรียมตัวให้ดีขึ้น; B) ไม่สนใจและเล่นตามแผนเดิม; C) หลีกเลี่ยงการปะทะกับเขา; D) ฝึกกับคู่ฝึกที่เก่งกว่า</t>
  </si>
  <si>
    <t>A) พยายามศึกษาวิธีการชนะและเตรียมตัวให้ดีขึ้น</t>
  </si>
  <si>
    <t>การศึกษาคู่แข่งช่วยให้คุณเตรียมตัวได้ดีขึ้น.</t>
  </si>
  <si>
    <t>ระหว่างการฝึก คุณพบว่าท่าที่ฝึกยากเกินไป คุณจะทำอย่างไร?</t>
  </si>
  <si>
    <t>A) ขอคำแนะนำจากผู้ฝึกสอนเพื่อปรับปรุงท่า; B) หยุดฝึก; C) ฝึกต่อไปจนกว่าจะทำได้; D) บ่นเกี่ยวกับความยาก</t>
  </si>
  <si>
    <t>A) ขอคำแนะนำจากผู้ฝึกสอนเพื่อปรับปรุงท่า</t>
  </si>
  <si>
    <t>การขอคำแนะนำช่วยให้คุณสามารถพัฒนาทักษะได้ดีขึ้น.</t>
  </si>
  <si>
    <t>ในการแข่งขัน คุณเห็นคู่แข่งเริ่มใช้กลยุทธ์ใหม่ที่คุณไม่เคยเจอมาก่อน คุณจะทำอย่างไร?</t>
  </si>
  <si>
    <t>A) ศึกษากลยุทธ์และปรับตัวให้เข้ากับมัน; B) หลีกเลี่ยงการต่อสู้; C) ทำตามแผนเดิม; D) รอให้คู่แข่งทำผิดพลาด</t>
  </si>
  <si>
    <t>A) ศึกษากลยุทธ์และปรับตัวให้เข้ากับมัน</t>
  </si>
  <si>
    <t>การปรับตัวช่วยให้คุณสามารถรับมือกับกลยุทธ์ใหม่ได้.</t>
  </si>
  <si>
    <t>ระหว่างการแข่งขัน คุณรู้สึกว่าร่างกายเริ่มอ่อนล้า คุณจะทำอย่างไร?</t>
  </si>
  <si>
    <t>A) ลดความเร็วและพยายามควบคุมจังหวะการแข่งขัน; B) เร่งความเร็วเพื่อทำคะแนน; C) หยุดการแข่งขันทันที; D) ฝึกต่อไปโดยไม่หยุด</t>
  </si>
  <si>
    <t>A) ลดความเร็วและพยายามควบคุมจังหวะการแข่งขัน</t>
  </si>
  <si>
    <t>การควบคุมจังหวะช่วยให้คุณรักษาพลังในการแข่งขัน.</t>
  </si>
  <si>
    <t>ในการฝึก คุณรู้สึกว่าคุณกำลังพัฒนาทักษะได้ช้า คุณจะทำอย่างไร?</t>
  </si>
  <si>
    <t>A) ปรึกษาผู้ฝึกสอนเพื่อหาแนวทางการฝึกที่เหมาะสม; B) หยุดฝึก; C) ฝึกหนักขึ้น; D) บ่นเกี่ยวกับความยาก</t>
  </si>
  <si>
    <t>A) ปรึกษาผู้ฝึกสอนเพื่อหาแนวทางการฝึกที่เหมาะสม</t>
  </si>
  <si>
    <t>การปรึกษาผู้ฝึกสอนช่วยให้คุณพัฒนาได้เร็วขึ้น.</t>
  </si>
  <si>
    <t>คุณเห็นเพื่อนร่วมทีมทำผิดพลาดหลายครั้งในการฝึก คุณจะทำอย่างไร?</t>
  </si>
  <si>
    <t>A) ช่วยเหลือและแนะนำเขาอย่างสุภาพ; B) ตำหนิเขาต่อหน้าคนอื่น; C) ไม่สนใจและฝึกต่อไป; D) หลีกเลี่ยงการฝึกกับเขา</t>
  </si>
  <si>
    <t>A) ช่วยเหลือและแนะนำเขาอย่างสุภาพ</t>
  </si>
  <si>
    <t>การช่วยเหลือเพื่อนร่วมทีมช่วยเพิ่มความสามัคคี.</t>
  </si>
  <si>
    <t>ในการฝึก คุณพบว่าการเคลื่อนไหวของคุณยังไม่ดี คุณจะทำอย่างไร?</t>
  </si>
  <si>
    <t>A) ขอคำแนะนำจากผู้ฝึกสอนเพื่อปรับปรุง; B) หลีกเลี่ยงการฝึกท่านั้น; C) ฝึกต่อไปจนกว่าจะทำได้; D) บ่นเกี่ยวกับความยาก</t>
  </si>
  <si>
    <t>การขอคำแนะนำช่วยให้คุณพัฒนาทักษะได้.</t>
  </si>
  <si>
    <t>ระหว่างการแข่งขัน คุณเห็นคู่แข่งเริ่มเหนื่อย คุณจะทำอย่างไร?</t>
  </si>
  <si>
    <t>A) เร่งเกมและใช้ความได้เปรียบ; B) ลดความเร็วและรอดูจังหวะ; C) สังเกตการเคลื่อนไหวของเขา; D) หยุดเล่น</t>
  </si>
  <si>
    <t>A) เร่งเกมและใช้ความได้เปรียบ</t>
  </si>
  <si>
    <t>การใช้ความได้เปรียบช่วยให้คุณสามารถควบคุมการแข่งขันได้.</t>
  </si>
  <si>
    <t>ในระหว่างการแข่งขัน คุณพบว่าคู่แข่งเริ่มเปลี่ยนกลยุทธ์ คุณจะทำอย่างไร?</t>
  </si>
  <si>
    <t>A) ปรับกลยุทธ์ของคุณให้เข้ากับสถานการณ์; B) เล่นตามแผนเดิม; C) สังเกตการเคลื่อนไหวของคู่แข่ง; D) หยุดการแข่งขัน</t>
  </si>
  <si>
    <t>A) ปรับกลยุทธ์ของคุณให้เข้ากับสถานการณ์</t>
  </si>
  <si>
    <t>การปรับกลยุทธ์ช่วยให้คุณสามารถตอบโต้ได้ดีขึ้น.</t>
  </si>
  <si>
    <t>ระหว่างการแข่งขัน คุณรู้สึกว่าอาการบาดเจ็บที่เก่ากลับมา คุณจะทำอย่างไร?</t>
  </si>
  <si>
    <t>A) แจ้งผู้ฝึกสอนและขอพัก; B) ฝึกต่อไปจนจบการแข่งขัน; C) หลีกเลี่ยงการทำท่าที่ทำให้เจ็บ; D) หยุดเล่นทันที</t>
  </si>
  <si>
    <t>ในการฝึก คุณรู้สึกว่าท่าฝึกบางท่าทำให้คุณรู้สึกไม่มั่นใจ คุณจะทำอย่างไร?</t>
  </si>
  <si>
    <t>A) ขอคำแนะนำจากผู้ฝึกสอนและฝึกเพิ่มเติม; B) หลีกเลี่ยงการฝึกท่านั้น; C) ฝึกต่อไปโดยไม่แก้ไข; D) โทษตัวเอง</t>
  </si>
  <si>
    <t>A) ขอคำแนะนำจากผู้ฝึกสอนและฝึกเพิ่มเติม</t>
  </si>
  <si>
    <t>การขอคำแนะนำช่วยให้คุณพัฒนาได้ดีขึ้น.</t>
  </si>
  <si>
    <t>ระหว่างการแข่งขัน คุณเริ่มรู้สึกว่าคุณไม่สามารถตามทันคู่แข่งได้ คุณจะทำอย่างไร?</t>
  </si>
  <si>
    <t>A) ปรับกลยุทธ์และพยายามให้สมดุล; B) เร่งเกมและพยายามทำคะแนน; C) ลดความเร็วและรอดูโอกาสที่ดี; D) หยุดเกม</t>
  </si>
  <si>
    <t>A) ปรับกลยุทธ์และพยายามให้สมดุล</t>
  </si>
  <si>
    <t>การปรับกลยุทธ์ช่วยให้คุณสามารถกลับมาควบคุมการแข่งขันได้.</t>
  </si>
  <si>
    <t>ในระหว่างการฝึก คุณรู้สึกว่าเพื่อนร่วมทีมไม่ให้ความร่วมมือ คุณจะทำอย่างไร?</t>
  </si>
  <si>
    <t>A) พยายามพูดคุยและสร้างความร่วมมือ; B) หลีกเลี่ยงการฝึกกับเขา; C) ปล่อยให้เขาฝึกตามใจ; D) โทษเพื่อนร่วมทีม</t>
  </si>
  <si>
    <t>A) พยายามพูดคุยและสร้างความร่วมมือ</t>
  </si>
  <si>
    <t>การพูดคุยช่วยให้ทีมมีความสามัคคีมากขึ้น.</t>
  </si>
  <si>
    <t>ระหว่างการแข่งขัน คุณรู้สึกว่าผู้ตัดสินตัดสินผลการแข่งขันผิด คุณจะทำอย่างไร?</t>
  </si>
  <si>
    <t>A) แจ้งผู้ตัดสินเพื่อให้มีการพิจารณาใหม่; B) ปล่อยให้มันผ่านไป; C) ปรับตัวให้การตัดสินนั้นเป็นประโยชน์ต่อคุณ; D) บ่นเกี่ยวกับการตัดสิน</t>
  </si>
  <si>
    <t>A) แจ้งผู้ตัดสินเพื่อให้มีการพิจารณาใหม่</t>
  </si>
  <si>
    <t>ในการฝึก คุณเห็นเพื่อนร่วมทีมกำลังเหนื่อยและไม่สามารถทำตามคำสั่งได้ คุณจะทำอย่างไร?</t>
  </si>
  <si>
    <t>A) ช่วยเขาและกระตุ้นให้ทำต่อไป; B) ปล่อยให้เขาทำตามใจ; C) ตำหนิเขาต่อหน้าคนอื่น; D) หลีกเลี่ยงการฝึกกับเขา</t>
  </si>
  <si>
    <t>A) ช่วยเขาและกระตุ้นให้ทำต่อไป</t>
  </si>
  <si>
    <t>การช่วยเหลือเพื่อนร่วมทีมช่วยให้ทีมมีความแข็งแกร่ง.</t>
  </si>
  <si>
    <t>ระหว่างการฝึก คุณรู้สึกว่าคุณกำลังทำผิดพลาดในท่าฝึกหลายครั้ง คุณจะทำอย่างไร?</t>
  </si>
  <si>
    <t>A) ขอคำแนะนำจากผู้ฝึกสอนเพื่อปรับปรุง; B) ฝึกต่อไปโดยไม่แก้ไข; C) หยุดฝึก; D) บ่นเกี่ยวกับการฝึก</t>
  </si>
  <si>
    <t>การขอคำแนะนำช่วยให้การฝึกมีประสิทธิภาพมากขึ้น.</t>
  </si>
  <si>
    <t>ในการแข่งขัน คุณพบว่าผู้ตัดสินไม่ให้คำเตือนเมื่อคู่แข่งทำผิดกฎ คุณจะทำอย่างไร?</t>
  </si>
  <si>
    <t>A) แจ้งผู้ตัดสินให้พิจารณาผลการแข่งขันใหม่; B) ปล่อยให้มันผ่านไป; C) หลีกเลี่ยงการต่อสู้กับคู่แข่ง; D) บ่นเกี่ยวกับการตัดสิน</t>
  </si>
  <si>
    <t>A) แจ้งผู้ตัดสินให้พิจารณาผลการแข่งขันใหม่</t>
  </si>
  <si>
    <t>การแจ้งผู้ตัดสินช่วยให้ผลการแข่งขันเป็นธรรม.</t>
  </si>
  <si>
    <t>ในการฝึก คุณรู้สึกว่าคุณยังไม่สามารถทำท่าที่ต้องการได้ดี คุณจะทำอย่างไร?</t>
  </si>
  <si>
    <t>A) ขอคำแนะนำจากผู้ฝึกสอนและฝึกเพิ่มเติม; B) หลีกเลี่ยงการฝึกท่านั้น; C) ฝึกต่อไปจนกว่าจะทำได้; D) บ่นเกี่ยวกับความยาก</t>
  </si>
  <si>
    <t>การขอคำแนะนำช่วยให้คุณพัฒนาได้เร็วขึ้น.</t>
  </si>
  <si>
    <t>ระหว่างการแข่งขัน คุณรู้สึกว่าอารมณ์เริ่มควบคุมไม่ได้ คุณจะทำอย่างไร?</t>
  </si>
  <si>
    <t>A) หยุดและหายใจลึกๆ เพื่อควบคุมอารมณ์; B) ทุ่มเททุกอย่างและไม่สนใจอารมณ์; C) โกรธและแสดงออกอย่างชัดเจน; D) ล้มเลิกการแข่งขัน</t>
  </si>
  <si>
    <t>A) หยุดและหายใจลึกๆ เพื่อควบคุมอารมณ์</t>
  </si>
  <si>
    <t>การควบคุมอารมณ์ช่วยให้คุณสามารถทำผลงานได้ดีขึ้น.</t>
  </si>
  <si>
    <t>ในการฝึก คุณเห็นเพื่อนร่วมทีมไม่สามารถทำตามคำแนะนำได้ คุณจะทำอย่างไร?</t>
  </si>
  <si>
    <t>A) ช่วยเขาและแนะนำอีกครั้ง; B) ไม่สนใจและฝึกต่อไป; C) ตำหนิเขาต่อหน้าคนอื่น; D) โทษเขา</t>
  </si>
  <si>
    <t>A) ช่วยเขาและแนะนำอีกครั้ง</t>
  </si>
  <si>
    <t>การช่วยเหลือเพื่อนร่วมทีมช่วยให้การฝึกดีขึ้น.</t>
  </si>
  <si>
    <t>ระหว่างการแข่งขัน คุณพบว่าคู่แข่งเริ่มใช้ท่าที่คุณไม่คุ้นเคย คุณจะทำอย่างไร?</t>
  </si>
  <si>
    <t>A) พยายามสังเกตและเรียนรู้จากการเคลื่อนไหวของเขา; B) รอจนกว่าคู่แข่งจะทำผิดพลาด; C) เปลี่ยนกลยุทธ์ทันที; D) หลีกเลี่ยงการปะทะ</t>
  </si>
  <si>
    <t>A) พยายามสังเกตและเรียนรู้จากการเคลื่อนไหวของเขา</t>
  </si>
  <si>
    <t>การเรียนรู้จากคู่แข่งช่วยให้คุณสามารถปรับตัวได้ดีขึ้น.</t>
  </si>
  <si>
    <t>ในระหว่างการแข่งขัน คุณรู้สึกว่าอาการบาดเจ็บที่เก่ากลับมา คุณจะทำอย่างไร?</t>
  </si>
  <si>
    <t>A) แจ้งผู้ตัดสินและขอพัก; B) ฝึกต่อไปจนจบการแข่งขัน; C) หลีกเลี่ยงการทำท่าที่ทำให้เจ็บ; D) หยุดเล่นทันที</t>
  </si>
  <si>
    <t>A) แจ้งผู้ตัดสินและขอพัก</t>
  </si>
  <si>
    <t>การแจ้งผู้ตัดสินช่วยให้คุณได้รับการดูแลที่เหมาะสม.</t>
  </si>
  <si>
    <t>คุณเห็นคู่แข่งทำผิดกฎในการแข่งขัน คุณจะทำอย่างไร?</t>
  </si>
  <si>
    <t>A) แจ้งผู้ตัดสินให้ตัดสินใหม่; B) ปล่อยให้มันผ่านไป; C) โจมตีคู่แข่งในขณะที่เขาไม่ระวัง; D) บ่นเกี่ยวกับการตัดสิน</t>
  </si>
  <si>
    <t>A) แจ้งผู้ตัดสินให้ตัดสินใหม่</t>
  </si>
  <si>
    <t>ในการฝึก คุณพบว่าไม่สามารถทำท่าที่ฝึกได้ดี คุณจะทำอย่างไร?</t>
  </si>
  <si>
    <t>A) ขอคำแนะนำจากผู้ฝึกสอนและฝึกเพิ่มเติม; B) หยุดฝึก; C) ฝึกต่อไปจนกว่าจะทำได้; D) โทษตัวเอง</t>
  </si>
  <si>
    <t>ระหว่างการแข่งขัน คุณเริ่มรู้สึกเหนื่อยล้า คุณจะทำอย่างไร?</t>
  </si>
  <si>
    <t>A) ลดความเร็วและพยายามควบคุมจังหวะการแข่งขัน; B) เร่งความเร็วเพื่อทำคะแนน; C) หยุดการแข่งขันทันที; D) ปรับกลยุทธ์เพื่อทำคะแนนให้ได้มากขึ้น</t>
  </si>
  <si>
    <t>ในการฝึก คุณรู้สึกว่าคุณไม่สามารถทำตามคำแนะนำได้ คุณจะทำอย่างไร?</t>
  </si>
  <si>
    <t>A) ขอคำแนะนำเพิ่มเติมจากผู้ฝึกสอน; B) ฝึกต่อไปโดยไม่แก้ไข; C) หลีกเลี่ยงการฝึกท่านั้น; D) บ่นเกี่ยวกับความยาก</t>
  </si>
  <si>
    <t>A) ขอคำแนะนำเพิ่มเติมจากผู้ฝึกสอน</t>
  </si>
  <si>
    <t>คุณเห็นผู้เล่นในทีมเริ่มหมดกำลังใจในการแข่งขัน คุณจะทำอย่างไร?</t>
  </si>
  <si>
    <t>A) กระตุ้นและสนับสนุนเขาให้กลับมาสู้; B) ปล่อยให้เขาเป็นไปตามใจ; C) ตำหนิเขาให้ทำดีกว่า; D) หลีกเลี่ยงการช่วยเขา</t>
  </si>
  <si>
    <t>A) กระตุ้นและสนับสนุนเขาให้กลับมาสู้</t>
  </si>
  <si>
    <t>การกระตุ้นเพื่อนร่วมทีมช่วยสร้างความมั่นใจ.</t>
  </si>
  <si>
    <t>ในระหว่างการฝึก คุณรู้สึกว่าไม่สามารถทำท่าที่ต้องการได้ดี คุณจะทำอย่างไร?</t>
  </si>
  <si>
    <t>ระหว่างการแข่งขัน คุณพบว่าคู่แข่งใช้กลยุทธ์ที่ทำให้คุณตกใจ คุณจะทำอย่างไร?</t>
  </si>
  <si>
    <t>A) ปรับกลยุทธ์ของคุณให้เข้ากับสถานการณ์; B) รอให้คู่แข่งทำผิดพลาด; C) โจมตีทันทีเพื่อทำคะแนน; D) หลีกเลี่ยงการปะทะ</t>
  </si>
  <si>
    <t>การปรับกลยุทธ์ช่วยให้คุณสามารถรับมือกับคู่แข่งได้ดีขึ้น.</t>
  </si>
  <si>
    <t>ในระหว่างการแข่งขัน คุณพบว่าผู้ตัดสินตัดสินผลการแข่งขันผิด คุณจะทำอย่างไร?</t>
  </si>
  <si>
    <t>A) แจ้งผู้ตัดสินเพื่อให้มีการพิจารณาใหม่; B) ปล่อยให้มันผ่านไป; C) รอให้ผู้ตัดสินเปลี่ยนคำตัดสิน; D) โต้แย้งกับผู้ตัดสิน</t>
  </si>
  <si>
    <t>การแจ้งผู้ตัดสินช่วยให้ผลการแข่งขันเป็นไปตามกฎ.</t>
  </si>
  <si>
    <t>ในการฝึก คุณพบว่าผู้เล่นคนอื่นทำท่าฝึกผิด คุณจะทำอย่างไร?</t>
  </si>
  <si>
    <t>A) ช่วยเขาและแนะนำให้ทำถูกต้อง; B) ไม่สนใจและฝึกต่อไป; C) โทษเขาต่อหน้าคนอื่น; D) หลีกเลี่ยงการฝึกกับเขา</t>
  </si>
  <si>
    <t>A) ช่วยเขาและแนะนำให้ทำถูกต้อง</t>
  </si>
  <si>
    <t>A) เร่งเกมและใช้ความได้เปรียบ; B) ลดความเร็วและรอดูจังหวะที่ดี; C) โจมตีทันทีเพื่อทำคะแนน; D) หลีกเลี่ยงการปะทะ</t>
  </si>
  <si>
    <t>การพูดคุยช่วยให้ทีมมีความสามัคคี.</t>
  </si>
  <si>
    <t>A) ปรับกลยุทธ์และศึกษาวิธีการใหม่; B) หลีกเลี่ยงการปะทะ; C) ฝึกฝนเพิ่มเพื่อเตรียมพร้อม; D) รอให้คู่แข่งทำผิดพลาด</t>
  </si>
  <si>
    <t>A) ปรับกลยุทธ์และศึกษาวิธีการใหม่</t>
  </si>
  <si>
    <t>ในการฝึก คุณรู้สึกว่าไม่สามารถทำท่าที่ฝึกได้ดี คุณจะทำอย่างไร?</t>
  </si>
  <si>
    <t>ในระหว่างการแข่งขัน คุณพบว่าผู้ตัดสินไม่ให้คำเตือนเมื่อคู่แข่งทำผิดกฎ คุณจะทำอย่างไร?</t>
  </si>
  <si>
    <t>ในการฝึก คุณรู้สึกว่าสามารถทำท่าที่ฝึกได้ดีขึ้นแล้ว คุณจะทำอย่างไร?</t>
  </si>
  <si>
    <t>A) ขอคำแนะนำจากผู้ฝึกสอนเพื่อพัฒนาเพิ่มเติม; B) หยุดฝึกเพราะทำได้ดีแล้ว; C) ฝึกต่อไปตามปกติ; D) บ่นเกี่ยวกับความยาก</t>
  </si>
  <si>
    <t>A) ขอคำแนะนำจากผู้ฝึกสอนเพื่อพัฒนาเพิ่มเติม</t>
  </si>
  <si>
    <t>การขอคำแนะนำช่วยให้การฝึกพัฒนาได้เร็วขึ้น.</t>
  </si>
  <si>
    <t>ในระหว่างการแข่งขัน คุณพบว่าคู่แข่งมีท่าที่คุณไม่สามารถป้องกันได้ คุณจะทำอย่างไร?</t>
  </si>
  <si>
    <t>A) สังเกตและเรียนรู้วิธีการป้องกันท่านั้น; B) หลีกเลี่ยงการปะทะกับคู่แข่ง; C) เร่งความเร็วเพื่อทำคะแนน; D) ลองใช้กลยุทธ์ใหม่ทันที</t>
  </si>
  <si>
    <t>A) สังเกตและเรียนรู้วิธีการป้องกันท่านั้น</t>
  </si>
  <si>
    <t>การเรียนรู้จากคู่แข่งช่วยให้คุณสามารถปรับตัวได้.</t>
  </si>
  <si>
    <t>ในการฝึก คุณพบว่าคุณทำผิดพลาดบ่อยครั้งในท่าเดียวกัน คุณจะทำอย่างไร?</t>
  </si>
  <si>
    <t>A) ฝึกท่านั้นจนทำได้; B) หยุดฝึกท่านั้น; C) ขอคำแนะนำจากผู้ฝึกสอนเพื่อปรับปรุง; D) โทษตัวเอง</t>
  </si>
  <si>
    <t>ในระหว่างการแข่งขัน คุณรู้สึกว่าอารมณ์เริ่มหลุดมือ คุณจะทำอย่างไร?</t>
  </si>
  <si>
    <t>A) หยุดชั่วคราวและหายใจลึกๆ เพื่อควบคุมอารมณ์; B) ทำตามอารมณ์และแสดงออกอย่างชัดเจน; C) หลีกเลี่ยงการสู้กับคู่แข่ง; D) บ่นเกี่ยวกับการตัดสิน</t>
  </si>
  <si>
    <t>A) หยุดชั่วคราวและหายใจลึกๆ เพื่อควบคุมอารมณ์</t>
  </si>
  <si>
    <t>การควบคุมอารมณ์ช่วยให้คุณทำงานได้ดีขึ้น.</t>
  </si>
  <si>
    <t>ในการฝึก คุณพบว่าเพื่อนร่วมทีมไม่สามารถทำตามคำแนะนำได้ คุณจะทำอย่างไร?</t>
  </si>
  <si>
    <t>ในระหว่างการแข่งขัน คุณรู้สึกว่าคู่แข่งเริ่มเล่นผิดพลาด คุณจะทำอย่างไร?</t>
  </si>
  <si>
    <t>A) เร่งเกมเพื่อใช้ความได้เปรียบ; B) รอให้คู่แข่งทำผิดพลาดมากขึ้น; C) หลีกเลี่ยงการปะทะ; D) ปรับกลยุทธ์เพื่อทำคะแนนให้ได้</t>
  </si>
  <si>
    <t>A) เร่งเกมเพื่อใช้ความได้เปรียบ</t>
  </si>
  <si>
    <t>การใช้ความได้เปรียบช่วยให้คุณควบคุมเกมได้.</t>
  </si>
  <si>
    <t>ในการฝึก คุณเห็นเพื่อนร่วมทีมไม่ให้ความร่วมมือในการฝึก คุณจะทำอย่างไร?</t>
  </si>
  <si>
    <t>ในระหว่างการแข่งขัน คุณพบว่าอาการบาดเจ็บที่เก่ากลับมา คุณจะทำอย่างไร?</t>
  </si>
  <si>
    <t>ระหว่างการแข่งขัน คุณพบว่าผู้ตัดสินตัดสินผิด คุณจะทำอย่างไร?</t>
  </si>
  <si>
    <t>A) แจ้งผู้ตัดสินให้พิจารณาผลการแข่งขันใหม่; B) ปล่อยให้มันผ่านไป; C) โต้แย้งกับผู้ตัดสิน; D) รอให้ผู้ตัดสินเปลี่ยนคำตัดสิน</t>
  </si>
  <si>
    <t>ในการฝึก คุณเห็นเพื่อนร่วมทีมทำผิดพลาดบ่อยครั้ง คุณจะทำอย่างไร?</t>
  </si>
  <si>
    <t>ระหว่างการแข่งขัน คุณพบว่าคู่แข่งเริ่มเหนื่อย คุณจะทำอย่างไร?</t>
  </si>
  <si>
    <t>ในการฝึก คุณพบว่าเพื่อนร่วมทีมทำท่าฝึกผิด คุณจะทำอย่างไร?</t>
  </si>
  <si>
    <t>ในการฝึก คุณรู้สึกว่าไม่สามารถทำท่าที่ต้องการได้ดี คุณจะทำอย่างไร?</t>
  </si>
  <si>
    <t>ในระหว่างการแข่งขัน คุณเห็นคู่แข่งเริ่มทำผิดกฎ คุณจะทำอย่างไร?</t>
  </si>
  <si>
    <t>ในการฝึก คุณพบว่าไม่มีความคืบหน้าตามที่คาดหวัง คุณจะทำอย่างไร?</t>
  </si>
  <si>
    <t>A) ปรับวิธีการฝึกและขอคำแนะนำจากผู้ฝึกสอน; B) หยุดฝึก; C) โทษตัวเอง; D) บ่นเกี่ยวกับการฝึก</t>
  </si>
  <si>
    <t>A) ปรับวิธีการฝึกและขอคำแนะนำจากผู้ฝึกสอน</t>
  </si>
  <si>
    <t>การปรับวิธีการช่วยให้การฝึกมีประสิทธิภาพ.</t>
  </si>
  <si>
    <t>ในระหว่างการแข่งขัน คุณพบว่าคู่แข่งเริ่มแสดงอาการเหนื่อยล้า คุณจะทำอย่างไร?</t>
  </si>
  <si>
    <t>A) เร่งเกมเพื่อใช้ประโยชน์จากความเหนื่อยล้า; B) ลดความเร็วเพื่อหลีกเลี่ยงการทำผิดพลาด; C) โจมตีทันทีเพื่อทำคะแนน; D) หลีกเลี่ยงการปะทะ</t>
  </si>
  <si>
    <t>A) เร่งเกมเพื่อใช้ประโยชน์จากความเหนื่อยล้า</t>
  </si>
  <si>
    <t>การใช้ความได้เปรียบจากความเหนื่อยล้าของคู่แข่งช่วยให้คุณทำคะแนนได้.</t>
  </si>
  <si>
    <t>ในการฝึก คุณรู้สึกว่าทักษะของคุณไม่ดีเท่าที่ควร คุณจะทำอย่างไร?</t>
  </si>
  <si>
    <t>A) ขอคำแนะนำจากผู้ฝึกสอนและพยายามปรับปรุง; B) หลีกเลี่ยงการฝึกท่านั้น; C) บ่นเกี่ยวกับความยาก; D) หยุดฝึก</t>
  </si>
  <si>
    <t>A) ขอคำแนะนำจากผู้ฝึกสอนและพยายามปรับปรุง</t>
  </si>
  <si>
    <t>การขอคำแนะนำช่วยให้คุณพัฒนาทักษะได้เร็วขึ้น.</t>
  </si>
  <si>
    <t>ในระหว่างการแข่งขัน คุณรู้สึกว่าคู่แข่งเริ่มทำผิดพลาด คุณจะทำอย่างไร?</t>
  </si>
  <si>
    <t>A) เร่งเกมเพื่อใช้ความได้เปรียบ; B) รอให้คู่แข่งทำผิดพลาดมากขึ้น; C) ลดความเร็วและเล่นตามปกติ; D) โจมตีทันทีเพื่อทำคะแนน</t>
  </si>
  <si>
    <t>การใช้ความได้เปรียบช่วยให้คุณควบคุมการแข่งขัน.</t>
  </si>
  <si>
    <t>ในการฝึก คุณพบว่าเพื่อนร่วมทีมไม่ทำตามคำแนะนำ คุณจะทำอย่างไร?</t>
  </si>
  <si>
    <t>A) พยายามช่วยเหลือและอธิบายใหม่; B) หลีกเลี่ยงการฝึกกับเขา; C) โทษเขา; D) ปล่อยให้เขาฝึกตามใจ</t>
  </si>
  <si>
    <t>A) พยายามช่วยเหลือและอธิบายใหม่</t>
  </si>
  <si>
    <t>การช่วยเหลือเพื่อนร่วมทีมช่วยสร้างความสามัคคี.</t>
  </si>
  <si>
    <t>ในการแข่งขัน คุณเห็นผู้ตัดสินทำผิดพลาด คุณจะทำอย่างไร?</t>
  </si>
  <si>
    <t>A) แจ้งผู้ตัดสินให้พิจารณาผลการแข่งขันใหม่; B) ปล่อยให้มันผ่านไป; C) โต้แย้งกับผู้ตัดสิน; D) บ่นเกี่ยวกับการตัดสิน</t>
  </si>
  <si>
    <t>ในระหว่างการแข่งขัน คุณรู้สึกว่าเริ่มเหนื่อย คุณจะทำอย่างไร?</t>
  </si>
  <si>
    <t>A) ขอพักเพื่อฟื้นพลัง; B) ลดความเร็วและเล่นต่อไป; C) พยายามเล่นต่อไปโดยไม่หยุดพัก; D) หยุดเล่นทันที</t>
  </si>
  <si>
    <t>B) ลดความเร็วและเล่นต่อไป</t>
  </si>
  <si>
    <t>การลดความเร็วช่วยให้คุณฟื้นพลังและสามารถเล่นต่อไปได้.</t>
  </si>
  <si>
    <t>ในการฝึก คุณพบว่าคุณไม่สามารถทำท่าที่ฝึกได้ตามคาด คุณจะทำอย่างไร?</t>
  </si>
  <si>
    <t>A) ฝึกต่อไปจนกว่าจะทำได้; B) ขอคำแนะนำจากผู้ฝึกสอนเพื่อปรับปรุง; C) หลีกเลี่ยงการฝึกท่านั้น; D) บ่นเกี่ยวกับความยาก</t>
  </si>
  <si>
    <t>B) ขอคำแนะนำจากผู้ฝึกสอนเพื่อปรับปรุง</t>
  </si>
  <si>
    <t>ในการแข่งขัน คุณพบว่าคู่แข่งเริ่มใช้เทคนิคที่คุณไม่สามารถป้องกันได้ คุณจะทำอย่างไร?</t>
  </si>
  <si>
    <t>A) ศึกษาเทคนิคและพยายามหาวิธีป้องกัน; B) หลีกเลี่ยงการปะทะกับคู่แข่ง; C) ลดความเร็วและเล่นตามปกติ; D) โจมตีทันที</t>
  </si>
  <si>
    <t>A) ศึกษาเทคนิคและพยายามหาวิธีป้องกัน</t>
  </si>
  <si>
    <t>การศึกษาการเล่นของคู่แข่งช่วยให้คุณสามารถป้องกันได้ดีขึ้น.</t>
  </si>
  <si>
    <t>ในการแข่งขัน คุณพบว่าอารมณ์เริ่มหลุดมือ คุณจะทำอย่างไร?</t>
  </si>
  <si>
    <t>ในระหว่างการแข่งขัน คุณรู้สึกว่าเพื่อนร่วมทีมไม่สามารถทำตามคำแนะนำได้ คุณจะทำอย่างไร?</t>
  </si>
  <si>
    <t>A) พยายามช่วยเหลือและอธิบายใหม่; B) หลีกเลี่ยงการฝึกกับเขา; C) โทษเขาต่อหน้าคนอื่น; D) ปล่อยให้เขาฝึกตามใจ</t>
  </si>
  <si>
    <t>ในการฝึก คุณพบว่าเพื่อนร่วมทีมไม่ให้ความร่วมมือ คุณจะทำอย่างไร?</t>
  </si>
  <si>
    <t>ในการฝึก คุณรู้สึกว่าคุณไม่มีพัฒนาการ คุณจะทำอย่างไร?</t>
  </si>
  <si>
    <t>ในการฝึก คุณพบว่าไม่สามารถทำตามเป้าหมายที่ตั้งไว้ได้ คุณจะทำอย่างไร?</t>
  </si>
  <si>
    <t>A) ปรับเป้าหมายให้เหมาะสมและพยายามทำให้สำเร็จ; B) หยุดฝึก; C) โทษตัวเอง; D) บ่นเกี่ยวกับความยาก</t>
  </si>
  <si>
    <t>A) ปรับเป้าหมายให้เหมาะสมและพยายามทำให้สำเร็จ</t>
  </si>
  <si>
    <t>การปรับเป้าหมายช่วยให้คุณยังคงพัฒนาได้.</t>
  </si>
  <si>
    <t>ในระหว่างการแข่งขัน คุณรู้สึกว่าอารมณ์เริ่มไม่ดี คุณจะทำอย่างไร?</t>
  </si>
  <si>
    <t>A) หยุดชั่วคราวและหายใจลึกๆ เพื่อควบคุมอารมณ์; B) ทุ่มเททุกอย่างและไม่สนใจอารมณ์; C) โกรธและแสดงออกอย่างชัดเจน; D) ล้มเลิกการแข่งขัน</t>
  </si>
  <si>
    <t>การควบคุมอารมณ์ช่วยให้คุณทำผลงานได้ดีขึ้น.</t>
  </si>
  <si>
    <t>ในการแข่งขัน คุณพบว่าคู่แข่งเริ่มทำผิดพลาด คุณจะทำอย่างไร?</t>
  </si>
  <si>
    <t>ในการฝึก คุณพบว่าเพื่อนร่วมทีมทำผิดพลาดบ่อยครั้ง คุณจะทำอย่างไร?</t>
  </si>
  <si>
    <t>ในการฝึก คุณพบว่าไม่มีความคืบหน้าในทักษะที่ฝึก คุณจะทำอย่างไร?</t>
  </si>
  <si>
    <t>การปรับวิธีการฝึกช่วยให้คุณมีพัฒนาการ.</t>
  </si>
  <si>
    <t>ในการแข่งขัน คุณพบว่าเพื่อนร่วมทีมทำผิดพลาด คุณจะทำอย่างไร?</t>
  </si>
  <si>
    <t>A) ช่วยเขาและให้กำลังใจ; B) ตำหนิเขาต่อหน้าคนอื่น; C) ลดความเร็วและเล่นตามปกติ; D) หยุดเกม</t>
  </si>
  <si>
    <t>A) ช่วยเขาและให้กำลังใจ</t>
  </si>
  <si>
    <t>การให้กำลังใจช่วยสร้างความสามัคคีในทีม.</t>
  </si>
  <si>
    <t>ในการฝึก คุณรู้สึกว่าคุณเริ่มหมดกำลังใจ คุณจะทำอย่างไร?</t>
  </si>
  <si>
    <t>A) พักผ่อนและกลับมาฝึกใหม่; B) หยุดฝึกทันที; C) บ่นเกี่ยวกับความยาก; D) ทำตามอารมณ์</t>
  </si>
  <si>
    <t>A) พักผ่อนและกลับมาฝึกใหม่</t>
  </si>
  <si>
    <t>การพักผ่อนช่วยให้คุณฟื้นพลังและกลับมาฝึกได้ดีขึ้น.</t>
  </si>
  <si>
    <t>ในการแข่งขัน คุณรู้สึกว่าคู่แข่งกำลังใช้เทคนิคที่ไม่คาดคิด คุณจะทำอย่างไร?</t>
  </si>
  <si>
    <t>A) ศึกษาและปรับตัวให้ทัน; B) หลีกเลี่ยงการปะทะ; C) ลดความเร็วและเล่นตามปกติ; D) โต้แย้งกับคู่แข่ง</t>
  </si>
  <si>
    <t>A) ศึกษาและปรับตัวให้ทัน</t>
  </si>
  <si>
    <t>การปรับตัวช่วยให้คุณสามารถจัดการกับสถานการณ์ที่ไม่คาดคิด.</t>
  </si>
  <si>
    <t xml:space="preserve"> ในระหว่างการฝึก คุณพบว่าคุณไม่สามารถทำตามเป้าหมายที่ตั้งไว้ได้ คุณจะทำอย่างไร?</t>
  </si>
  <si>
    <t xml:space="preserve"> ในการแข่งขัน คุณรู้สึกว่าคู่แข่งเริ่มทำผิดพลาดบ่อยครั้ง คุณจะทำอย่างไร?</t>
  </si>
  <si>
    <t>A) เร่งเกมเพื่อใช้ประโยชน์จากข้อผิดพลาดของคู่แข่ง; B) ลดความเร็วเพื่อไม่ทำผิดพลาด; C) โจมตีทันทีเพื่อทำคะแนน; D) ปล่อยให้คู่แข่งทำผิดพลาดไปเรื่อยๆ</t>
  </si>
  <si>
    <t>A) เร่งเกมเพื่อใช้ประโยชน์จากข้อผิดพลาดของคู่แข่ง</t>
  </si>
  <si>
    <t>การเร่งเกมช่วยให้คุณใช้ความได้เปรียบ.</t>
  </si>
  <si>
    <t xml:space="preserve"> ในระหว่างการแข่งขัน คุณเริ่มรู้สึกเจ็บ คุณจะทำอย่างไร?</t>
  </si>
  <si>
    <t>A) แจ้งผู้ฝึกสอนและขอการดูแล; B) หลีกเลี่ยงการปะทะและเล่นต่อ; C) ลดความเร็วและเล่นตามปกติ; D) หยุดเล่นทันที</t>
  </si>
  <si>
    <t>A) แจ้งผู้ฝึกสอนและขอการดูแล</t>
  </si>
  <si>
    <t xml:space="preserve"> ในการฝึก คุณรู้สึกว่าสภาพร่างกายเริ่มอ่อนล้า คุณจะทำอย่างไร?</t>
  </si>
  <si>
    <t>A) พักผ่อนและฟื้นฟูพลัง; B) หยุดฝึกทันที; C) ฝึกต่อไปโดยไม่หยุดพัก; D) ลดความเข้มข้นของการฝึก</t>
  </si>
  <si>
    <t>การพักผ่อนช่วยให้ร่างกายฟื้นตัวและพร้อมสำหรับการฝึกใหม่.</t>
  </si>
  <si>
    <t xml:space="preserve"> ในการแข่งขัน คุณพบว่าคู่แข่งเริ่มเล่นไม่ดี คุณจะทำอย่างไร?</t>
  </si>
  <si>
    <t>A) ใช้ความได้เปรียบและเร่งเกม; B) หลีกเลี่ยงการโจมตี; C) ลดความเร็วและเล่นตามปกติ; D) โจมตีทันทีเพื่อทำคะแนน</t>
  </si>
  <si>
    <t>การเร่งเกมช่วยให้คุณใช้ความได้เปรียบจากคู่แข่งที่เล่นไม่ดี.</t>
  </si>
  <si>
    <t xml:space="preserve"> ในการฝึก คุณพบว่าเพื่อนร่วมทีมไม่ได้รับคำแนะนำจากผู้ฝึกสอนอย่างเต็มที่ คุณจะทำอย่างไร?</t>
  </si>
  <si>
    <t>A) พยายามช่วยเหลือและอธิบายให้เพื่อนร่วมทีมเข้าใจ; B) หลีกเลี่ยงการฝึกกับเขา; C) โทษเขาต่อหน้าผู้อื่น; D) ปล่อยให้เขาฝึกเอง</t>
  </si>
  <si>
    <t>A) พยายามช่วยเหลือและอธิบายให้เพื่อนร่วมทีมเข้าใจ</t>
  </si>
  <si>
    <t>การช่วยเหลือเพื่อนร่วมทีมช่วยสร้างความสามัคคีในทีม.</t>
  </si>
  <si>
    <t xml:space="preserve"> ในระหว่างการฝึก คุณเห็นว่าคู่แข่งทำผิดพลาดบ่อยครั้ง คุณจะทำอย่างไร?</t>
  </si>
  <si>
    <t>A) ใช้ความได้เปรียบจากข้อผิดพลาดของคู่แข่ง; B) ลดความเร็วเพื่อไม่ให้เกิดข้อผิดพลาด; C) หลีกเลี่ยงการปะทะกับคู่แข่ง; D) หยุดฝึก</t>
  </si>
  <si>
    <t>A) ใช้ความได้เปรียบจากข้อผิดพลาดของคู่แข่ง</t>
  </si>
  <si>
    <t>การใช้ข้อผิดพลาดของคู่แข่งให้เป็นประโยชน์ช่วยให้คุณมีชัย.</t>
  </si>
  <si>
    <t xml:space="preserve"> ในการแข่งขัน คุณพบว่าคู่แข่งกำลังใช้เทคนิคที่ไม่คุ้นเคย คุณจะทำอย่างไร?</t>
  </si>
  <si>
    <t>A) ศึกษาและหาวิธีรับมือกับเทคนิคใหม่; B) หลีกเลี่ยงการปะทะ; C) โจมตีทันทีเพื่อทำคะแนน; D) ลดความเร็วและเล่นตามปกติ</t>
  </si>
  <si>
    <t>A) ศึกษาและหาวิธีรับมือกับเทคนิคใหม่</t>
  </si>
  <si>
    <t>การศึกษาคู่แข่งช่วยให้คุณรับมือกับเทคนิคที่ไม่คุ้นเคยได้ดีขึ้น.</t>
  </si>
  <si>
    <t xml:space="preserve"> ในการฝึก คุณพบว่าเพื่อนร่วมทีมทำผิดพลาดในการฝึก คุณจะทำอย่างไร?</t>
  </si>
  <si>
    <t>A) ช่วยเขาและแนะนำให้ทำถูกต้อง; B) หลีกเลี่ยงการฝึกกับเขา; C) โทษเขาต่อหน้าคนอื่น; D) ปล่อยให้เขาฝึกตามใจ</t>
  </si>
  <si>
    <t xml:space="preserve"> ในระหว่างการแข่งขัน คุณพบว่าคุณเริ่มรู้สึกกดดันจากผู้ชม คุณจะทำอย่างไร?</t>
  </si>
  <si>
    <t>A) หายใจลึกๆ และมุ่งมั่นในเกม; B) ทำตามอารมณ์และแสดงออกอย่างชัดเจน; C) หลีกเลี่ยงการสนใจผู้ชม; D) ล้มเลิกการแข่งขัน</t>
  </si>
  <si>
    <t>A) หายใจลึกๆ และมุ่งมั่นในเกม</t>
  </si>
  <si>
    <t>การควบคุมอารมณ์ช่วยให้คุณสามารถโฟกัสในเกมได้.</t>
  </si>
  <si>
    <t xml:space="preserve"> ในการแข่งขัน คุณพบว่าเพื่อนร่วมทีมเริ่มไม่มั่นใจในตัวเอง คุณจะทำอย่างไร?</t>
  </si>
  <si>
    <t>A) ให้กำลังใจและช่วยให้เขากลับมาเล่นได้ดี; B) ปล่อยให้เขาทำตามใจ; C) โทษเขาต่อหน้าผู้อื่น; D) หลีกเลี่ยงการเล่นร่วมกับเขา</t>
  </si>
  <si>
    <t>A) ให้กำลังใจและช่วยให้เขากลับมาเล่นได้ดี</t>
  </si>
  <si>
    <t xml:space="preserve"> ในการฝึก คุณพบว่าผลการฝึกไม่เป็นไปตามคาดหวัง คุณจะทำอย่างไร?</t>
  </si>
  <si>
    <t>การปรับวิธีการฝึกช่วยให้คุณพัฒนาได้อย่างมีประสิทธิภาพ.</t>
  </si>
  <si>
    <t xml:space="preserve"> ในการแข่งขัน คุณรู้สึกว่าอารมณ์เริ่มไม่ดี คุณจะทำอย่างไร?</t>
  </si>
  <si>
    <t xml:space="preserve"> ในการฝึก คุณพบว่าเพื่อนร่วมทีมไม่สามารถทำตามคำแนะนำได้ คุณจะทำอย่างไร?</t>
  </si>
  <si>
    <t xml:space="preserve"> ในระหว่างการแข่งขัน คุณพบว่าคุณรู้สึกเครียดจากการตัดสินใจของผู้ตัดสิน คุณจะทำอย่างไร?</t>
  </si>
  <si>
    <t>A) พยายามโฟกัสกับเกมและปล่อยให้การตัดสินใจผ่านไป; B) โต้แย้งกับผู้ตัดสิน; C) บ่นเกี่ยวกับการตัดสิน; D) ล้มเลิกการแข่งขัน</t>
  </si>
  <si>
    <t>A) พยายามโฟกัสกับเกมและปล่อยให้การตัดสินใจผ่านไป</t>
  </si>
  <si>
    <t>การโฟกัสกับเกมช่วยให้คุณทำผลงานได้ดีขึ้น.</t>
  </si>
  <si>
    <t xml:space="preserve"> ในการฝึก คุณพบว่าเพื่อนร่วมทีมรู้สึกเครียด คุณจะทำอย่างไร?</t>
  </si>
  <si>
    <t>A) พูดคุยและให้กำลังใจเขา; B) ปล่อยให้เขาคลายเครียดเอง; C) บ่นเกี่ยวกับเขา; D) หลีกเลี่ยงการพูดคุย</t>
  </si>
  <si>
    <t>การให้กำลังใจช่วยให้เพื่อนร่วมทีมรู้สึกดีขึ้น.</t>
  </si>
  <si>
    <t xml:space="preserve"> ในการแข่งขัน คุณพบว่าคู่แข่งใช้เทคนิคที่เหมาะสมกับเกม คุณจะทำอย่างไร?</t>
  </si>
  <si>
    <t>A) ศึกษาเทคนิคและปรับตัวให้ทัน; B) หลีกเลี่ยงการโจมตี; C) ลดความเร็วและเล่นตามปกติ; D) โต้แย้งกับคู่แข่ง</t>
  </si>
  <si>
    <t>A) ศึกษาเทคนิคและปรับตัวให้ทัน</t>
  </si>
  <si>
    <t>การศึกษาคู่แข่งช่วยให้คุณปรับตัวได้อย่างมีประสิทธิภาพ.</t>
  </si>
  <si>
    <t xml:space="preserve"> ในการฝึก คุณพบว่าคุณเริ่มหมดแรง คุณจะทำอย่างไร?</t>
  </si>
  <si>
    <t>A) พักผ่อนและกลับมาฝึกใหม่; B) หยุดฝึกทันที; C) ฝึกต่อไปจนหมดแรง; D) ลดความเข้มข้นของการฝึก</t>
  </si>
  <si>
    <t>การพักผ่อนช่วยให้คุณฟื้นฟูพลังและกลับมาฝึกได้ดีขึ้น.</t>
  </si>
  <si>
    <t>Fighter A and Fighter B are fighting in a Muay Thai match. During round 3, Fighter A lands a clean elbow strike to Fighter B’s head, causing a minor cut. The referee deems the cut to be severe and stops the fight. What happens next?</t>
  </si>
  <si>
    <t>นักมวย A และนักมวย B กำลังต่อสู้กันในการแข่งขันมวยไทย ในระหว่างยกที่ 3 นักมวย A ฟาดศอกใส่ศีรษะของนักมวย B ทำให้เกิดบาดแผลเล็กน้อย กรรมการเห็นว่าการบาดรุนแรงจึงให้หยุดการชก จะเกิดอะไรขึ้นต่อไป?</t>
  </si>
  <si>
    <t>นักชก A ชนะน็อก</t>
  </si>
  <si>
    <t>นักมวย A ชนะน็อก</t>
  </si>
  <si>
    <t>ไฟท์เตอร์ B ชนะ TKO</t>
  </si>
  <si>
    <t>นักมวย B ชนะ TKO</t>
  </si>
  <si>
    <t>ไฟท์เตอร์ A ชนะ TKO</t>
  </si>
  <si>
    <t>นักมวย A ชนะ TKO</t>
  </si>
  <si>
    <t>Improvement</t>
  </si>
  <si>
    <t>In the second round, Fighter A is penalized for excessive holding. What happens to Fighter A's score?</t>
  </si>
  <si>
    <t>ในรอบที่สอง นักมวย A จะถูกลงโทษจากการถือครองมากเกินไป จะเกิดอะไรขึ้นกับคะแนนของนักมวย A?</t>
  </si>
  <si>
    <t>นักชก A ได้คะแนน 10:8</t>
  </si>
  <si>
    <t>นักชก A ได้คะแนน 10:9</t>
  </si>
  <si>
    <t>นักชก A เสีย 1 แต้ม</t>
  </si>
  <si>
    <t>นักชก A ได้คะแนน 10:7</t>
  </si>
  <si>
    <t>Fighter A knocks Fighter B down with a clean kick in the first round. The referee gives Fighter B a standing count. What happens to the score?</t>
  </si>
  <si>
    <t>นักมวย A ล้มนักมวย B ลงด้วยลูกเตะที่สะอาดในรอบแรก ผู้ตัดสินให้นักมวย B นับยืน เกิดอะไรขึ้นกับคะแนน?</t>
  </si>
  <si>
    <t>ไฟท์เตอร์ A ชนะ 10:8</t>
  </si>
  <si>
    <t>ไฟท์เตอร์ A ชนะ 10:9</t>
  </si>
  <si>
    <t>นักสู้ B ชนะ 10:9</t>
  </si>
  <si>
    <t>รอบนี้สกอร์ 10.10 น</t>
  </si>
  <si>
    <t>Fighter A and Fighter B are in the final round. Both fighters land significant strikes, but Fighter A is clearly more aggressive and lands more blows. How is the round scored?</t>
  </si>
  <si>
    <t>นักมวย A และนักมวย B อยู่ในรอบสุดท้าย เครื่องบินรบทั้งสองโจมตีอย่างรุนแรง แต่นักมวย A มีความก้าวร้าวมากกว่าและโจมตีได้มากกว่าอย่างเห็นได้ชัด คะแนนรอบเป็นอย่างไร?</t>
  </si>
  <si>
    <t>10:9 เพื่อสนับสนุนนักสู้ A</t>
  </si>
  <si>
    <t>10:9 เพื่อสนับสนุนนักสู้ B</t>
  </si>
  <si>
    <t>10:8 เพื่อสนับสนุนนักสู้ A</t>
  </si>
  <si>
    <t>10:8 เพื่อสนับสนุนนักสู้ B</t>
  </si>
  <si>
    <t>Fighter A receives a warning for an illegal strike to the groin in round 2. What happens to Fighter A’s score?</t>
  </si>
  <si>
    <t>นักมวย A ได้รับคำเตือนเรื่องการฟาดที่ขาหนีบอย่างผิดกฎหมายในรอบที่ 2 จะเกิดอะไรขึ้นกับคะแนนของนักมวย A?</t>
  </si>
  <si>
    <t>นักชก A ถูกหัก 1 คะแนน</t>
  </si>
  <si>
    <t>นักสู้ A ได้รับ 10: 7</t>
  </si>
  <si>
    <t>นักชก A แพ้ในรอบนั้น</t>
  </si>
  <si>
    <t>นักชก A ชนะยกนั้นด้วยเวลา 10:9</t>
  </si>
  <si>
    <t>Fighter A lands a devastating knee strike to Fighter B’s face, knocking them out cold. What happens?</t>
  </si>
  <si>
    <t>นักมวย A ฟาดเข่าใส่หน้านักมวย B ทำให้พวกเขาเย็นชา เกิดอะไรขึ้น?</t>
  </si>
  <si>
    <t>นักมวย A ฟาดเข่าใส่ใบหน้าของนักมวย B ทำให้พวกเขาเย็นชา เกิดอะไรขึ้น?</t>
  </si>
  <si>
    <t>นักชก B ชนะน็อก</t>
  </si>
  <si>
    <t>กรรมการหยุดชก</t>
  </si>
  <si>
    <t>นักมวย A ชนะน็อก TKO</t>
  </si>
  <si>
    <t>Fighter A and Fighter B are both evenly matched throughout the first round, with neither fighter dominating. How is the round scored?</t>
  </si>
  <si>
    <t>นักมวย A และนักมวย B ต่างก็เท่าเทียมกันตลอดรอบแรก โดยไม่มีไฟท์เตอร์ใดมีอำนาจเหนือกว่า คะแนนรอบเป็นอย่างไร?</t>
  </si>
  <si>
    <t>10:9 สำหรับไฟท์เตอร์ เอ</t>
  </si>
  <si>
    <t>10:8 สำหรับนักสู้ B</t>
  </si>
  <si>
    <t>10:10 จับสลาก</t>
  </si>
  <si>
    <t>10:8 สำหรับไฟท์เตอร์ เอ</t>
  </si>
  <si>
    <t>Fighter A gets knocked down in round 3, but gets up immediately after the referee’s count and continues fighting. What happens to Fighter A’s score?</t>
  </si>
  <si>
    <t>นักมวย A ล้มยกที่ 3 แต่ลุกขึ้นทันทีหลังจากกรรมการนับแล้วชกต่อ จะเกิดอะไรขึ้นกับคะแนนของนักมวย A?</t>
  </si>
  <si>
    <t>10:7 สำหรับนักสู้ A</t>
  </si>
  <si>
    <t>10:9 สำหรับไฟท์เตอร์ บี</t>
  </si>
  <si>
    <t>In the third round, Fighter B lands multiple powerful low kicks, and Fighter A visibly slows down. The round is concluded with Fighter A appearing exhausted. How is the round scored?</t>
  </si>
  <si>
    <t>ในรอบที่สาม นักมวย B เตะต่ำอันทรงพลังหลายครั้ง และนักมวย A ช้าลงอย่างเห็นได้ชัด การแข่งขันจบลงโดยที่นักมวย A ดูเหนื่อยล้า คะแนนรอบเป็นอย่างไร?</t>
  </si>
  <si>
    <t>ในรอบที่สาม นักมวย B ใช้การเตะต่ำอันทรงพลังหลายครั้ง และนักมวย A เคลื่อนไหวช้าลงอย่างเห็นได้ชัด การแข่งขันจบลงโดยที่นักมวย A ดูเหนื่อยล้า คะแนนรอบเป็นอย่างไร?</t>
  </si>
  <si>
    <t>10:9 สำหรับนักมวย A</t>
  </si>
  <si>
    <t>10:9 สำหรับนักมวย B</t>
  </si>
  <si>
    <t>10:7 สำหรับนักมวย A</t>
  </si>
  <si>
    <t>10:8 สำหรับนักมวย B</t>
  </si>
  <si>
    <t>Fighter A lands a clean head kick that causes Fighter B to stumble and nearly fall to the ground. The referee deems it a knockdown. What is the score for the round?</t>
  </si>
  <si>
    <t>นักมวย A เตะหัวอย่างหมดจดซึ่งทำให้นักมวย B สะดุดและเกือบล้มลงกับพื้น กรรมการถือว่าน็อคดาวน์ คะแนนรอบเท่าไหร่คะ?</t>
  </si>
  <si>
    <t>นักมวย A เตะหัวคู่ต่อสู้ ซึ่งเห็นได้อย่างเจน ทำให้นักมวย B โซเซและเกือบล้มลงกับพื้น กรรมการถือว่าน็อคดาวน์ คะแนนรอบนี้จะเป็นเท่าไหร่?</t>
  </si>
  <si>
    <t>10:8 สำหรับนักมวย A</t>
  </si>
  <si>
    <t>10:7 สำหรับนักสู้ B</t>
  </si>
  <si>
    <t>During a Muay Thai match, Fighter A is awarded a 10:9 score for the first round. In the second round, both fighters engage in close-range clinching and do not land many significant strikes. How is the second round scored?</t>
  </si>
  <si>
    <t>ในระหว่างการแข่งขันมวยไทย นักมวย A จะได้รับคะแนน 10:9 สำหรับยกแรก ในรอบที่สอง เครื่องบินรบทั้งสองต่อสู้กันในระยะใกล้และไม่ได้รับการโจมตีที่สำคัญมากนัก คะแนนรอบสองเป็นยังไงบ้าง?</t>
  </si>
  <si>
    <t>Fighter A and Fighter B are battling it out in round 4, with neither fighter landing a clean shot. However, Fighter A’s knee strikes seem to have a greater impact. How is the round scored?</t>
  </si>
  <si>
    <t>นักมวย A และนักมวย B ต่อสู้กันในรอบที่ 4 โดยไม่มีไฟท์เตอร์ลงจอดเลยแม้แต่นัดเดียว อย่างไรก็ตาม การฟาดเข่าของนักมวย A ดูเหมือนจะส่งผลกระทบมากกว่า คะแนนรอบเป็นอย่างไร?</t>
  </si>
  <si>
    <t>นักมวย A และนักมวย B ต่อสู้กันในรอบที่ 4 โดยไม่มีใครที่ล้มลงเลยแม้แต่ครั้งเดียว อย่างไรก็ตาม การฟาดเข่าของนักมวย A ดูเหมือนจะส่งผลกระทบมากกว่า คะแนนรอบเป็นอย่างไร?</t>
  </si>
  <si>
    <t>10:9 สำหรับนักสู้ A</t>
  </si>
  <si>
    <t>Fighter A punches Fighter B in the face, and Fighter B begins bleeding from the nose. The referee stops the fight for medical assessment, but Fighter B insists on continuing. What happens?</t>
  </si>
  <si>
    <t>นักมวย A ต่อยนักมวย B ที่หน้า และนักมวย B เริ่มมีเลือดออกจากจมูก ผู้ตัดสินหยุดการต่อสู้เพื่อประเมินทางการแพทย์ แต่นักมวย B ยืนกรานที่จะดำเนินการต่อ เกิดอะไรขึ้น?</t>
  </si>
  <si>
    <t>การต่อสู้ถูกหยุดชั่วคราวเพื่อการประเมิน</t>
  </si>
  <si>
    <t>นักสู้ B ชนะด้วยคะแนน</t>
  </si>
  <si>
    <t>Fighter A and Fighter B are tied at 19 points each after 3 rounds. The judges score the final round with Fighter A receiving 10:9 and Fighter B receiving 9:10. What is the final score?</t>
  </si>
  <si>
    <t>นักมวย A และนักมวย B เสมอกันที่ 19 แต้มหลังผ่านไป 3 รอบ กรรมการให้คะแนนรอบสุดท้ายโดยนักมวย A ได้รับ 10:9 และนักมวย B ได้รับ 9:10 คะแนนสุดท้ายเป็นเท่าไหร่?</t>
  </si>
  <si>
    <t>29-28 เพื่อสนับสนุนนักสู้ A</t>
  </si>
  <si>
    <t>เสมอ 28-28</t>
  </si>
  <si>
    <t>งวด 30-30 ครับ</t>
  </si>
  <si>
    <t>เสมอ 29-29</t>
  </si>
  <si>
    <t>Fighter A strikes Fighter B, knocking them down in the first round, but Fighter B gets up and continues fighting. The referee does not give Fighter B a standing count. What happens?</t>
  </si>
  <si>
    <t>นักมวย A โจมตีนักมวย B ทำให้พวกเขาล้มลงในยกแรก แต่นักมวย B ลุกขึ้นและต่อสู้ต่อไป ผู้ตัดสินไม่ให้การนับนักมวย B ยืน เกิดอะไรขึ้น?</t>
  </si>
  <si>
    <t>นักมวย A โจมตีนักมวย B ทำให้เขาล้มลงในครั้งแรก แต่นักมวย B ลุกขึ้นและสามารถชกต่อได้ ทั้งนี้ผู้ตัดสินไม่นับนักมวย B คะแนรอบนี้จะเป็นเท่าไร?</t>
  </si>
  <si>
    <t>คะแนนคือ 10: 8 สำหรับนักสู้ A</t>
  </si>
  <si>
    <t>คะแนนคือ 10:9 สำหรับไฟท์เตอร์ A</t>
  </si>
  <si>
    <t>คะแนนคือ 10: 7 สำหรับนักสู้ A</t>
  </si>
  <si>
    <t>รอบตัดสิน 10.10 น</t>
  </si>
  <si>
    <t>Fighter A receives a yellow card for using excessive force during a clinch in round 2. What is the penalty for this?</t>
  </si>
  <si>
    <t>นักมวย A ได้รับใบเหลืองจากการใช้กำลังเกินเหตุในการคว้าตัวยกที่ 2 มีบทลงโทษอย่างไร</t>
  </si>
  <si>
    <t>นักมวย A ได้รับใบเหลืองจากการใช้กำลังเกินเหตุในโอบกอดตัวผู้ต่อสู้ในยกที่ 2 มีบทลงโทษอย่างไร</t>
  </si>
  <si>
    <t>ไฟท์เตอร์ A ชนะ 10:7</t>
  </si>
  <si>
    <t>นักชก B ชนะในรอบนั้น</t>
  </si>
  <si>
    <t>Fighter A lands an illegal elbow strike, causing Fighter B to suffer a severe cut. The referee stops the fight and calls for medical assessment. What happens next?</t>
  </si>
  <si>
    <t>นักมวย A ลงศอกอย่างผิดกฎหมาย ทำให้นักมวย B ได้รับบาดเจ็บสาหัส กรรมการหยุดการต่อสู้และเรียกให้เข้ารับการประเมินทางการแพทย์ จะเกิดอะไรขึ้นต่อไป?</t>
  </si>
  <si>
    <t>นักมวย A ลงศอกอย่างผิดกติกา ทำให้นักมวย B ได้รับบาดเจ็บสาหัส กรรมการจึงหยุดการต่อสู้และเรียกให้เข้ารับการประเมินทางการแพทย์ จะเกิดอะไรขึ้นต่อไป?</t>
  </si>
  <si>
    <t>การแข่งขันคือการเสมอกัน</t>
  </si>
  <si>
    <t>นักชก A ถูกตัดสิทธิ์</t>
  </si>
  <si>
    <t>นักชก A เสีย 1 คะแนน</t>
  </si>
  <si>
    <t>In the fifth and final round, Fighter A lands a stunning head kick, causing Fighter B to stumble and almost fall. However, Fighter B retaliates with a series of quick punches. How is the round scored?</t>
  </si>
  <si>
    <t>ในรอบที่ห้าซึ่งเป็นรอบสุดท้าย นักมวย A เตะหัวอย่างน่าทึ่ง ทำให้นักมวย B สะดุดและเกือบล้ม อย่างไรก็ตาม นักมวย B ตอบโต้ด้วยการต่อยอย่างรวดเร็วหลายครั้ง คะแนนรอบเป็นอย่างไร?</t>
  </si>
  <si>
    <t>During round 1, Fighter A lands a punch that knocks Fighter B down. The referee gives Fighter B a standing count, but Fighter B is visibly unhurt and quickly recovers. How is the round scored?</t>
  </si>
  <si>
    <t>ในระหว่างรอบที่ 1 นักมวย A ลงหมัดซึ่งทำให้นักมวย B ล้มลง ผู้ตัดสินให้นักมวย B ยืนนับ แต่นักมวย B เห็นได้ชัดว่าไม่ได้รับบาดเจ็บและฟื้นตัวอย่างรวดเร็ว คะแนนรอบเป็นอย่างไร?</t>
  </si>
  <si>
    <t>Fighter A and Fighter B are fighting in round 4. Fighter B lands a knee strike, knocking Fighter A to the canvas. Fighter A gets back up and continues fighting. How is the round scored?</t>
  </si>
  <si>
    <t>นักมวย A และนักมวย B กำลังต่อสู้กันในรอบที่ 4 นักมวย B กระแทกเข่า ทำให้นักมวย A ล้มลงบนพื้นผ้าใบ นักมวย A ลุกขึ้นและต่อสู้ต่อไป คะแนนรอบเป็นอย่างไร?</t>
  </si>
  <si>
    <t>10:7 สำหรับนักมวย B</t>
  </si>
  <si>
    <t>Fighter A is penalized for an illegal elbow strike in the third round. How is Fighter A’s score affected?</t>
  </si>
  <si>
    <t>นักมวย A ถูกลงโทษฐานฟาดศอกอย่างผิดกฎหมายในรอบที่สาม คะแนนของนักมวย A ได้รับผลกระทบอย่างไร?</t>
  </si>
  <si>
    <t>นักมวย A ถูกลงโทษเนื่องจากฟาดศอกอย่างผิดกฎในรอบที่สาม คะแนนของนักมวย A ได้รับผลกระทบอย่างไร?</t>
  </si>
  <si>
    <t>นักมวย A ได้คะแนน 10:8</t>
  </si>
  <si>
    <t>นักมวย A เสีย 1 แต้ม</t>
  </si>
  <si>
    <t>นักมวย A ได้คะแนน 10:7</t>
  </si>
  <si>
    <t>นักมวย A ถูกตัดสิทธิ์</t>
  </si>
  <si>
    <t>Fighter A and Fighter B are locked in a clinch for most of round 2, but Fighter A lands a series of knees. How is the round likely to be scored?</t>
  </si>
  <si>
    <t>นักมวย A และนักมวย B ถูกจับล็อกกันเกือบทั้งยกที่ 2 แต่นักมวย A คุกเข่าลง รอบนี้จะได้สกอร์อย่างไร?</t>
  </si>
  <si>
    <t>นักมวย A และนักมวย B กอดล็อกกันเกือบทั้งยกที่ 2 แต่นักมวย A สามารถใช้เข่าได้ตลอดเป็นระยะ ๆ รอบนี้จะได้สกอร์อย่างไร?</t>
  </si>
  <si>
    <t>Fighter A throws an illegal low kick that connects with Fighter B’s groin. What is the immediate consequence?</t>
  </si>
  <si>
    <t>นักมวย A เตะต่ำอย่างผิดกฎหมายซึ่งเกี่ยวพันกับขาหนีบของนักมวย A ผลที่ตามมาทันทีคืออะไร?</t>
  </si>
  <si>
    <t>นักมวย A เตะต่ำอย่างผิดกฎ ซึ่งอยู่ใกล้กับกระจับของนักมวย A ผลที่ตามมาทันทีคืออะไร?</t>
  </si>
  <si>
    <t>นักมวย B ได้รับการนับการยืน</t>
  </si>
  <si>
    <t>In round 2, Fighter A successfully defends a takedown attempt and lands an effective counterattack. How is the round scored?</t>
  </si>
  <si>
    <t>ในรอบที่ 2 นักมวย A ป้องกันการโจมตีและโจมตีโต้กลับได้สำเร็จ คะแนนรอบเป็นอย่างไร?</t>
  </si>
  <si>
    <t>Fighter A is on the canvas, and Fighter B immediately starts attacking from the clinch. Fighter A struggles to defend but survives the round. How is the round scored?</t>
  </si>
  <si>
    <t>นักมวย A อยู่บนผืนผ้าใบ และนักมวย B เริ่มโจมตีทันทีจากการกอด นักมวย A ต่อสู้เพื่อปกป้องแต่ก็รอดมาได้ คะแนนรอบเป็นอย่างไร?</t>
  </si>
  <si>
    <t>Fighter A lands a clean punch to Fighter B’s face that causes a visible cut. Fighter B continues fighting without any signs of distress. How is the round scored?</t>
  </si>
  <si>
    <t>นักมวย A หมัดต่อยไปที่ใบหน้าของนักมวย B อย่างหมดจดจนทำให้เกิดบาดแผลที่มองเห็นได้ นักมวย B ยังคงต่อสู้ต่อไปโดยไม่มีสัญญาณของความทุกข์ใดๆ คะแนนรอบเป็นอย่างไร?</t>
  </si>
  <si>
    <t>นักมวย A ปล่อยหมัดไปที่ใบหน้าของนักมวย B ที่เห็นได้อย่างชัดเจนจนทำให้เกิดบาดแผล นักมวย B ยังคงต่อสู้ต่อไปโดยไม่มีสัญญาณของความทุกข์ใด ๆ คะแนนรอบเป็นอย่างไร?</t>
  </si>
  <si>
    <t>Fighter A lands a roundhouse kick that knocks Fighter B off balance but does not cause a knockdown. How is the round scored?</t>
  </si>
  <si>
    <t>นักมวย A เตะลูกกลมจนทำให้นักมวย B เสียการทรงตัวแต่ไม่ได้ทำให้ล้มลง คะแนนรอบเป็นอย่างไร?</t>
  </si>
  <si>
    <t>นักมวย A เตะลูกจนทำให้นักมวย B เสียการทรงตัวแต่ไม่ได้ทำให้ล้มลง คะแนนรอบเป็นอย่างไร?</t>
  </si>
  <si>
    <t>Fighter A has a noticeable cut under their left eye in round 4. Fighter B lands a series of punches, but the cut does not worsen. How is the round scored?</t>
  </si>
  <si>
    <t>นักมวย A มีบาดแผลที่ใต้ตาซ้ายอย่างเห็นได้ชัดในรอบที่ 4 นักมวย A ลงหมัดหลายครั้ง แต่บาดแผลไม่ได้แย่ลง คะแนนรอบเป็นอย่างไร?</t>
  </si>
  <si>
    <t>นักมวย A มีบาดแผลที่ใต้ตาซ้ายอย่างเห็นได้ชัดในรอบที่ 4 นักมวย B ได้ลงหมัดหลายครั้ง แต่บาดแผลของนักมวย A ไม่ได้แย่ลง คะแนนรอบเป็นอย่างไร?</t>
  </si>
  <si>
    <t>Fighter A lands an effective knee strike to Fighter B’s midsection, but Fighter B retaliates with a series of sharp jabs. How is the round likely scored?</t>
  </si>
  <si>
    <t>นักมวย A ฟาดเข่าเข้าที่ส่วนกลางของนักมวย B แต่นักมวย B ตอบโต้ด้วยการกระทุ้งอันแหลมคมต่อเนื่อง รอบนี้น่าจะได้สกอร์อย่างไร?</t>
  </si>
  <si>
    <t>นักมวย A ฟาดเข่าเข้าที่ส่วนกลางลำตัวของนักมวย B แต่นักมวย B ตอบโต้ด้วยหมัดแย็บที่คมต่อเนื่อง รอบนี้น่าจะได้สกอร์อย่างไร?</t>
  </si>
  <si>
    <t>Fighter A lands a devastating head kick in round 3, but Fighter B recovers quickly and fights back aggressively. How is the round scored?</t>
  </si>
  <si>
    <t>นักมวย A เตะหัวอย่างรุนแรงในรอบที่ 3 แต่นักมวย B ฟื้นตัวได้เร็วและโต้กลับอย่างดุดัน คะแนนรอบเป็นอย่างไร?</t>
  </si>
  <si>
    <t>Fighter A and Fighter B exchange strikes evenly for most of round 1, but Fighter A lands a clean punch just before the bell. How is the round scored?</t>
  </si>
  <si>
    <t>นักมวย A และนักมวย B แลกเปลี่ยนกันอย่างเท่าเทียมกันเกือบตลอดยกที่ 1 แต่นักมวย A หมัดหมัดอย่างหมดจดก่อนระฆังดัง คะแนนรอบเป็นอย่างไร?</t>
  </si>
  <si>
    <t>นักมวย A และนักมวย B แลกเปลี่ยนกันอย่างเท่าเทียมกันเกือบตลอดยกที่ 1 แต่นักมวย A ปล่อยหมัดที่ชัดเจนก่อนระฆังดัง คะแนนรอบเป็นอย่างไร?</t>
  </si>
  <si>
    <t>Fighter A is visibly hurt after taking a strong punch to the jaw from Fighter B in round 2. However, Fighter A does not go down. What is the score for the round?</t>
  </si>
  <si>
    <t>นักมวย A ได้รับบาดเจ็บอย่างเห็นได้ชัดหลังจากชกต่อยกรามของนักมวย B ในรอบที่ 2 อย่างไรก็ตาม นักมวย A ไม่ล้มลงไป คะแนนรอบเท่าไหร่คะ?</t>
  </si>
  <si>
    <t>นักมวย A ได้รับบาดเจ็บอย่างเห็นได้ชัดหลังจากชกต่อยกรามโดยนักมวย B ในรอบที่ 2 อย่างไรก็ตาม นักมวย A ไม่ล้มลงไป คะแนนรอบนี้เป็นเท่าไหร่?</t>
  </si>
  <si>
    <t>Fighter A dominates the final round, landing clean punches, kicks, and elbows, while Fighter B is more defensive. How is the round likely scored?</t>
  </si>
  <si>
    <t>นักมวย A ครองตำแหน่งในรอบสุดท้าย โดยชกต่อย เตะ และศอกอย่างหมดจด ในขณะที่นักมวย B จะเป็นฝ่ายรับมากกว่า รอบนี้น่าจะได้สกอร์อย่างไร?</t>
  </si>
  <si>
    <t>นักมวย A เป็นคนคุมเกมในรอบสุดท้าย โดยชกต่อย เตะ และศอกอย่างหมดจด ในขณะที่นักมวย B จะเป็นฝ่ายรับมากกว่า รอบนี้น่าจะได้สกอร์อย่างไร?</t>
  </si>
  <si>
    <t>Fighter A throws a spinning backfist and connects with Fighter B’s face. Fighter B stumbles back but does not go down. What is the score for the round?</t>
  </si>
  <si>
    <t>นักมวย A ขว้างหมัดย้อนกลับและเชื่อมต่อกับใบหน้าของนักมวย B นักมวย B สะดุดกลับแต่ไม่ล้มลง คะแนนรอบเท่าไหร่คะ?</t>
  </si>
  <si>
    <t>Fighter A and Fighter B are in a clinch for the first 30 seconds of round 4. Fighter B lands an effective elbow in the clinch. How is the round likely scored?</t>
  </si>
  <si>
    <t>นักมวย A และนักมวย B อยู่ในการกอดกันในช่วง 30 วินาทีแรกของยกที่ 4 นักมวย B ลงศอกอย่างมีประสิทธิภาพในการกอด รอบนี้น่าจะได้สกอร์อย่างไร?</t>
  </si>
  <si>
    <t>Fighter A is warned for illegal clinching in round 2. How does this affect the round’s scoring?</t>
  </si>
  <si>
    <t>นักมวย A ได้รับคำเตือนเรื่องการคว้าตัวอย่างผิดกฎหมายในรอบที่ 2 สิ่งนี้ส่งผลต่อการให้คะแนนของรอบอย่างไร</t>
  </si>
  <si>
    <t>นักมวย A ถูกลงโทษ 1 คะแนน</t>
  </si>
  <si>
    <t>นักมวย A ให้คะแนน 10:8</t>
  </si>
  <si>
    <t>นักมวย A ชนะในรอบนั้น</t>
  </si>
  <si>
    <t>Fighter A lands a head kick that forces Fighter B to the canvas. However, Fighter B recovers and continues fighting after the 8-count. What happens to the round’s score?</t>
  </si>
  <si>
    <t>นักมวย A เตะหัวเพื่อบังคับให้นักมวย B ขึ้นไปบนพื้นผ้าใบ อย่างไรก็ตาม นักมวย B ฟื้นตัวและต่อสู้ต่อไปหลังจากการนับ 8 ครั้ง จะเกิดอะไรขึ้นกับคะแนนของรอบ?</t>
  </si>
  <si>
    <t>นักมวย A เตะหัวส่งผลให้นักมวย B ล้มไปบนพื้น อย่างไรก็ตาม นักมวย B ฟื้นตัวและต่อสู้ต่อไปได้หลังจากการนับถึง 8 จะเกิดอะไรขึ้นกับคะแนนของรอบนี้?</t>
  </si>
  <si>
    <t>Fighter A and Fighter B are both exhausted by the end of round 3. Neither fighter has landed any clean strikes in the last minute. How is the round scored?</t>
  </si>
  <si>
    <t>นักมวย A และนักมวย B ต่างหมดแรงเมื่อสิ้นสุดยกที่ 3 ไม่มีนักสู้คนใดทำการโจมตีได้หมดจดในนาทีสุดท้าย คะแนนรอบเป็นอย่างไร?</t>
  </si>
  <si>
    <t>นักมวย A และนักมวย B ต่างหมดแรงเมื่อสิ้นสุดยกที่ 3 ไม่มีนักสู้คนใดทำการโจมตีได้อย่างชัดเจนในนาทีสุดท้าย คะแนนรอบเป็นอย่างไร?</t>
  </si>
  <si>
    <t>10:10 เสมอ</t>
  </si>
  <si>
    <t>Fighter A is repeatedly warned for illegal strikes during the clinch. The referee warns that the next infraction will result in a point deduction. What is the consequence?</t>
  </si>
  <si>
    <t>นักมวย A ได้รับคำเตือนซ้ำแล้วซ้ำอีกถึงการโจมตีที่ผิดกฎหมายระหว่างการคว้าตัว กรรมการเตือนว่าฝ่าฝืนครั้งต่อไปจะส่งผลให้ถูกหักคะแนน ผลที่ตามมาคืออะไร?</t>
  </si>
  <si>
    <t>นักมวย A ชนะ 10:8</t>
  </si>
  <si>
    <t>Fighter A has landed more strikes in round 1, but Fighter B has shown superior defense. How is the round likely scored?</t>
  </si>
  <si>
    <t>นักมวย A โจมตีได้มากกว่าในรอบที่ 1 แต่นักมวย B แสดงให้เห็นการป้องกันที่เหนือกว่า รอบนี้น่าจะได้สกอร์อย่างไร?</t>
  </si>
  <si>
    <t>Fighter A and Fighter B engage in a fast-paced exchange for most of round 3. Fighter A lands a clean uppercut that visibly hurts Fighter B. How is the round scored?</t>
  </si>
  <si>
    <t>นักมวย A และนักมวย B แลกเปลี่ยนกันอย่างรวดเร็วเป็นส่วนใหญ่ในรอบที่ 3 นักมวย A โจมตีด้วยตัวพิมพ์ใหญ่ที่สะอาดตาซึ่งทำให้นักมวย B เจ็บปวดอย่างเห็นได้ชัด รอบนี้ทำคะแนนได้อย่างไร</t>
  </si>
  <si>
    <t>นักมวย A และนักมวย B แลกเปลี่ยนกันอย่างรวดเร็วเป็นส่วนใหญ่ในรอบที่ 3 นักมวย A โจมตีด้วยหมัดอัปเปอร์คัตที่ชัดเจนซึ่งทำให้นักมวย B เจ็บปวดอย่างเห็นได้ชัด รอบนี้ทำคะแนนได้อย่างไร</t>
  </si>
  <si>
    <t>Fighter A is dropped by a powerful left hook from Fighter B in round 2. Fighter A gets back up quickly but seems disoriented. How is the round scored?</t>
  </si>
  <si>
    <t>นักมวย A ถูกฮุกซ้ายอันทรงพลังจากนักมวย B ทิ้งลงในยกที่ 2 นักมวย A ลุกขึ้นอย่างรวดเร็วแต่ดูเหมือนสับสน คะแนนรอบเป็นอย่างไร?</t>
  </si>
  <si>
    <t>นักมวย A ถูกฮุกซ้ายอันทรงพลังจากนักมวย B ทำให้ล้มลงในยกที่ 2 นักมวย B ลุกขึ้นอย่างรวดเร็วแต่ดูเหมือนจะมีอาการมึนงง คะแนนรอบเป็นอย่างไร?</t>
  </si>
  <si>
    <t>Fighter A lands a sharp knee to Fighter B’s body during a clinch, knocking the wind out of Fighter B. Fighter B does not go down but shows signs of slowing down. How is the round scored?</t>
  </si>
  <si>
    <t>นักมวย A ร่อนเข่าอันแหลมคมไปที่ร่างของนักมวย B ในระหว่างการกอด ซึ่งทำให้ลมออกจากนักมวย B นักมวย B ไม่ได้ลงไปแต่แสดงสัญญาณของการชะลอตัว คะแนนรอบเป็นอย่างไร?</t>
  </si>
  <si>
    <t>นักมวย A ร่อนเข่าอันแหลมคมไปที่ร่างของนักมวย B ในระหว่างการกอด นักมวย B ไม่ได้ล้มลง แต่แสดงอาการการชะลอตัว คะแนนรอบเป็นอย่างไร?</t>
  </si>
  <si>
    <t>Fighter A connects with a devastating elbow strike, causing Fighter B to stumble back. Fighter B retaliates with a series of quick jabs. How is the round likely to be scored?</t>
  </si>
  <si>
    <t>นักมวย A เข้าปะทะด้วยศอกทำลายล้าง ทำให้นักมวย B สะดุดถอยหลัง นักมวย B ตอบโต้ด้วยการกระทุ้งอย่างรวดเร็วหลายครั้ง รอบนี้จะได้สกอร์อย่างไร?</t>
  </si>
  <si>
    <t>Fighter A wins the first two rounds of the match, while Fighter B dominates round 3. How is the overall score likely to be?</t>
  </si>
  <si>
    <t>นักมวย A ชนะสองรอบแรกของแมตช์ ขณะที่นักมวย A ครองแชมป์รอบ 3 สกอร์โดยรวมจะเป็นอย่างไร?</t>
  </si>
  <si>
    <t>นักมวย A นำหน้า 20:19 น</t>
  </si>
  <si>
    <t>นักมวย B นำหน้า 20:19 น</t>
  </si>
  <si>
    <t>นักมวย B นำหน้า 30:28 น</t>
  </si>
  <si>
    <t>นักมวย A นำหน้า 30:28 น</t>
  </si>
  <si>
    <t>Fighter A and Fighter B have fought hard for the first 4 rounds. In the final round, Fighter B lands a head kick that knocks Fighter A to the canvas. What happens?</t>
  </si>
  <si>
    <t>นักมวย A และนักมวย B ต่อสู้กันอย่างหนักใน 4 รอบแรก ในรอบสุดท้าย นักมวย B เตะหัวจนนักมวย A ล้มลงบนผืนผ้าใบ เกิดอะไรขึ้น?</t>
  </si>
  <si>
    <t>การต่อสู้ไปที่ดัชนีชี้วัด</t>
  </si>
  <si>
    <t>การแข่งขันหยุดลงเนื่องจากอาการบาดเจ็บ</t>
  </si>
  <si>
    <t>Fighter A wins the first round with a clean strike that knocks Fighter B off balance. Fighter B wins the second round by showing better defense and landing cleaner jabs. How is the score after two rounds?</t>
  </si>
  <si>
    <t>นักมวย A ชนะในรอบแรกด้วยการโจมตีที่หมดจดซึ่งทำให้นักมวย B เสียการทรงตัว นักมวย B ชนะรอบที่สองด้วยการแสดงการป้องกันที่ดีขึ้นและการลงจอดที่สะอาดกว่า คะแนนหลังสองรอบเป็นยังไงบ้าง?</t>
  </si>
  <si>
    <t>Fighter A lands a successful elbow strike that causes a deep cut on Fighter B's forehead. How is the round scored?</t>
  </si>
  <si>
    <t>นักมวย A ลงศอกสำเร็จจนทำให้เกิดบาดแผลลึกบนหน้าผากของนักมวย B คะแนนรอบเป็นอย่างไร?</t>
  </si>
  <si>
    <t>Fighter A lands a powerful knee strike that visibly hurts Fighter B, who staggers backward but does not fall. How is the round scored?</t>
  </si>
  <si>
    <t>นักมวย A ฟาดเข่าอย่างทรงพลังซึ่งทำให้นักมวย B ได้รับบาดเจ็บอย่างเห็นได้ชัด ซึ่งเดินโซเซไปข้างหลังแต่ไม่ล้ม คะแนนรอบเป็นอย่างไร?</t>
  </si>
  <si>
    <t>Fighter A performs a successful leg sweep in round 3, causing Fighter B to fall to the canvas. However, Fighter B gets up quickly and resumes fighting. How is the round scored?</t>
  </si>
  <si>
    <t>นักมวย A กวาดขาได้สำเร็จในรอบที่ 3 ทำให้นักมวย B ล้มลงบนพื้นผ้าใบ อย่างไรก็ตาม นักมวย B ลุกขึ้นอย่างรวดเร็วและต่อสู้ต่อ คะแนนรอบเป็นอย่างไร?</t>
  </si>
  <si>
    <t>Fighter A successfully lands a head kick in round 1, but Fighter B retaliates with an elbow strike that causes a cut. How is the round scored?</t>
  </si>
  <si>
    <t>นักมวย A เตะหัวได้สำเร็จในรอบที่ 1 แต่นักมวย A ตอบโต้ด้วยการฟาดศอกจนได้รับบาดเจ็บ คะแนนรอบเป็นอย่างไร?</t>
  </si>
  <si>
    <t>นักมวย A เตะหัวได้สำเร็จในรอบที่ 1 แต่นักมวย B ตอบโต้ด้วยการฟาดศอกจนนักมวย A ได้รับบาดเจ็บ คะแนนรอบเป็นอย่างไร?</t>
  </si>
  <si>
    <t>Fighter A gets a standing 8-count in round 2. How does this affect Fighter A’s score?</t>
  </si>
  <si>
    <t>นักมวย A ได้รับการยืนนับถึง 8 ในรอบที่ 2 สิ่งนี้ส่งผลต่อคะแนนของนักมวย A อย่างไร</t>
  </si>
  <si>
    <t>Fighter A lands a clean punch to Fighter B's face, followed by a series of knee strikes. Fighter B shows signs of damage. How is the round scored?</t>
  </si>
  <si>
    <t>นักมวย A หมัดต่อยไปที่ใบหน้าของนักมวย B ตามด้วยการตีเข่าต่อเนื่องหลายครั้ง นักมวย B แสดงร่องรอยความเสียหาย คะแนนรอบเป็นอย่างไร?</t>
  </si>
  <si>
    <t>นักมวย A ปล่อยหมัดต่อยไปที่ใบหน้าของนักมวย B ตามด้วยการตีเข่าต่อเนื่องหลายครั้ง นักมวย B แสดงร่องรอยความเสียหาย คะแนนรอบเป็นอย่างไร?</t>
  </si>
  <si>
    <t>Fighter A is penalized for grabbing the ropes during the clinch. How does this affect Fighter A’s score?</t>
  </si>
  <si>
    <t>นักมวย A ถูกลงโทษจากการคว้าเชือกระหว่างการกอด สิ่งนี้ส่งผลต่อคะแนนของนักมวย A อย่างไร</t>
  </si>
  <si>
    <t>Fighter A is dropped by a well-placed punch from Fighter B but gets back up quickly. What happens to the score for the round?</t>
  </si>
  <si>
    <t>นักมวย A ถูกดรอปด้วยหมัดที่จัดวางอย่างดีจากนักมวย B แต่กลับลุกขึ้นมาได้อย่างรวดเร็ว จะเกิดอะไรขึ้นกับคะแนนในรอบนั้น?</t>
  </si>
  <si>
    <t>นักมวย A ถูกล้มด้วยหมัดที่จัดวางอย่างดีจากนักมวย B แต่สามารถกลับลุกขึ้นมาได้อย่างรวดเร็ว จะเกิดอะไรขึ้นกับคะแนนในรอบนั้น?</t>
  </si>
  <si>
    <t>Fighter A and Fighter B engage in a back-and-forth exchange throughout round 3. Neither fighter lands a decisive strike. How is the round scored?</t>
  </si>
  <si>
    <t>นักมวย A และนักมวย B ต่อสู้กันแบบไปมาตลอดยกที่ 3 ไม่มีนักสู้คนใดลงจอดอย่างเด็ดขาด คะแนนรอบเป็นอย่างไร?</t>
  </si>
  <si>
    <t>Fighter A delivers a crushing elbow strike to Fighter B’s temple, knocking them down for a brief moment. How is the round scored?</t>
  </si>
  <si>
    <t>นักมวย A ฟาดศอกใส่ขมับของนักมวย B ทำให้พวกเขาล้มลงครู่หนึ่ง คะแนนรอบเป็นอย่างไร?</t>
  </si>
  <si>
    <t>Fighter A and Fighter B clinch for most of round 4, but Fighter A lands a series of knees to Fighter B’s body. How is the round scored?</t>
  </si>
  <si>
    <t>นักมวย A และนักมวย B แย่งชิงกันเกือบทั้งยกที่ 4 แต่นักมวย A คุกเข่าลงที่ร่างของนักมวย B คะแนนรอบเป็นอย่างไร?</t>
  </si>
  <si>
    <t>Fighter A knocks Fighter B down with a clean head kick in round 1. However, Fighter B quickly gets back up and continues the fight. How is the round scored?</t>
  </si>
  <si>
    <t>นักมวย A ล้มนักมวย B ล้มลงด้วยการเตะหัวอย่างหมดจดในรอบที่ 1 อย่างไรก็ตาม นักมวย B ลุกขึ้นอย่างรวดเร็วและต่อสู้ต่อไป คะแนนรอบเป็นอย่างไร?</t>
  </si>
  <si>
    <t>นักมวย A ล้มนักมวย B ด้วยการเตะหัวในรอบที่ 1 อย่างไรก็ตาม นักมวย B ลุกขึ้นอย่างรวดเร็วและต่อสู้ต่อไป คะแนนรอบเป็นอย่างไร?</t>
  </si>
  <si>
    <t>Fighter A lands a solid punch that causes a visible cut above Fighter B’s eyebrow. How is the round scored?</t>
  </si>
  <si>
    <t>นักมวย A ลงหมัดอย่างแรงจนทำให้เกิดรอยบาดเหนือคิ้วของนักมวย B คะแนนรอบเป็นอย่างไร?</t>
  </si>
  <si>
    <t>Fighter A lands a clean leg kick that causes Fighter B to lose balance. Fighter B does not fall but is forced to reset. How is the round scored?</t>
  </si>
  <si>
    <t>นักมวย A เตะขาอย่างหมดจดซึ่งทำให้นักมวย B เสียการทรงตัว นักมวย B ไม่ล้มแต่ถูกบังคับให้รีเซ็ต คะแนนรอบเป็นอย่างไร?</t>
  </si>
  <si>
    <t>นักมวย A เตะขาเข้าตำแหน่ง ซึ่งทำให้นักมวย B เสียการทรงตัว นักมวย B ไม่ล้มแต่ถูกบังคับให้รีเซ็ต คะแนนรอบเป็นอย่างไร?</t>
  </si>
  <si>
    <t>Fighter A gets a warning for illegal strikes during the clinch in round 3. How does this affect Fighter A’s score?</t>
  </si>
  <si>
    <t>นักมวย A ได้รับคำเตือนเรื่องการนัดหยุดงานอย่างผิดกฎหมายระหว่างการคว้าตัวในรอบที่ 3 สิ่งนี้ส่งผลต่อคะแนนของนักมวย A อย่างไร</t>
  </si>
  <si>
    <t>Fighter A lands an uppercut that visibly stuns Fighter B in round 2, but Fighter B survives and fights back. How is the round scored?</t>
  </si>
  <si>
    <t>นักมวย A ลงจอดด้วยตัวพิมพ์ใหญ่ที่ทำให้นักมวย B ตะลึงอย่างเห็นได้ชัดในรอบที่ 2 แต่นักมวย B รอดชีวิตและสู้กลับได้ คะแนนรอบเป็นอย่างไร?</t>
  </si>
  <si>
    <t>Fighter A lands a series of clean jabs and low kicks throughout round 1. Fighter B struggles to counter effectively. How is the round scored?</t>
  </si>
  <si>
    <t>นักมวย A ทำการกระทุ้งและเตะต่ำอย่างต่อเนื่องตลอดยกที่ 1 นักมวย B พยายามดิ้นรนเพื่อตอบโต้อย่างมีประสิทธิภาพ คะแนนรอบเป็นอย่างไร?</t>
  </si>
  <si>
    <t>Fighter A is knocked down by a powerful right hook in round 3. Fighter A gets back up but is visibly shaken. How is the round scored?</t>
  </si>
  <si>
    <t>นักมวย A ถูกหมัดฮุกขวาอันทรงพลังล้มลงในยกที่ 3 นักมวย A ลุกขึ้นมาได้แต่กลับรู้สึกสั่นอย่างเห็นได้ชัด คะแนนรอบเป็นอย่างไร?</t>
  </si>
  <si>
    <t>Fighter A and Fighter B exchange elbows in the clinch during round 2. Both fighters land effective strikes. How is the round scored?</t>
  </si>
  <si>
    <t>นักมวย A และนักมวย B แลกเปลี่ยนศอกกันระหว่างยกที่ 2 นักสู้ทั้งสองลงจอดอย่างมีประสิทธิภาพ คะแนนรอบเป็นอย่างไร?</t>
  </si>
  <si>
    <t>Fighter A lands a clean body shot that causes Fighter B to take a step back. Fighter B retaliates with a quick jab to Fighter A’s face. How is the round likely scored?</t>
  </si>
  <si>
    <t>นักมวย A ยิงกระสุนใส่ร่างกายจนทำให้นักมวย B ถอยหลังหนึ่งก้าว นักมวย B ตอบโต้ด้วยการกระทุ้งใส่หน้านักมวย A อย่างรวดเร็ว รอบนี้น่าจะได้สกอร์อย่างไร?</t>
  </si>
  <si>
    <t>Fighter A successfully blocks all of Fighter B's strikes in round 1 and counters effectively. How is the round scored?</t>
  </si>
  <si>
    <t>นักมวย A สกัดกั้นการโจมตีของนักมวย B ในรอบที่ 1 ได้สำเร็จ และตอบโต้ได้อย่างมีประสิทธิภาพ คะแนนรอบเป็นอย่างไร?</t>
  </si>
  <si>
    <t>Fighter A lands a clean knee to Fighter B's midsection, but Fighter B responds with an elbow that cuts Fighter A’s brow. How is the round likely scored?</t>
  </si>
  <si>
    <t>นักมวย A คุกเข่าลงที่ส่วนกลางของนักมวย B แต่นักมวย B ตอบโต้ด้วยศอกที่ตัดคิ้วของนักมวย A รอบนี้น่าจะได้สกอร์อย่างไร?</t>
  </si>
  <si>
    <t>Fighter A and Fighter B have an intense exchange in the last 30 seconds of round 2. Fighter A lands a clean right hook, but Fighter B counters with a left hook to the body. How is the round scored?</t>
  </si>
  <si>
    <t>นักมวย A และนักมวย B มีการแลกเปลี่ยนกันอย่างดุเดือดในช่วง 30 วินาทีสุดท้ายของยกที่ 2 นักมวย A ตกฮุกขวาที่เรียบร้อย แต่นักมวย B ตอบโต้ด้วยฮุคซ้ายไปที่ลำตัว คะแนนรอบเป็นอย่างไร?</t>
  </si>
  <si>
    <t>Fighter A performs a perfect spinning back kick that knocks Fighter B to the canvas. Fighter B gets up but looks dazed. How is the round scored?</t>
  </si>
  <si>
    <t>นักมวย A ทำการเตะกลับแบบหมุนที่สมบูรณ์แบบซึ่งทำให้นักมวย B ล้มลงบนพื้นผ้าใบ นักมวย B ลุกขึ้นแต่ดูมึนงง คะแนนรอบเป็นอย่างไร?</t>
  </si>
  <si>
    <t>Fighter A lands a sharp jab that causes a small bruise on Fighter B's face. How is the round likely scored?</t>
  </si>
  <si>
    <t>นักมวย A กระทุ้งอันแหลมคมจนทำให้เกิดรอยช้ำเล็กน้อยบนใบหน้าของนักมวย B รอบนี้น่าจะได้สกอร์อย่างไร?</t>
  </si>
  <si>
    <t>Fighter A and Fighter B have a back-and-forth round in which both land clean strikes, but Fighter A lands more effective shots. How is the round likely scored?</t>
  </si>
  <si>
    <t>นักมวย A และนักมวย B มีรอบไปมาซึ่งทั้งสองโจมตีอย่างหมดจด แต่นักมวย A ยิงได้อย่างมีประสิทธิภาพมากกว่า รอบนี้น่าจะได้สกอร์อย่างไร?</t>
  </si>
  <si>
    <t>Fighter A lands a well-placed kick to Fighter B's leg, causing Fighter B to stumble. Fighter B retaliates with a clean counter jab. How is the round scored?</t>
  </si>
  <si>
    <t>นักมวย A เตะขาของนักมวย B ในตำแหน่งที่ดี ทำให้นักมวย B สะดุด นักมวย B ตอบโต้ด้วยการกระทุ้งสวนกลับอย่างหมดจด คะแนนรอบเป็นอย่างไร?</t>
  </si>
  <si>
    <t>Fighter A and Fighter B exchange strikes evenly for most of the round, but Fighter A lands a clean head kick just before the bell. How is the round scored?</t>
  </si>
  <si>
    <t>นักมวย A และนักมวย B ตีกันอย่างเท่าเทียมกันเกือบตลอดยก แต่นักมวย A เตะหัวอย่างหมดจดก่อนระฆังดัง คะแนนรอบเป็นอย่างไร?</t>
  </si>
  <si>
    <t>Fighter A lands a brutal body kick that forces Fighter B to stagger back, visibly hurt. How is the round scored?</t>
  </si>
  <si>
    <t>นักมวย A เตะเข้าที่ร่างกายอย่างโหดร้ายจนทำให้นักมวย B โซเซถอยหลัง เห็นได้ชัดว่าได้รับบาดเจ็บ คะแนนรอบเป็นอย่างไร?</t>
  </si>
  <si>
    <t>Fighter A is knocked down twice in round 3 by Fighter B’s well-timed hooks. What happens to the round’s score?</t>
  </si>
  <si>
    <t>นักมวย A ล้มลงสองครั้งในรอบที่ 3 ด้วยตะขอที่จับเวลาได้อย่างดีของนักมวย B จะเกิดอะไรขึ้นกับคะแนนของรอบ?</t>
  </si>
  <si>
    <t>Fighter A lands a strong uppercut that knocks Fighter B back, but Fighter B counters with an aggressive jab. How is the round scored?</t>
  </si>
  <si>
    <t>นักมวย A ลงจอดด้วยตัวพิมพ์ใหญ่ที่แข็งแกร่งซึ่งทำให้นักมวย B ถอยหลัง แต่นักมวย B โต้ตอบด้วยการกระทุ้งที่ดุดัน คะแนนรอบเป็นอย่างไร?</t>
  </si>
  <si>
    <t>Fighter A is warned for holding the ropes during the clinch, but Fighter B is not able to capitalize. How does this affect the round?</t>
  </si>
  <si>
    <t>นักมวย A ได้รับคำเตือนให้ถือเชือกระหว่างการกอด แต่นักมวย B ไม่สามารถใช้ประโยชน์ได้ สิ่งนี้ส่งผลต่อรอบอย่างไร?</t>
  </si>
  <si>
    <t>Fighter A dominates round 1 with clean strikes and a well-executed knee in the clinch. Fighter B lands a couple of good counters but is unable to match Fighter A’s pace. How is the round scored?</t>
  </si>
  <si>
    <t>นักมวย A ครองตำแหน่งยกที่ 1 ด้วยการโจมตีที่สะอาดตาและจังหวะเข่าที่เฉียบคมในการคว้าตัว นักมวย B โจมตีโต้กลับได้ดีแต่ไม่สามารถเทียบความเร็วของนักมวย A ได้ คะแนนรอบเป็นอย่างไร?</t>
  </si>
  <si>
    <t>Fighter A delivers a knee strike that causes Fighter B to stumble back and lose balance. How is the round likely scored?</t>
  </si>
  <si>
    <t>นักมวย A ตีเข่าจนทำให้นักมวย B สะดุดล้มและเสียการทรงตัว รอบนี้น่าจะได้สกอร์อย่างไร?</t>
  </si>
  <si>
    <t>Fighter A and Fighter B trade punches throughout round 2, but Fighter A lands a solid right hook that shakes Fighter B. How is the round scored?</t>
  </si>
  <si>
    <t>นักมวย A และนักมวย B แลกหมัดกันตลอดยกที่ 2 แต่นักมวย A ตกฮุกขวาจนสั่นสะเทือนนักมวย B ในรอบนี้ทำคะแนนได้อย่างไร</t>
  </si>
  <si>
    <t>นักมวย A และนักมวย B แลกหมัดกันตลอดยกที่ 2 แต่นักมวย A ปล่อยฮุกขวาจนสั่นสะเทือนนักมวย B ในรอบนี้ทำคะแนนได้อย่างไร</t>
  </si>
  <si>
    <t>Fighter A lands a series of low kicks that visibly hurt Fighter B. Fighter B struggles to fight back but manages to stay standing. How is the round scored?</t>
  </si>
  <si>
    <t>นักมวย A เตะต่ำหลายครั้งจนทำให้นักมวย B ได้รับบาดเจ็บอย่างเห็นได้ชัด นักมวย B พยายามต่อสู้เพื่อตอบโต้แต่ก็สามารถยืนหยัดได้ คะแนนรอบเป็นอย่างไร?</t>
  </si>
  <si>
    <t>Fighter A is dropped by a left hook in round 1 but quickly gets back up and continues to fight. How is the round scored?</t>
  </si>
  <si>
    <t>นักมวย A โดนฮุกซ้ายทิ้งในรอบที่ 1 แต่ก็ลุกขึ้นมาต่อสู้ต่อได้อย่างรวดเร็ว คะแนนรอบเป็นอย่างไร?</t>
  </si>
  <si>
    <t>นักมวย A โดนฮุกซ้ายและล้มลงในรอบที่ 1 แต่ก็ลุกขึ้นมาต่อสู้ต่อได้อย่างรวดเร็ว คะแนนรอบเป็นอย่างไร?</t>
  </si>
  <si>
    <t>Fighter A is warned for using an illegal knee strike to the head of Fighter B during the clinch. How does this affect Fighter A’s score?</t>
  </si>
  <si>
    <t>นักมวย A ได้รับการเตือนให้ใช้การตีเข่าอย่างผิดกฎหมายที่ศีรษะของนักมวย B ในระหว่างการกอด สิ่งนี้ส่งผลต่อคะแนนของนักมวย A อย่างไร</t>
  </si>
  <si>
    <t>Fighter A lands a clean spinning back fist to Fighter B’s head. Fighter B is knocked down but gets back up immediately. How is the round scored?</t>
  </si>
  <si>
    <t>นักมวย A เหวี่ยงหมัดกลับเข้าที่หัวของนักมวย B นักมวย B ล้มลงแต่กลับลุกขึ้นมาได้ทันที คะแนนรอบเป็นอย่างไร?</t>
  </si>
  <si>
    <t>Fighter A lands an elbow strike that cuts Fighter B above the eyebrow. Fighter B is still fighting back effectively but is visibly hurt. How is the round likely scored?</t>
  </si>
  <si>
    <t>นักมวย A ลงศอกฟาดนักมวย B เหนือคิ้ว นักมวย B ยังคงต่อสู้กลับได้อย่างมีประสิทธิภาพแต่ได้รับบาดเจ็บอย่างเห็นได้ชัด รอบนี้น่าจะได้สกอร์อย่างไร?</t>
  </si>
  <si>
    <t>Fighter A drops Fighter B with a powerful punch, and Fighter B struggles to get up but is unable to continue. What happens to the fight?</t>
  </si>
  <si>
    <t>นักมวย A ทิ้งนักมวย B ด้วยหมัดอันทรงพลัง และนักมวย B พยายามดิ้นรนเพื่อลุกขึ้นแต่ไม่สามารถไปต่อได้ จะเกิดอะไรขึ้นกับการต่อสู้?</t>
  </si>
  <si>
    <t>นักมวย A ล้มนักมวย B ด้วยหมัดอันทรงพลัง และนักมวย B พยายามดิ้นรนเพื่อลุกขึ้นแต่ไม่สามารถลุกขึ้นได้ จะเกิดอะไรขึ้นต่อ?</t>
  </si>
  <si>
    <t>การต่อสู้ถือว่าเสมอกัน</t>
  </si>
  <si>
    <t>นักมวย B ชนะด้วยการน็อกเอาต์ทางเทคนิค</t>
  </si>
  <si>
    <t>นักมวย A ชนะด้วยคะแนน</t>
  </si>
  <si>
    <t>Fighter A and Fighter B exchange strikes for most of round 3, but Fighter A lands a clean head kick just before the bell. How is the round scored?</t>
  </si>
  <si>
    <t>นักมวย A และนักมวย B ปะทะกันเป็นส่วนใหญ่ของยกที่ 3 แต่นักมวย A เตะหัวอย่างหมดจดก่อนระฆังดัง คะแนนรอบเป็นอย่างไร?</t>
  </si>
  <si>
    <t>Fighter A lands a clean right hand that causes Fighter B to stumble. Fighter B recovers but does not land any significant strikes in the remainder of the round. How is the round scored?</t>
  </si>
  <si>
    <t>นักมวย A ลงมือขวาที่สะอาดซึ่งทำให้นักมวย B สะดุด นักมวย B ฟื้นตัวแต่ไม่สามารถทำการโจมตีที่สำคัญใดๆ ได้ในช่วงที่เหลือของยก คะแนนรอบเป็นอย่างไร?</t>
  </si>
  <si>
    <t>Fighter A is clearly the aggressor, landing several strikes, but Fighter B is able to defend and counter effectively. How is the round scored?</t>
  </si>
  <si>
    <t>เห็นได้ชัดว่านักมวย A เป็นผู้รุกราน โดยโจมตีหลายครั้ง แต่นักมวย B สามารถป้องกันและโต้ตอบได้อย่างมีประสิทธิภาพ คะแนนรอบเป็นอย่างไร?</t>
  </si>
  <si>
    <t>เห็นได้ชัดว่านักมวย A เป็นฝ่ายรุก โดยโจมตีหลายครั้ง แต่นักมวย B สามารถป้องกันและโต้ตอบได้อย่างมีประสิทธิภาพ คะแนนรอบเป็นอย่างไร?</t>
  </si>
  <si>
    <t>Fighter A lands a brutal knee to Fighter B’s ribs that forces Fighter B to back up. How is the round likely scored?</t>
  </si>
  <si>
    <t>นักมวย A คุกเข่าอย่างโหดร้ายไปที่ซี่โครงของนักมวย B ซึ่งบังคับให้นักมวย B ถอยกลับ รอบนี้น่าจะได้สกอร์อย่างไร?</t>
  </si>
  <si>
    <t>Fighter A and Fighter B engage in a close exchange throughout round 2, but Fighter A lands a clean elbow that causes a small cut above Fighter B’s eyebrow. How is the round scored?</t>
  </si>
  <si>
    <t>นักมวย A และนักมวย B ต่อสู้กันอย่างใกล้ชิดตลอดยกที่ 2 แต่นักมวย A ฟาดศอกจนเป็นรอยบาดเล็กน้อยเหนือคิ้วของนักมวย B คะแนนรอบเป็นอย่างไร?</t>
  </si>
  <si>
    <t>Fighter A scores a clean body shot that visibly hurts Fighter B. However, Fighter B responds with a powerful head kick that lands cleanly on Fighter A. How is the round scored?</t>
  </si>
  <si>
    <t>นักมวย A ยิงด้วยลำตัวที่สะอาดซึ่งทำให้นักมวย B ได้รับบาดเจ็บอย่างเห็นได้ชัด อย่างไรก็ตาม นักมวย A ตอบโต้ด้วยการเตะหัวอันทรงพลังซึ่งตกลงใส่นักมวย A อย่างหมดจด รอบนั้นได้คะแนนอย่างไร</t>
  </si>
  <si>
    <t>Fighter A lands a perfect spinning elbow that drops Fighter B. How is the round scored?</t>
  </si>
  <si>
    <t>นักมวย A เหวี่ยงศอกหมุนอย่างสมบูรณ์แบบจนทำให้นักมวย B ตกลง รอบที่ได้คะแนนเป็นอย่างไร</t>
  </si>
  <si>
    <t>Fighter A scores a clean low kick that causes Fighter B to stagger back, but Fighter B responds with a quick jab to Fighter A’s head. How is the round likely scored?</t>
  </si>
  <si>
    <t>นักมวย A เตะต่ำอย่างหมดจดจนทำให้นักมวย B โซเซถอยหลัง แต่นักมวย B ตอบสนองด้วยการกระทุ้งไปที่หัวของนักมวย A อย่างรวดเร็ว รอบนี้น่าจะได้สกอร์อย่างไร?</t>
  </si>
  <si>
    <t>Fighter A lands a perfectly timed knee to Fighter B’s face during the clinch, knocking Fighter B back. How is the round scored?</t>
  </si>
  <si>
    <t>นักมวย A คุกเข่าลงที่ใบหน้าของนักมวย B ในเวลาที่เหมาะสมอย่างสมบูรณ์ในระหว่างการกอด ส่งผลให้นักมวย B ถอยหลัง คะแนนรอบเป็นอย่างไร?</t>
  </si>
  <si>
    <t>Fighter A is dropped by a powerful straight right hand, but Fighter A gets back up and continues to fight with intensity. How is the round likely scored?</t>
  </si>
  <si>
    <t>นักมวย A ถูกทิ้งด้วยมือขวาอันทรงพลังตรง แต่นักมวย A ลุกขึ้นมาและต่อสู้ต่อไปอย่างเข้มข้น รอบนี้น่าจะได้สกอร์อย่างไร?</t>
  </si>
  <si>
    <t>Fighter A lands a strong uppercut that drops Fighter B to the canvas for a 10-count. Fighter B is unable to get back up. What happens to the fight?</t>
  </si>
  <si>
    <t>นักมวย A ลงจอดด้วยตัวพิมพ์ใหญ่ที่แข็งแกร่ง ส่งผลให้นักมวย B ตกลงบนพื้นผ้าใบนับ 10 ครั้ง นักมวย B ไม่สามารถถอยกลับได้ จะเกิดอะไรขึ้นกับการต่อสู้?</t>
  </si>
  <si>
    <t>นักมวย A ปล่อยหมัดอัปเปอร์คัตที่หนัก ส่งผลให้นักมวย B ล้มบนพื้นโดยนับ 1 ถึง 10 ครั้ง และนักมวย B ไม่สามารถยืนกลับมาได้ จะเกิดอะไรขึ้นกับการต่อสู้?</t>
  </si>
  <si>
    <t>นักสู้ A ชนะด้วยคะแนน</t>
  </si>
  <si>
    <t>ทำการแข่งใหม่</t>
  </si>
  <si>
    <t>Fighter A dominates round 1 with a series of effective strikes. Fighter B fails to defend properly. How is the round scored?</t>
  </si>
  <si>
    <t>นักมวย A ครองรอบ 1 ด้วยการโจมตีที่มีประสิทธิภาพต่อเนื่อง นักมวย B ล้มเหลวในการป้องกันอย่างเหมาะสม คะแนนรอบเป็นอย่างไร?</t>
  </si>
  <si>
    <t>Fighter A lands a series of clean punches, and Fighter B is visibly wobbled. Fighter B is unable to mount an effective counterattack for the remainder of the round. How is the round likely scored?</t>
  </si>
  <si>
    <t>นักมวย A โจมตีอย่างต่อเนื่อง และนักมวย B ก็โยกเยกอย่างเห็นได้ชัด นักมวย B ไม่สามารถโจมตีโต้ตอบได้อย่างมีประสิทธิภาพในช่วงที่เหลือของรอบ รอบนี้น่าจะได้สกอร์อย่างไร?</t>
  </si>
  <si>
    <t>นักมวย A โจมตีอย่างต่อเนื่อง และนักมวย B ก็โซเซอย่างเห็นได้ชัด นักมวย B ไม่สามารถโจมตีโต้ตอบได้อย่างมีประสิทธิภาพในช่วงที่เหลือของรอบ รอบนี้น่าจะได้สกอร์อย่างไร?</t>
  </si>
  <si>
    <t>Fighter A lands a solid right hook, but Fighter B manages to counter with a well-timed elbow. Both fighters land multiple strikes throughout the round. How is the round scored?</t>
  </si>
  <si>
    <t>นักมวย A ฮุกขวาอย่างมั่นคง แต่นักมวย A ก็สามารถตอบโต้ด้วยศอกที่จับเวลาได้เหมาะสม นักสู้ทั้งสองโจมตีหลายครั้งตลอดรอบ คะแนนรอบเป็นอย่างไร?</t>
  </si>
  <si>
    <t>Fighter A performs a series of effective leg kicks, causing Fighter B to limp slightly but still remain mobile. How is the round likely scored?</t>
  </si>
  <si>
    <t>นักมวย A ทำการเตะขาอย่างมีประสิทธิภาพ ทำให้นักมวย B เดินกะเผลกเล็กน้อยแต่ยังคงเคลื่อนที่ได้ รอบนี้น่าจะได้สกอร์อย่างไร?</t>
  </si>
  <si>
    <t>Fighter A is warned for an illegal elbow to Fighter B’s back. How does this impact Fighter A’s score?</t>
  </si>
  <si>
    <t>นักมวย A ได้รับคำเตือนเรื่องการใช้ศอกที่ไม่ถูกต้องที่หลังของนักมวย B สิ่งนี้ส่งผลต่อคะแนนของนักมวย A อย่างไร</t>
  </si>
  <si>
    <t>นักชก A ชนะในรอบนั้น</t>
  </si>
  <si>
    <t>Fighter A lands a perfect knee strike to Fighter B’s midsection, forcing Fighter B to retreat. How is the round likely scored?</t>
  </si>
  <si>
    <t>นักมวย A ฟาดเข่าลงที่บริเวณกลางลำตัวของนักมวย B อย่างสมบูรณ์ ส่งผลให้นักมวย B ต้องล่าถอย รอบนี้น่าจะได้สกอร์อย่างไร?</t>
  </si>
  <si>
    <t>นักมวย A ฟาดเข่าลงที่บริเวณกลางลำตัวของนักมวย B อย่างสมบูรณ์ ส่งผลให้นักมวย B ต้องถอย รอบนี้น่าจะได้สกอร์อย่างไร?</t>
  </si>
  <si>
    <t>Fighter A delivers a clean jab that cuts Fighter B’s lip. Fighter B continues to fight back but is clearly hurt. How is the round scored?</t>
  </si>
  <si>
    <t>นักมวย A กระทุ้งสะอาดซึ่งตัดริมฝีปากของนักมวย B นักมวย B ยังคงต่อสู้กลับแต่ได้รับบาดเจ็บอย่างเห็นได้ชัด คะแนนรอบเป็นอย่างไร?</t>
  </si>
  <si>
    <t>Fighter A lands a low kick that causes Fighter B to fall, but Fighter B quickly gets back up and continues fighting. How is the round scored?</t>
  </si>
  <si>
    <t>นักมวย A เตะต่ำจนทำให้นักมวย B ล้มลง แต่นักมวย B ลุกขึ้นอย่างรวดเร็วและต่อสู้ต่อไป คะแนนรอบเป็นอย่างไร?</t>
  </si>
  <si>
    <t>Fighter A performs a series of clean strikes to Fighter B’s head and body. Fighter B, although hurt, manages to defend well for the remainder of the round. How is the round scored?</t>
  </si>
  <si>
    <t>นักมวย A โจมตีศีรษะและลำตัวของนักมวย B อย่างหมดจด นักมวย B แม้จะบาดเจ็บ แต่ก็สามารถป้องกันได้ดีตลอดทั้งยก คะแนนรอบเป็นอย่างไร?</t>
  </si>
  <si>
    <t>Fighter A drops Fighter B with a punch and gains a dominant position, but Fighter B recovers and continues to fight. How is the round likely scored?</t>
  </si>
  <si>
    <t>นักมวย A ทิ้งนักมวย B ด้วยหมัดและได้รับตำแหน่งที่โดดเด่น แต่นักมวย B ฟื้นตัวและต่อสู้ต่อไป รอบนี้น่าจะได้สกอร์อย่างไร?</t>
  </si>
  <si>
    <t>Fighter A delivers a high kick that barely misses Fighter B’s head. However, Fighter B counters with a clean elbow that lands perfectly. How is the round scored?</t>
  </si>
  <si>
    <t>นักมวย A เตะสูงจนแทบไม่พลาดหัวของนักมวย B อย่างไรก็ตาม นักมวย B ตอบโต้ด้วยศอกที่สะอาดซึ่งตกลงพื้นอย่างสมบูรณ์แบบ คะแนนรอบเป็นอย่างไร?</t>
  </si>
  <si>
    <t>นักมวย A เตะสูงจนแทบไม่พลาดหัวของนักมวย B อย่างไรก็ตาม นักมวย B ตอบโต้ด้วยศอกที่ตรงเป้า ทำให้นักมวย A ล้มลงพื้น คะแนนรอบเป็นอย่างไร?</t>
  </si>
  <si>
    <t>Fighter A lands several clean punches, causing Fighter B to be visibly disoriented. However, Fighter B counters with a clean knee that lands hard. How is the round likely scored?</t>
  </si>
  <si>
    <t>นักมวย A ลงหมัดสะอาดหลายครั้ง ทำให้นักมวย B มึนงงอย่างเห็นได้ชัด อย่างไรก็ตาม นักมวย B ตอบโต้ด้วยเข่าที่สะอาดและตกลงพื้นอย่างแรง รอบนี้น่าจะได้สกอร์อย่างไร?</t>
  </si>
  <si>
    <t>Fighter A lands a low kick that causes Fighter B to stumble back. Fighter B, unable to regain balance, falls to the canvas. What happens to the round?</t>
  </si>
  <si>
    <t>นักมวย A เตะพื้นจนทำให้นักมวย B สะดุดกลับ นักมวย B ไม่สามารถรักษาสมดุลได้ ล้มลงบนพื้นผ้าใบ จะเกิดอะไรขึ้นกับรอบนี้?</t>
  </si>
  <si>
    <t>Fighter A lands an elbow strike that cuts Fighter B’s forehead. Fighter B seems unfazed and continues to fight back aggressively. How is the round scored?</t>
  </si>
  <si>
    <t>นักมวย A ลงพื้นด้วยศอกฟาดหน้าผากของนักมวย B นักมวย B ดูเหมือนไม่สะทกสะท้านและยังคงต่อสู้กลับอย่างดุเดือดต่อไป คะแนนรอบเป็นอย่างไร?</t>
  </si>
  <si>
    <t>Fighter A uses a series of jabs to control the distance and lands a strong leg kick that hurts Fighter B. Fighter B manages to land one or two counterpunches. How is the round scored?</t>
  </si>
  <si>
    <t>นักมวย A ใช้ชุดกระทุ้งเพื่อควบคุมระยะห่างและเตะขาอย่างแรงซึ่งทำให้เครื่องบินขับไล่ B ได้รับบาดเจ็บ นักมวย B สามารถโจมตีตอบโต้ได้หนึ่งหรือสองครั้ง คะแนนรอบเป็นอย่างไร?</t>
  </si>
  <si>
    <t>Fighter A and Fighter B engage in a close round where both fighters land significant strikes, but Fighter B appears to be more fatigued. How is the round scored?</t>
  </si>
  <si>
    <t>นักมวย A และนักมวย B ต่อสู้กันในระยะประชิด โดยเครื่องบินรบทั้งสองโจมตีอย่างรุนแรง แต่นักมวย B ดูเหมือนจะเหนื่อยล้ามากกว่า คะแนนรอบเป็นอย่างไร?</t>
  </si>
  <si>
    <t>Fighter A lands a head kick that causes Fighter B to stagger, but Fighter B recovers and lands several strikes in response. How is the round scored?</t>
  </si>
  <si>
    <t>นักมวย A เตะหัวจนทำให้นักมวย B โซเซ แต่นักมวย B ฟื้นตัวได้และโจมตีหลายครั้งเป็นการตอบโต้ คะแนนรอบเป็นอย่างไร?</t>
  </si>
  <si>
    <t>Fighter A lands a clean jab followed by a solid knee to the body. Fighter B is forced to back up but is not knocked down. How is the round likely scored?</t>
  </si>
  <si>
    <t>นักมวย A กระทุ้งอย่างสะอาด ตามด้วยเข่าที่มั่นคงไปที่ลำตัว นักมวย B ถูกบังคับให้ถอยกลับแต่ไม่ล้มลง รอบนี้น่าจะได้สกอร์อย่างไร?</t>
  </si>
  <si>
    <t>Fighter A lands a clean hook to Fighter B’s body, followed by a kick to the leg. Fighter B fights back but cannot match the power of Fighter A’s strikes. How is the round scored?</t>
  </si>
  <si>
    <t>นักมวย A เกี่ยวเบ็ดเข้ากับตัวของนักมวย B ตามด้วยการเตะที่ขา นักมวย B ต่อสู้กลับแต่ไม่สามารถเทียบได้กับพลังการโจมตีของนักมวย A คะแนนรอบเป็นอย่างไร?</t>
  </si>
  <si>
    <t>Fighter A performs a series of effective low kicks, but Fighter B lands a clean counterpunch to Fighter A’s face. How is the round scored?</t>
  </si>
  <si>
    <t>นักมวย A ทำการเตะต่ำอย่างมีประสิทธิภาพ แต่นักมวย B หมัดตอบโต้ที่ใบหน้าของนักมวย A อย่างหมดจด คะแนนรอบเป็นอย่างไร?</t>
  </si>
  <si>
    <t>Fighter A drops Fighter B with a clean elbow, but Fighter B gets back up immediately and continues to fight. How is the round scored?</t>
  </si>
  <si>
    <t>นักมวย A ทิ้งนักมวย B ด้วยศอกที่สะอาด แต่นักมวย B ลุกขึ้นทันทีและต่อสู้ต่อไป คะแนนรอบเป็นอย่างไร?</t>
  </si>
  <si>
    <t>Fighter A and Fighter B exchange strikes throughout the round, but Fighter A seems more dominant with multiple clean punches landing. Fighter B is on the defensive for most of the round. How is the round scored?</t>
  </si>
  <si>
    <t>นักมวย A และนักมวย B ปะทะกันตลอดทั้งยก แต่นักมวย A ดูเหมือนจะโดดเด่นกว่าด้วยการชกที่สะอาดหมดจดหลายครั้ง นักมวย B อยู่ในแนวรับเกือบทั้งยก คะแนนรอบเป็นอย่างไร?</t>
  </si>
  <si>
    <t>Fighter A lands a powerful knee that causes Fighter B to stumble and almost fall. Fighter B recovers but is clearly affected. How is the round scored?</t>
  </si>
  <si>
    <t>นักมวย A ลงเข่าอันทรงพลังซึ่งทำให้นักมวย B สะดุดและเกือบจะล้มลง นักมวย B ฟื้นตัวแต่ได้รับผลกระทบอย่างชัดเจน คะแนนรอบเป็นอย่างไร?</t>
  </si>
  <si>
    <t>Fighter A gets warned for using illegal strikes during the round. How is this reflected in the scoring?</t>
  </si>
  <si>
    <t>นักมวย A ได้รับคำเตือนว่าใช้การโจมตีอย่างผิดกฎหมายในระหว่างยกนั้น สิ่งนี้สะท้อนให้เห็นในการให้คะแนนอย่างไร?</t>
  </si>
  <si>
    <t>นักมวย A ได้รับคำเตือนว่าใช้การโจมตีอย่างผิดกฎในระหว่างยกนั้น สิ่งนี้สะท้อนให้เห็นในการให้คะแนนอย่างไร?</t>
  </si>
  <si>
    <t>นักมวย B เสีย 1 แต้ม</t>
  </si>
  <si>
    <t>รอบนี้เสมอกัน 10.10 น</t>
  </si>
  <si>
    <t>ไฟท์เตอร์ B เสีย 1 แต้ม</t>
  </si>
  <si>
    <t>Fighter A lands a series of effective elbows, causing a cut on Fighter B’s forehead. Fighter B responds by landing a few solid punches. How is the round likely scored?</t>
  </si>
  <si>
    <t>นักมวย A ลงศอกอย่างมีประสิทธิภาพ ส่งผลให้นักมวย B มีรอยบาดที่หน้าผาก นักมวย B ตอบโต้ด้วยการชกอย่างหนักหน่วงเล็กน้อย รอบนี้น่าจะได้สกอร์อย่างไร?</t>
  </si>
  <si>
    <t>Fighter A lands a head kick and causes Fighter B to drop to the canvas, but Fighter B quickly recovers and continues to fight. How is the round scored?</t>
  </si>
  <si>
    <t>นักมวย A เตะหัวและทำให้นักมวย B ตกลงบนพื้นผ้าใบ แต่นักมวย B ฟื้นตัวอย่างรวดเร็วและต่อสู้ต่อไป คะแนนรอบเป็นอย่างไร?</t>
  </si>
  <si>
    <t>Fighter A uses effective clinching and knee strikes throughout the round, causing Fighter B to struggle for control. Fighter B lands a few counterpunches but fails to do significant damage. How is the round scored?</t>
  </si>
  <si>
    <t>นักมวย A ใช้การกอดและตีเข่าอย่างมีประสิทธิภาพตลอดยก ทำให้นักมวย B ต่อสู้เพื่อควบคุม นักมวย B ทำการตอบโต้สองสามครั้งแต่ล้มเหลวในการสร้างความเสียหายอย่างมีนัยสำคัญ คะแนนรอบเป็นอย่างไร?</t>
  </si>
  <si>
    <t>Fighter A is knocked down by a clean elbow from Fighter B. Fighter A quickly gets back up and continues to fight. How is the round scored?</t>
  </si>
  <si>
    <t>นักต่อสู้ A ถูกล้มลงด้วยศอกอันสะอาดของนักมวย B นักต่อสู้ A ลุกขึ้นอย่างรวดเร็วและต่อสู้ต่อไป คะแนนรอบเป็นอย่างไร?</t>
  </si>
  <si>
    <t>Fighter A performs a series of aggressive strikes but is caught with a clean counter by Fighter B that causes a visible cut. How is the round scored?</t>
  </si>
  <si>
    <t>นักมวย A โจมตีอย่างดุเดือดหลายครั้ง แต่กลับถูกนักมวย B ตอบโต้อย่างหมดจดจนทำให้เกิดบาดแผลที่มองเห็นได้ คะแนนรอบเป็นอย่างไร?</t>
  </si>
  <si>
    <t>Fighter A lands a series of leg kicks and is able to control the distance well, but Fighter B lands a solid elbow that causes Fighter A to bleed. How is the round scored?</t>
  </si>
  <si>
    <t>นักมวย A เตะขาหลายครั้งและสามารถควบคุมระยะห่างได้ดี แต่นักมวย B กระแทกศอกแข็งจนทำให้นักมวย A เลือดออก คะแนนรอบเป็นอย่างไร?</t>
  </si>
  <si>
    <t>Fighter A lands a clean punch combination, followed by a strong knee to the body. Fighter B is visibly hurt but continues to fight back. How is the round scored?</t>
  </si>
  <si>
    <t>นักมวย A ลงหมัดแบบต่อเนื่อง ตามด้วยเข่าที่แข็งแรงเข้าหาลำตัว นักมวย B ได้รับบาดเจ็บอย่างเห็นได้ชัดแต่ยังคงสู้กลับต่อไป คะแนนรอบเป็นอย่างไร?</t>
  </si>
  <si>
    <t>Fighter A lands a body kick that forces Fighter B to back up. Fighter B is still able to land a solid counterpunch during the exchange. How is the round scored?</t>
  </si>
  <si>
    <t>นักมวย A เตะตัวลงพื้นซึ่งบังคับให้นักมวย B ถอยกลับ นักมวย B ยังคงสามารถโจมตีตอบโต้ได้อย่างมั่นคงระหว่างการแลกเปลี่ยน คะแนนรอบเป็นอย่างไร?</t>
  </si>
  <si>
    <t>Fighter A is repeatedly warned for holding Fighter B’s head during the clinch. How does this affect the round?</t>
  </si>
  <si>
    <t>นักมวย A ได้รับคำเตือนซ้ำแล้วซ้ำเล่าให้จับหัวของนักมวย B ในระหว่างการกอด สิ่งนี้ส่งผลต่อรอบอย่างไร?</t>
  </si>
  <si>
    <t>รอบนี้เสมอกันเวลา 10.10 น</t>
  </si>
  <si>
    <t>Fighter A performs a series of body shots that appear to have a significant effect on Fighter B. However, Fighter B manages to land a strong elbow in return. How is the round scored?</t>
  </si>
  <si>
    <t>นักมวย A ยิงร่างกายหลายนัดซึ่งดูเหมือนจะส่งผลกระทบอย่างมีนัยสำคัญต่อนักมวย B อย่างไรก็ตาม นักมวย B ก็สามารถชกศอกอย่างแรงได้เป็นการตอบแทน คะแนนรอบเป็นอย่างไร?</t>
  </si>
  <si>
    <t>Fighter A lands a powerful combination of punches, and Fighter B is knocked to the canvas. Fighter B gets back up immediately. How is the round scored?</t>
  </si>
  <si>
    <t>นักมวย A ลงจอดด้วยหมัดอันทรงพลัง และนักมวย B ก็ล้มลงบนพื้นผ้าใบ นักมวย B ลุกขึ้นทันที คะแนนรอบเป็นอย่างไร?</t>
  </si>
  <si>
    <t>Fighter A and Fighter B have an even exchange of punches throughout the round. Neither fighter gains a clear advantage. How is the round scored?</t>
  </si>
  <si>
    <t>นักมวย A และนักมวย B มีการแลกเปลี่ยนหมัดกันอย่างเท่าเทียมกันตลอดทั้งรอบ นักสู้ทั้งสองคนไม่ได้รับความได้เปรียบที่ชัดเจน คะแนนรอบเป็นอย่างไร?</t>
  </si>
  <si>
    <t>Fighter A performs a strong offensive move that nearly knocks Fighter B out, but Fighter B recovers and manages to land a few counterpunches. How is the round likely scored?</t>
  </si>
  <si>
    <t>นักมวย A เคลื่อนไหวเชิงรุกอย่างรุนแรงจนเกือบทำให้นักมวย B ล้มลง แต่นักมวย B ฟื้นตัวและจัดการหมัดสวนกลับได้เล็กน้อย รอบนี้น่าจะได้สกอร์อย่างไร?</t>
  </si>
  <si>
    <t>Fighter A is warned for an illegal knee to the head during the clinch. How is this likely reflected in the scoring?</t>
  </si>
  <si>
    <t>นักมวย A ได้รับคำเตือนถึงการคุกเข่าที่ศีรษะอย่างไม่ถูกต้องระหว่างการกอด สิ่งนี้สะท้อนให้เห็นในการให้คะแนนอย่างไร</t>
  </si>
  <si>
    <t>Fighter A lands a series of solid strikes, leaving Fighter B on the defensive. How is the round scored?</t>
  </si>
  <si>
    <t>นักมวย A โจมตีอย่างต่อเนื่อง โดยปล่อยให้นักมวย B เป็นฝ่ายรับ คะแนนรอบเป็นอย่างไร?</t>
  </si>
  <si>
    <t>Fighter A wins the round with a combination of punches and knees, but Fighter B manages to land one clean punch in the final moments of the round. How is the round scored?</t>
  </si>
  <si>
    <t>นักมวย A ชนะในรอบนั้นด้วยหมัดและเข่าผสมกัน แต่นักมวย B สามารถหมัดเดียวได้สำเร็จในช่วงสุดท้ายของรอบ คะแนนรอบเป็นอย่างไร?</t>
  </si>
  <si>
    <t>Fighter A takes Fighter B down with a clean sweep, but Fighter B quickly recovers and gets back on their feet. How is the round likely scored?</t>
  </si>
  <si>
    <t>นักมวย A จับนักมวย B ล้มลงด้วยการกวาดล้างอย่างหมดจด แต่นักมวย B ฟื้นตัวอย่างรวดเร็วและลุกขึ้นยืนได้อีกครั้ง รอบนี้น่าจะได้สกอร์อย่างไร?</t>
  </si>
  <si>
    <t>Fighter A lands a series of strong body kicks, and Fighter B appears to be hurt by them. Fighter B responds with a few jabs but is unable to land a significant shot. How is the round scored?</t>
  </si>
  <si>
    <t>นักมวย A เตะร่างกายอย่างรุนแรงหลายครั้ง และนักมวย B ดูเหมือนจะได้รับบาดเจ็บจากพวกเขา นักมวย B ตอบโต้ด้วยการกระทุ้งเล็กน้อยแต่ไม่สามารถยิงโดนที่สำคัญได้ คะแนนรอบเป็นอย่างไร?</t>
  </si>
  <si>
    <t>Fighter A lands a punch to Fighter B’s face, causing a visible bruise. However, Fighter B manages to land a quick counter and continues with aggressive strikes. How is the round scored?</t>
  </si>
  <si>
    <t>นักมวย A ชกไปที่ใบหน้าของนักมวย B ทำให้เกิดรอยช้ำที่มองเห็นได้ อย่างไรก็ตาม นักมวย B ก็สามารถตอบโต้ได้อย่างรวดเร็วและโจมตีอย่างดุดันต่อไป คะแนนรอบเป็นอย่างไร?</t>
  </si>
  <si>
    <t>Fighter A lands an elbow strike that causes a cut on Fighter B’s forehead. Despite this, Fighter B is able to counter with a strong punch that seems to hurt Fighter A. How is the round scored?</t>
  </si>
  <si>
    <t>นักมวย A ลงพื้นด้วยศอกฟาดจนมีบาดแผลบนหน้าผากของนักมวย B อย่างไรก็ตาม นักมวย B ก็สามารถตอบโต้ด้วยหมัดอันทรงพลังที่ดูเหมือนจะทำร้ายนักมวย A ได้ คะแนนรอบนี้เป็นอย่างไร?</t>
  </si>
  <si>
    <t>Fighter A appears to be dominating the round with a series of strong kicks and punches. Fighter B, however, manages to land a few clean counters. How is the round scored?</t>
  </si>
  <si>
    <t>นักมวย A ดูเหมือนจะครองเกมด้วยการเตะและต่อยอันแข็งแกร่ง อย่างไรก็ตาม นักมวย B สามารถจัดการเคาน์เตอร์ที่สะอาดได้ไม่กี่แห่ง คะแนนรอบเป็นอย่างไร?</t>
  </si>
  <si>
    <t>Fighter A and Fighter B exchange punches throughout the round, but neither of them is able to land a significant shot. How is the round scored?</t>
  </si>
  <si>
    <t>นักมวย A และนักมวย B แลกหมัดกันตลอดยก แต่ทั้งสองคนไม่สามารถยิงประตูสำคัญได้ คะแนนรอบเป็นอย่างไร?</t>
  </si>
  <si>
    <t>Fighter A lands a clean knee to Fighter B’s midsection, which causes Fighter B to stagger. However, Fighter B quickly recovers and continues to fight back. How is the round scored?</t>
  </si>
  <si>
    <t>นักมวย A คุกเข่าลงที่ลำตัวของนักมวย B ซึ่งทำให้นักมวย B เดินโซเซ อย่างไรก็ตาม นักมวย B ฟื้นตัวอย่างรวดเร็วและยังคงต่อสู้กลับ คะแนนรอบเป็นอย่างไร?</t>
  </si>
  <si>
    <t>Fighter A gets an advantageous position in the clinch, landing multiple knee strikes to Fighter B’s body. Fighter B manages to break free and land a few punches. How is the round scored?</t>
  </si>
  <si>
    <t>นักมวย A ได้เปรียบในการคว้าตัว โดยฟาดเข่าหลายครั้งเข้าที่ร่างของนักมวย B นักมวย B สามารถหลุดพ้นและชกได้เล็กน้อย คะแนนรอบเป็นอย่างไร?</t>
  </si>
  <si>
    <t>Fighter A lands a strong left hook, knocking Fighter B down. However, Fighter B gets back up almost immediately and continues to fight. How is the round scored?</t>
  </si>
  <si>
    <t>นักมวย A ตกฮุกซ้ายอันแข็งแกร่ง ทำให้นักมวย B ล้มลง อย่างไรก็ตาม นักมวย B ก็ลุกขึ้นมาเกือบจะในทันทีและต่อสู้ต่อไป คะแนนรอบเป็นอย่างไร?</t>
  </si>
  <si>
    <t>Fighter A lands a solid series of punches to Fighter B’s head, but Fighter B responds with a few jabs and tries to control the clinch. How is the round scored?</t>
  </si>
  <si>
    <t>นักมวย A ชกเข้าที่ศีรษะของนักมวย B อย่างต่อเนื่อง แต่นักมวย B ตอบโต้ด้วยการกระทุ้งเล็กน้อย และพยายามควบคุมการกอด คะแนนรอบเป็นอย่างไร?</t>
  </si>
  <si>
    <t>Fighter A and Fighter B both exchange strong punches, but Fighter A appears to land the cleaner shots. How is the round scored?</t>
  </si>
  <si>
    <t>นักมวย A และนักมวย B ต่างแลกหมัดกันอย่างรุนแรง แต่นักมวย A ดูเหมือนจะยิงได้สะอาดกว่า คะแนนรอบเป็นอย่างไร?</t>
  </si>
  <si>
    <t>Fighter A lands a body kick that forces Fighter B to stumble back. Fighter B recovers quickly, but Fighter A continues to press the attack. How is the round scored?</t>
  </si>
  <si>
    <t>นักมวย A เตะตัวจนทำให้นักมวย B สะดุดกลับ นักมวย B ฟื้นตัวอย่างรวดเร็ว แต่นักมวย A ยังคงกดดันการโจมตีต่อไป คะแนนรอบเป็นอย่างไร?</t>
  </si>
  <si>
    <t>Fighter A is able to control the pace of the round with superior footwork and lands a series of clean punches to Fighter B’s face. How is the round scored?</t>
  </si>
  <si>
    <t>นักมวย A สามารถควบคุมจังหวะของรอบได้ด้วยการเดินเท้าที่เหนือกว่า และหมัดต่อยที่หน้านักมวย B อย่างหมดจด คะแนนรอบเป็นอย่างไร?</t>
  </si>
  <si>
    <t>Fighter A is warned for holding onto Fighter B’s head in the clinch and delivering repeated illegal strikes. How is this reflected in the scoring?</t>
  </si>
  <si>
    <t>นักมวย A ได้รับคำเตือนให้จับหัวของนักมวย B ในการกอดและทำการโจมตีที่ผิดกฎหมายซ้ำแล้วซ้ำอีก สิ่งนี้สะท้อนให้เห็นในการให้คะแนนอย่างไร?</t>
  </si>
  <si>
    <t>Fighter A lands a combination of strikes, but Fighter B lands a clean elbow that causes Fighter A to bleed. How is the round scored?</t>
  </si>
  <si>
    <t>นักมวย A ลงจอดด้วยการโจมตีหลายครั้ง แต่นักมวย B ลงศศศอกที่สะอาดซึ่งทำให้นักมวย A เลือดออก คะแนนรอบเป็นอย่างไร?</t>
  </si>
  <si>
    <t>Fighter A catches Fighter B with a perfectly timed knee to the head, causing Fighter B to lose balance and stumble. How is the round scored?</t>
  </si>
  <si>
    <t>นักมวย A จับนักมวย B โดยเข่าจรดหัวได้จังหวะพอดี ทำให้นักมวย B เสียการทรงตัวและสะดุดล้ม คะแนนรอบเป็นอย่างไร?</t>
  </si>
  <si>
    <t>Fighter A lands a clean punch combination and manages to control the clinch, landing knees. Fighter B struggles to break free. How is the round scored?</t>
  </si>
  <si>
    <t>นักมวย A ลงหมัดอย่างหมดจดและควบคุมการกอดและเข่าลงได้ นักมวย B พยายามดิ้นรนเพื่อหลุดพ้น คะแนนรอบเป็นอย่างไร?</t>
  </si>
  <si>
    <t>Fighter A lands a high kick that causes Fighter B to fall to the canvas. Fighter B quickly recovers and resumes fighting. How is the round scored?</t>
  </si>
  <si>
    <t>นักมวย A เตะสูงจนทำให้นักมวย B ล้มลงบนพื้นผ้าใบ นักมวย B ฟื้นตัวอย่างรวดเร็วและกลับมาต่อสู้ต่อ คะแนนรอบเป็นอย่างไร?</t>
  </si>
  <si>
    <t>Fighter A is knocked down by a clean right hook from Fighter B, but Fighter A recovers quickly. How is the round scored?</t>
  </si>
  <si>
    <t>นักมวย A ถูกหมัดฮุกขวาอันหมดจดจากนักมวย B ล้มลง แต่นักมวย A ฟื้นตัวได้อย่างรวดเร็ว คะแนนรอบเป็นอย่างไร?</t>
  </si>
  <si>
    <t>Fighter A gets a point deducted for an illegal knee to Fighter B’s head. How is this reflected in the scoring?</t>
  </si>
  <si>
    <t>นักมวย A ได้รับการหักคะแนนจากการคุกเข่าที่ศีรษะของนักมวย B อย่างผิดกฎหมาย สิ่งนี้สะท้อนให้เห็นในการให้คะแนนอย่างไร?</t>
  </si>
  <si>
    <t>Fighter A executes a clean takedown, leaving Fighter B on the canvas for a moment. How is the round scored?</t>
  </si>
  <si>
    <t>นักมวย A ทำการโค่นล้มอย่างหมดจด โดยทิ้งนักมวย B ไว้บนผืนผ้าใบครู่หนึ่ง คะแนนรอบเป็นอย่างไร?</t>
  </si>
  <si>
    <t>Fighter A controls the round with excellent clinch work, landing multiple knees. Fighter B tries to break free but struggles. How is the round scored?</t>
  </si>
  <si>
    <t>นักมวย A ควบคุมรอบด้วยการคว้าตัวได้อย่างยอดเยี่ยม คุกเข่าลงหลาย ๆ ครั้ง นักมวย B พยายามหลุดพ้นแต่ก็ยังดิ้นรน คะแนนรอบเป็นอย่างไร?</t>
  </si>
  <si>
    <t>Fighter A lands a devastating elbow that causes a cut above Fighter B’s eye, but Fighter B counters with a sharp jab to the face. How is the round scored?</t>
  </si>
  <si>
    <t>นักมวย A ลงศศศอกทำลายล้างจนทำให้เกิดบาดแผลเหนือตาของนักมวย B แต่นักมวย B ตอบโต้ด้วยการกระทุ้งอันแหลมคมไปที่ใบหน้า คะแนนรอบเป็นอย่างไร?</t>
  </si>
  <si>
    <t>Fighter A lands a clean knee to Fighter B’s head, and Fighter B staggers, struggling to regain balance. How is the round scored?</t>
  </si>
  <si>
    <t>นักมวย A คุกเข่าลงที่ศีรษะของนักมวย B และนักมวย B โซเซพยายามดิ้นรนเพื่อฟื้นสมดุล คะแนนรอบเป็นอย่างไร?</t>
  </si>
  <si>
    <t>Fighter A takes control of the round with a series of punches and leg kicks, and Fighter B has difficulty keeping up. How is the round scored?</t>
  </si>
  <si>
    <t>นักมวย A เข้าควบคุมรอบด้วยหมัดและเตะขาต่อเนื่องกัน และนักมวย B ก็ตามไม่ทัน คะแนนรอบเป็นอย่างไร?</t>
  </si>
  <si>
    <t>Fighter A lands a series of sharp jabs and kicks while Fighter B is forced to defend. How is the round scored?</t>
  </si>
  <si>
    <t>นักมวย A กระแทกและเตะอย่างแหลมคมในขณะที่นักมวย B ถูกบังคับให้ป้องกัน คะแนนรอบเป็นอย่างไร?</t>
  </si>
  <si>
    <t>Fighter A lands a powerful elbow strike that knocks Fighter B down, but Fighter B quickly gets back up. How is the round scored?</t>
  </si>
  <si>
    <t>นักมวย A ลงพื้นด้วยศอกอันทรงพลังซึ่งทำให้นักมวย B ล้มลง แต่นักมวย B กลับลุกขึ้นอย่างรวดเร็ว คะแนนรอบเป็นอย่างไร?</t>
  </si>
  <si>
    <t>Fighter A is warned for hitting below the belt during the clinch. How is this reflected in the scoring?</t>
  </si>
  <si>
    <t>นักมวย A ได้รับคำเตือนให้ตีต่ำกว่าเข็มขัดระหว่างการกอด สิ่งนี้สะท้อนให้เห็นในการให้คะแนนอย่างไร?</t>
  </si>
  <si>
    <t>Fighter A lands a clean head kick, causing Fighter B to drop to the canvas. However, Fighter B quickly recovers and continues fighting. How is the round scored?</t>
  </si>
  <si>
    <t>นักมวย A เตะหัวอย่างหมดจด ทำให้นักมวย B ตกลงบนพื้นผ้าใบ อย่างไรก็ตาม นักมวย B ฟื้นตัวอย่างรวดเร็วและต่อสู้ต่อไป คะแนนรอบเป็นอย่างไร?</t>
  </si>
  <si>
    <t>Fighter A dominates the round with powerful low kicks and punches, while Fighter B struggles to land significant strikes. How is the round scored?</t>
  </si>
  <si>
    <t>นักมวย A ครองรอบด้วยการเตะและต่อยอันทรงพลังต่ำ ในขณะที่นักมวย B พยายามดิ้นรนเพื่อให้ได้การโจมตีที่สำคัญ คะแนนรอบเป็นอย่างไร?</t>
  </si>
  <si>
    <t>Fighter A lands a series of body punches and kicks, but Fighter B counters with a strong punch that seems to hurt Fighter A. How is the round scored?</t>
  </si>
  <si>
    <t>นักมวย A ลงหมัดและเตะร่างกายหลายครั้ง แต่นักมวย B ตอบโต้ด้วยหมัดอันทรงพลังที่ดูเหมือนว่าจะทำให้นักมวย A ได้รับบาดเจ็บ รอบนั้นทำคะแนนได้อย่างไร</t>
  </si>
  <si>
    <t>Fighter A manages to secure the clinch and lands multiple knee strikes to Fighter B’s body. How is the round scored?</t>
  </si>
  <si>
    <t>นักมวย A คว้าตัวและฟาดเข่าใส่ร่างของนักมวย B หลายครั้ง คะแนนรอบเป็นอย่างไร?</t>
  </si>
  <si>
    <t>Fighter A lands a devastating low kick that forces Fighter B to stumble. How is the round scored?</t>
  </si>
  <si>
    <t>นักต่อสู้ A เตะต่ำอย่างรุนแรงจนทำให้นักมวย B สะดุด คะแนนรอบเป็นอย่างไร?</t>
  </si>
  <si>
    <t>Fighter A and Fighter B exchange clean punches, with neither fighter being able to gain a clear advantage. How is the round scored?</t>
  </si>
  <si>
    <t>นักมวย A และนักมวย B แลกเปลี่ยนหมัดกันอย่างราบเรียบ โดยที่นักสู้ทั้งสองไม่สามารถได้เปรียบอย่างชัดเจน คะแนนรอบเป็นอย่างไร?</t>
  </si>
  <si>
    <t>Fighter A lands a knee to Fighter B’s head during the clinch, and Fighter B stumbles back, clearly hurt. How is the round scored?</t>
  </si>
  <si>
    <t>นักมวย A คุกเข่าไปที่ศีรษะของนักมวย B ในระหว่างการกอด และนักมวย B สะดุดกลับ เห็นได้ชัดว่าได้รับบาดเจ็บ คะแนนรอบเป็นอย่างไร?</t>
  </si>
  <si>
    <t>Fighter A lands a series of clean hooks to Fighter B’s head, but Fighter B counters with a few jabs. How is the round scored?</t>
  </si>
  <si>
    <t>นักมวย A เกี่ยวตะขอสะอาดๆ เข้ากับหัวของนักมวย B แต่นักมวย B ตอบโต้ด้วยการกระทุ้งเพียงไม่กี่ครั้ง คะแนนรอบเป็นอย่างไร?</t>
  </si>
  <si>
    <t>Fighter A lands a clean punch that causes Fighter B to drop to the canvas. Fighter B gets back up but seems a bit shaken. How is the round scored?</t>
  </si>
  <si>
    <t>นักมวย A ลงหมัดอย่างหมดจดซึ่งทำให้นักมวย B ตกลงบนพื้นผ้าใบ นักมวย B ลุกขึ้นมาแต่ดูเหมือนจะสั่นไหวเล็กน้อย คะแนนรอบเป็นอย่างไร?</t>
  </si>
  <si>
    <t>Fighter A and Fighter B are in a clinch for the majority of the round, but Fighter A lands more significant knees. How is the round scored?</t>
  </si>
  <si>
    <t>นักมวย A และนักมวย B แย่งชิงกันเป็นส่วนใหญ่ของรอบ แต่นักมวย A คุกเข่าลงอย่างสำคัญกว่า คะแนนรอบเป็นอย่างไร?</t>
  </si>
  <si>
    <t>Fighter A lands a head kick that stuns Fighter B, but Fighter B manages to recover and land a few counters. How is the round scored?</t>
  </si>
  <si>
    <t>นักมวย A เตะหัวซึ่งทำให้นักมวย B มึนงง แต่นักมวย B สามารถฟื้นตัวและลงจอดที่เคาน์เตอร์ได้สองสามตัว คะแนนรอบเป็นอย่างไร?</t>
  </si>
  <si>
    <t>Fighter A lands a clean elbow that opens a cut on Fighter B’s forehead. However, Fighter B lands a hard body kick that seems to hurt Fighter A. How is the round scored?</t>
  </si>
  <si>
    <t>นักมวย A ลงศอกสะอาดที่เปิดบาดแผลบนหน้าผากของนักมวย B อย่างไรก็ตาม นักมวย B เตะด้วยร่างกายอย่างแรงจนดูเหมือนว่าจะทำให้นักมวย A ได้รับบาดเจ็บ คะแนนรอบนั้นเป็นอย่างไร?</t>
  </si>
  <si>
    <t>Fighter A lands a clean knee to Fighter B’s body, causing Fighter B to stagger. Fighter B, however, recovers quickly and fights back. How is the round scored?</t>
  </si>
  <si>
    <t>นักมวย A คุกเข่าลงบนร่างของนักมวย B ทำให้นักมวย B เดินโซเซ อย่างไรก็ตามนักมวย B ฟื้นตัวอย่างรวดเร็วและต่อสู้กลับ คะแนนรอบเป็นอย่างไร?</t>
  </si>
  <si>
    <t>Fighter A lands a clean punch combo, but Fighter B lands a counter that seems to hurt Fighter A more. How is the round scored?</t>
  </si>
  <si>
    <t>นักมวย A โจมตีคอมโบหมัดสะอาด แต่นักมวย B โจมตีสวนกลับที่ดูเหมือนว่าจะทำร้ายนักมวย A มากขึ้น คะแนนรอบเป็นอย่างไร?</t>
  </si>
  <si>
    <t>Fighter A is warned for grabbing Fighter B’s shorts in the clinch. How is this reflected in the scoring?</t>
  </si>
  <si>
    <t>นักมวย A ได้รับคำเตือนให้คว้ากางเกงขาสั้นของนักมวย B ในการกอด สิ่งนี้สะท้อนให้เห็นในการให้คะแนนอย่างไร?</t>
  </si>
  <si>
    <t>Fighter A lands a quick jab and hook combo, but Fighter B counters with a clean low kick. How is the round scored?</t>
  </si>
  <si>
    <t>นักมวย A ทำการคอมโบกระทุ้งและฮุคอย่างรวดเร็ว แต่นักมวย B ตอบโต้ด้วยการเตะต่ำที่สะอาดตา คะแนนรอบเป็นอย่างไร?</t>
  </si>
  <si>
    <t>Fighter A gets an advantage in the clinch, landing multiple knee strikes to Fighter B’s ribs. How is the round scored?</t>
  </si>
  <si>
    <t>นักมวย A ได้เปรียบในการกอด โดยฟาดเข่าหลายครั้งไปที่ซี่โครงของนักมวย B คะแนนรอบเป็นอย่างไร?</t>
  </si>
  <si>
    <t>Fighter A lands an elbow that causes a deep cut above Fighter B’s eye. Fighter B attempts a counter punch but misses. How is the round scored?</t>
  </si>
  <si>
    <t>นักมวย A ลงศอกจนทำให้เกิดบาดแผลลึกเหนือดวงตาของนักมวย B นักมวย B พยายามเจาะสวนกลับแต่พลาด คะแนนรอบเป็นอย่างไร?</t>
  </si>
  <si>
    <t>Fighter A delivers a sharp kick to Fighter B’s leg, causing Fighter B to limp for the rest of the round. How is the round scored?</t>
  </si>
  <si>
    <t>นักมวย A เตะขาของนักมวย B อย่างแหลมคม ทำให้นักมวย B เดินกะเผลกไปตลอดยก คะแนนรอบเป็นอย่างไร?</t>
  </si>
  <si>
    <t>Fighter A lands a clean knee strike that knocks Fighter B back, but Fighter B quickly recovers and counters with a clean jab. How is the round scored?</t>
  </si>
  <si>
    <t>นักมวย A ฟาดเข่าอย่างหมดจดซึ่งทำให้นักมวย B ถอยกลับไป แต่นักมวย B ฟื้นตัวอย่างรวดเร็วและโต้ตอบด้วยการกระทุ้งที่สะอาด คะแนนรอบเป็นอย่างไร?</t>
  </si>
  <si>
    <t>Fighter A lands a strong punch combination, but Fighter B blocks most of it and attempts a counter with a low kick. How is the round scored?</t>
  </si>
  <si>
    <t>นักมวย A ทำการต่อยอย่างแข็งแกร่ง แต่นักมวย B สกัดกั้นส่วนใหญ่และพยายามตอบโต้ด้วยการเตะต่ำ คะแนนรอบเป็นอย่างไร?</t>
  </si>
  <si>
    <t>Fighter A lands a sharp right hook that causes Fighter B to stagger. Fighter B recovers and lands a few quick jabs. How is the round scored?</t>
  </si>
  <si>
    <t>นักมวย A ตกเบ็ดขวาอันแหลมคมซึ่งทำให้นักมวย B โซเซ นักมวย B ฟื้นตัวและลงจอดอย่างรวดเร็วเพียงไม่กี่ครั้ง คะแนนรอบเป็นอย่างไร?</t>
  </si>
  <si>
    <t>Fighter A successfully avoids a punch and counters with a solid uppercut, knocking Fighter B off balance. How is the round scored?</t>
  </si>
  <si>
    <t>นักมวย A หลีกเลี่ยงการต่อยและโต้ตอบด้วยหมัดอัพเปอร์คัตได้สำเร็จ ส่งผลให้นักมวย B เสียการทรงตัว คะแนนรอบเป็นอย่างไร?</t>
  </si>
  <si>
    <t>Fighter A executes a perfect takedown, but Fighter B is quick to get back to his feet. How is the round scored?</t>
  </si>
  <si>
    <t>นักมวย A ทำการโค่นล้มได้อย่างสมบูรณ์แบบ แต่นักมวย B ก็สามารถกลับมายืนได้อีกครั้งอย่างรวดเร็ว คะแนนรอบเป็นอย่างไร?</t>
  </si>
  <si>
    <t>Fighter A lands a clean elbow to Fighter B’s temple, causing a noticeable cut. How is the round scored?</t>
  </si>
  <si>
    <t>นักมวย A เสียบศอกสะอาดไปที่ขมับของนักมวย B ทำให้เกิดบาดแผลที่เห็นได้ชัดเจน คะแนนรอบเป็นอย่างไร?</t>
  </si>
  <si>
    <t>Fighter A lands a series of punches to Fighter B’s body, and Fighter B seems to be slowing down. How is the round scored?</t>
  </si>
  <si>
    <t>นักมวย A โจมตีร่างกายของนักมวย B หลายครั้ง และนักมวย B ดูเหมือนจะช้าลง คะแนนรอบเป็นอย่างไร?</t>
  </si>
  <si>
    <t>Fighter A and Fighter B both land strong strikes, but Fighter A manages to dominate the round with consistent pressure. How is the round scored?</t>
  </si>
  <si>
    <t>นักมวย A และนักมวย B โจมตีอย่างดุเดือดทั้งคู่ แต่นักมวย A สามารถครองรอบนั้นได้ด้วยความกดดันที่สม่ำเสมอ คะแนนรอบเป็นอย่างไร?</t>
  </si>
  <si>
    <t>Fighter A gets a takedown and briefly holds Fighter B on the canvas. How is the round scored?</t>
  </si>
  <si>
    <t>นักมวย A ถูกโค่นล้มและจับนักมวย B ไว้บนผืนผ้าใบครู่หนึ่ง คะแนนรอบเป็นอย่างไร?</t>
  </si>
  <si>
    <t>Fighter A lands a head kick that causes Fighter B to drop to the canvas, but Fighter B quickly recovers. How is the round scored?</t>
  </si>
  <si>
    <t>นักมวย A เตะหัวจนทำให้นักมวย B ตกลงบนพื้นผ้าใบ แต่นักมวย B ฟื้นตัวได้อย่างรวดเร็ว คะแนนรอบเป็นอย่างไร?</t>
  </si>
  <si>
    <t>Fighter A lands an elbow, causing Fighter B to lose his balance and fall against the ropes. How is the round scored?</t>
  </si>
  <si>
    <t>นักมวย A ลงศอก ทำให้นักมวย B สูญเสียการทรงตัวและล้มลงกับเชือก คะแนนรอบเป็นอย่างไร?</t>
  </si>
  <si>
    <t>นักมวย A ลงศอก ทำให้นักมวย B สูญเสียการทรงตัวและล้มลงกับเชือก คะแนนรอบนี้เป็นอย่างไร?</t>
  </si>
  <si>
    <t>Fighter A lands a clean jab and cross combo to Fighter B’s face. How is the round scored?</t>
  </si>
  <si>
    <t>นักมวย A กระทุ้งและคอมโบข้ามไปที่ใบหน้าของนักมวย B คะแนนรอบเป็นอย่างไร?</t>
  </si>
  <si>
    <t>Fighter A is dominating the clinch and landing multiple knees to Fighter B’s body. How is the round scored?</t>
  </si>
  <si>
    <t>นักมวย A ครองการกอดและคุกเข่าหลาย ๆ ข้างไปที่ร่างของนักมวย B คะแนนรอบเป็นอย่างไร?</t>
  </si>
  <si>
    <t>Fighter A lands a strong kick to Fighter B’s leg, but Fighter B lands a quick jab in return. How is the round scored?</t>
  </si>
  <si>
    <t>นักมวย A เตะขาของนักมวย B อย่างแรง แต่นักมวย B กลับเตะกลับอย่างรวดเร็ว คะแนนรอบเป็นอย่างไร?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</si>
</sst>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Calibri"/>
      <scheme val="minor"/>
    </font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000000"/>
      <name val="Arial"/>
    </font>
    <font>
      <b/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3" numFmtId="0" xfId="0" applyFont="1"/>
    <xf borderId="0" fillId="0" fontId="2" numFmtId="0" xfId="0" applyFont="1"/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9">
    <tableStyle count="4" pivot="0" name="chon w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on wu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eng ru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eng rue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n wo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n wow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sepak takraw-style">
      <tableStyleElement dxfId="5" type="headerRow"/>
      <tableStyleElement dxfId="6" type="firstRowStripe"/>
      <tableStyleElement dxfId="7" type="secondRowStripe"/>
    </tableStyle>
    <tableStyle count="4" pivot="0" name="thai box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ai boxing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01" displayName="Table7" name="Table7" id="1">
  <tableColumns count="5">
    <tableColumn name="Question no." id="1"/>
    <tableColumn name="Question" id="2"/>
    <tableColumn name="Options " id="3"/>
    <tableColumn name="Answer " id="4"/>
    <tableColumn name="Description" id="5"/>
  </tableColumns>
  <tableStyleInfo name="chon wua-style" showColumnStripes="0" showFirstColumn="1" showLastColumn="1" showRowStripes="1"/>
</table>
</file>

<file path=xl/tables/table2.xml><?xml version="1.0" encoding="utf-8"?>
<table xmlns="http://schemas.openxmlformats.org/spreadsheetml/2006/main" ref="G1:K201" displayName="Table6" name="Table6" id="2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chon wua-style 2" showColumnStripes="0" showFirstColumn="1" showLastColumn="1" showRowStripes="1"/>
</table>
</file>

<file path=xl/tables/table3.xml><?xml version="1.0" encoding="utf-8"?>
<table xmlns="http://schemas.openxmlformats.org/spreadsheetml/2006/main" ref="A1:E201" displayName="Table8" name="Table8" id="3">
  <tableColumns count="5">
    <tableColumn name="Question no." id="1"/>
    <tableColumn name="Question " id="2"/>
    <tableColumn name="Options" id="3"/>
    <tableColumn name="Answer" id="4"/>
    <tableColumn name="Description" id="5"/>
  </tableColumns>
  <tableStyleInfo name="kaeng ruer-style" showColumnStripes="0" showFirstColumn="1" showLastColumn="1" showRowStripes="1"/>
</table>
</file>

<file path=xl/tables/table4.xml><?xml version="1.0" encoding="utf-8"?>
<table xmlns="http://schemas.openxmlformats.org/spreadsheetml/2006/main" ref="G1:K201" displayName="Table5" name="Table5" id="4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kaeng ruer-style 2" showColumnStripes="0" showFirstColumn="1" showLastColumn="1" showRowStripes="1"/>
</table>
</file>

<file path=xl/tables/table5.xml><?xml version="1.0" encoding="utf-8"?>
<table xmlns="http://schemas.openxmlformats.org/spreadsheetml/2006/main" ref="A1:E201" displayName="Table1" name="Table1" id="5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len wow-style" showColumnStripes="0" showFirstColumn="1" showLastColumn="1" showRowStripes="1"/>
</table>
</file>

<file path=xl/tables/table6.xml><?xml version="1.0" encoding="utf-8"?>
<table xmlns="http://schemas.openxmlformats.org/spreadsheetml/2006/main" ref="G1:K201" displayName="Table2" name="Table2" id="6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len wow-style 2" showColumnStripes="0" showFirstColumn="1" showLastColumn="1" showRowStripes="1"/>
</table>
</file>

<file path=xl/tables/table7.xml><?xml version="1.0" encoding="utf-8"?>
<table xmlns="http://schemas.openxmlformats.org/spreadsheetml/2006/main" ref="A1:E201" displayName="Table_1" name="Table_1" id="7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sepak takraw-style" showColumnStripes="0" showFirstColumn="1" showLastColumn="1" showRowStripes="1"/>
</table>
</file>

<file path=xl/tables/table8.xml><?xml version="1.0" encoding="utf-8"?>
<table xmlns="http://schemas.openxmlformats.org/spreadsheetml/2006/main" ref="A1:E201" displayName="Table4" name="Table4" id="8">
  <tableColumns count="5">
    <tableColumn name="Question no." id="1"/>
    <tableColumn name="Question " id="2"/>
    <tableColumn name="Options" id="3"/>
    <tableColumn name="Answer" id="4"/>
    <tableColumn name="Description" id="5"/>
  </tableColumns>
  <tableStyleInfo name="thai boxing-style" showColumnStripes="0" showFirstColumn="1" showLastColumn="1" showRowStripes="1"/>
</table>
</file>

<file path=xl/tables/table9.xml><?xml version="1.0" encoding="utf-8"?>
<table xmlns="http://schemas.openxmlformats.org/spreadsheetml/2006/main" ref="G1:K201" displayName="Table3" name="Table3" id="9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thai box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4.29"/>
    <col customWidth="1" min="2" max="2" width="70.29"/>
    <col customWidth="1" min="3" max="3" width="80.86"/>
    <col customWidth="1" min="4" max="4" width="37.0"/>
    <col customWidth="1" min="5" max="5" width="69.29"/>
    <col customWidth="1" min="6" max="6" width="8.71"/>
    <col customWidth="1" min="7" max="7" width="15.43"/>
    <col customWidth="1" min="8" max="8" width="27.0"/>
    <col customWidth="1" min="9" max="9" width="38.43"/>
    <col customWidth="1" min="10" max="10" width="23.71"/>
    <col customWidth="1" min="11" max="11" width="61.43"/>
    <col customWidth="1" min="12" max="12" width="98.14"/>
    <col customWidth="1" min="13" max="15" width="43.0"/>
    <col customWidth="1" min="16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4.25" customHeight="1">
      <c r="A2" s="4">
        <v>1.0</v>
      </c>
      <c r="B2" s="5" t="str">
        <f>IFERROR(__xludf.DUMMYFUNCTION("GOOGLETRANSLATE(H2, ""th"", ""en"")
"),"You notice that your teammates in the bullfight look tired. What do you do?")</f>
        <v>You notice that your teammates in the bullfight look tired. What do you do?</v>
      </c>
      <c r="C2" s="5" t="str">
        <f>IFERROR(__xludf.DUMMYFUNCTION("GOOGLETRANSLATE(I2, ""th"", ""en"")
"),"A) Take the lead and motivate the team; B) Slow down; C) Maintain a rhythm and observe; D) Consult the coach.")</f>
        <v>A) Take the lead and motivate the team; B) Slow down; C) Maintain a rhythm and observe; D) Consult the coach.</v>
      </c>
      <c r="D2" s="5" t="str">
        <f>IFERROR(__xludf.DUMMYFUNCTION("GOOGLETRANSLATE(J2, ""th"", ""en"")
"),"A) Take on leadership roles and motivate the team.")</f>
        <v>A) Take on leadership roles and motivate the team.</v>
      </c>
      <c r="E2" s="5" t="str">
        <f>IFERROR(__xludf.DUMMYFUNCTION("GOOGLETRANSLATE(K2, ""th"", ""en"")
"),"Leading the team at this pace helps improve team coordination.")</f>
        <v>Leading the team at this pace helps improve team coordination.</v>
      </c>
      <c r="G2" s="6">
        <v>1.0</v>
      </c>
      <c r="H2" s="7" t="s">
        <v>10</v>
      </c>
      <c r="I2" s="7" t="s">
        <v>11</v>
      </c>
      <c r="J2" s="7" t="s">
        <v>12</v>
      </c>
      <c r="K2" s="7" t="s">
        <v>13</v>
      </c>
    </row>
    <row r="3" ht="14.25" customHeight="1">
      <c r="A3" s="4">
        <v>2.0</v>
      </c>
      <c r="B3" s="5" t="str">
        <f>IFERROR(__xludf.DUMMYFUNCTION("GOOGLETRANSLATE(H3, ""th"", ""en"")
"),"The coach asks you to lead the team in a bullfight. What do you do?")</f>
        <v>The coach asks you to lead the team in a bullfight. What do you do?</v>
      </c>
      <c r="C3" s="5" t="str">
        <f>IFERROR(__xludf.DUMMYFUNCTION("GOOGLETRANSLATE(I3, ""th"", ""en"")
"),"A) Refuse; B) Choose easy songs; C) Sing without energy; D) Write a new, complex song.")</f>
        <v>A) Refuse; B) Choose easy songs; C) Sing without energy; D) Write a new, complex song.</v>
      </c>
      <c r="D3" s="5" t="str">
        <f>IFERROR(__xludf.DUMMYFUNCTION("GOOGLETRANSLATE(J3, ""th"", ""en"")
"),"B) Choose an easy song.")</f>
        <v>B) Choose an easy song.</v>
      </c>
      <c r="E3" s="5" t="str">
        <f>IFERROR(__xludf.DUMMYFUNCTION("GOOGLETRANSLATE(K3, ""th"", ""en"")
"),"Choosing easy songs helps build confidence and connect with the team.")</f>
        <v>Choosing easy songs helps build confidence and connect with the team.</v>
      </c>
      <c r="G3" s="6">
        <v>2.0</v>
      </c>
      <c r="H3" s="7" t="s">
        <v>14</v>
      </c>
      <c r="I3" s="7" t="s">
        <v>15</v>
      </c>
      <c r="J3" s="7" t="s">
        <v>16</v>
      </c>
      <c r="K3" s="7" t="s">
        <v>17</v>
      </c>
    </row>
    <row r="4" ht="14.25" customHeight="1">
      <c r="A4" s="4">
        <v>3.0</v>
      </c>
      <c r="B4" s="5" t="str">
        <f>IFERROR(__xludf.DUMMYFUNCTION("GOOGLETRANSLATE(H4, ""th"", ""en"")
"),"While watching a bullfight, you notice that the crowd is disorderly. What do you do?")</f>
        <v>While watching a bullfight, you notice that the crowd is disorderly. What do you do?</v>
      </c>
      <c r="C4" s="5" t="str">
        <f>IFERROR(__xludf.DUMMYFUNCTION("GOOGLETRANSLATE(I4, ""th"", ""en"")
"),"A) Immediately adjust your position; B) Ignore and continue watching; C) Notify the trainer; D) Walk out of the area.")</f>
        <v>A) Immediately adjust your position; B) Ignore and continue watching; C) Notify the trainer; D) Walk out of the area.</v>
      </c>
      <c r="D4" s="5" t="str">
        <f>IFERROR(__xludf.DUMMYFUNCTION("GOOGLETRANSLATE(J4, ""th"", ""en"")
"),"A) Adjust your position immediately.")</f>
        <v>A) Adjust your position immediately.</v>
      </c>
      <c r="E4" s="5" t="str">
        <f>IFERROR(__xludf.DUMMYFUNCTION("GOOGLETRANSLATE(K4, ""th"", ""en"")
"),"Maintaining a balanced area helps the fight to proceed smoothly.")</f>
        <v>Maintaining a balanced area helps the fight to proceed smoothly.</v>
      </c>
      <c r="G4" s="6">
        <v>3.0</v>
      </c>
      <c r="H4" s="7" t="s">
        <v>18</v>
      </c>
      <c r="I4" s="7" t="s">
        <v>19</v>
      </c>
      <c r="J4" s="7" t="s">
        <v>20</v>
      </c>
      <c r="K4" s="7" t="s">
        <v>21</v>
      </c>
    </row>
    <row r="5" ht="14.25" customHeight="1">
      <c r="A5" s="4">
        <v>4.0</v>
      </c>
      <c r="B5" s="5" t="str">
        <f>IFERROR(__xludf.DUMMYFUNCTION("GOOGLETRANSLATE(H5, ""th"", ""en"")
"),"Your teammate makes a mistake during a bullfight. What do you do?")</f>
        <v>Your teammate makes a mistake during a bullfight. What do you do?</v>
      </c>
      <c r="C5" s="5" t="str">
        <f>IFERROR(__xludf.DUMMYFUNCTION("GOOGLETRANSLATE(I5, ""th"", ""en"")
"),"A) Help him quietly; B) Reprimand him loudly; C) Continue playing normally; D) Stop the game.")</f>
        <v>A) Help him quietly; B) Reprimand him loudly; C) Continue playing normally; D) Stop the game.</v>
      </c>
      <c r="D5" s="5" t="str">
        <f>IFERROR(__xludf.DUMMYFUNCTION("GOOGLETRANSLATE(J5, ""th"", ""en"")
"),"A) Help him quietly.")</f>
        <v>A) Help him quietly.</v>
      </c>
      <c r="E5" s="5" t="str">
        <f>IFERROR(__xludf.DUMMYFUNCTION("GOOGLETRANSLATE(K5, ""th"", ""en"")
"),"Silent contributions help build team unity.")</f>
        <v>Silent contributions help build team unity.</v>
      </c>
      <c r="G5" s="6">
        <v>4.0</v>
      </c>
      <c r="H5" s="7" t="s">
        <v>22</v>
      </c>
      <c r="I5" s="7" t="s">
        <v>23</v>
      </c>
      <c r="J5" s="7" t="s">
        <v>24</v>
      </c>
      <c r="K5" s="7" t="s">
        <v>25</v>
      </c>
    </row>
    <row r="6" ht="14.25" customHeight="1">
      <c r="A6" s="4">
        <v>5.0</v>
      </c>
      <c r="B6" s="5" t="str">
        <f>IFERROR(__xludf.DUMMYFUNCTION("GOOGLETRANSLATE(H6, ""th"", ""en"")
"),"You see that the cow is starting to show signs of fatigue, what do you do?")</f>
        <v>You see that the cow is starting to show signs of fatigue, what do you do?</v>
      </c>
      <c r="C6" s="5" t="str">
        <f>IFERROR(__xludf.DUMMYFUNCTION("GOOGLETRANSLATE(I6, ""th"", ""en"")
"),"A) Adjust the fighting stance; B) Stop the fighting; C) Inform the cow handler; D) Apologize and stop the game.")</f>
        <v>A) Adjust the fighting stance; B) Stop the fighting; C) Inform the cow handler; D) Apologize and stop the game.</v>
      </c>
      <c r="D6" s="5" t="str">
        <f>IFERROR(__xludf.DUMMYFUNCTION("GOOGLETRANSLATE(J6, ""th"", ""en"")
"),"C) Inform the cow keeper.")</f>
        <v>C) Inform the cow keeper.</v>
      </c>
      <c r="E6" s="5" t="str">
        <f>IFERROR(__xludf.DUMMYFUNCTION("GOOGLETRANSLATE(K6, ""th"", ""en"")
"),"Notifying your administrator can help prevent potential problems.")</f>
        <v>Notifying your administrator can help prevent potential problems.</v>
      </c>
      <c r="G6" s="6">
        <v>5.0</v>
      </c>
      <c r="H6" s="7" t="s">
        <v>26</v>
      </c>
      <c r="I6" s="7" t="s">
        <v>27</v>
      </c>
      <c r="J6" s="7" t="s">
        <v>28</v>
      </c>
      <c r="K6" s="7" t="s">
        <v>29</v>
      </c>
    </row>
    <row r="7" ht="14.25" customHeight="1">
      <c r="A7" s="4">
        <v>6.0</v>
      </c>
      <c r="B7" s="5" t="str">
        <f>IFERROR(__xludf.DUMMYFUNCTION("GOOGLETRANSLATE(H7, ""th"", ""en"")
"),"Your teammate is injured during a fight, what do you do?")</f>
        <v>Your teammate is injured during a fight, what do you do?</v>
      </c>
      <c r="C7" s="5" t="str">
        <f>IFERROR(__xludf.DUMMYFUNCTION("GOOGLETRANSLATE(I7, ""th"", ""en"")
"),"A) Help him immediately; B) Notify the coach; C) Ignore him and continue playing; D) Stop the fight.")</f>
        <v>A) Help him immediately; B) Notify the coach; C) Ignore him and continue playing; D) Stop the fight.</v>
      </c>
      <c r="D7" s="5" t="str">
        <f>IFERROR(__xludf.DUMMYFUNCTION("GOOGLETRANSLATE(J7, ""th"", ""en"")
"),"A) Help him immediately.")</f>
        <v>A) Help him immediately.</v>
      </c>
      <c r="E7" s="5" t="str">
        <f>IFERROR(__xludf.DUMMYFUNCTION("GOOGLETRANSLATE(K7, ""th"", ""en"")
"),"Immediately helping his teammates helped him recover faster.")</f>
        <v>Immediately helping his teammates helped him recover faster.</v>
      </c>
      <c r="G7" s="6">
        <v>6.0</v>
      </c>
      <c r="H7" s="7" t="s">
        <v>30</v>
      </c>
      <c r="I7" s="7" t="s">
        <v>31</v>
      </c>
      <c r="J7" s="7" t="s">
        <v>32</v>
      </c>
      <c r="K7" s="7" t="s">
        <v>33</v>
      </c>
    </row>
    <row r="8" ht="14.25" customHeight="1">
      <c r="A8" s="4">
        <v>7.0</v>
      </c>
      <c r="B8" s="5" t="str">
        <f>IFERROR(__xludf.DUMMYFUNCTION("GOOGLETRANSLATE(H8, ""th"", ""en"")
"),"You have to choose the best fighting stance for your bull. What will you choose?")</f>
        <v>You have to choose the best fighting stance for your bull. What will you choose?</v>
      </c>
      <c r="C8" s="5" t="str">
        <f>IFERROR(__xludf.DUMMYFUNCTION("GOOGLETRANSLATE(I8, ""th"", ""en"")
"),"A) flexible posture; B) aggressive posture; C) relaxed posture; D) stable posture")</f>
        <v>A) flexible posture; B) aggressive posture; C) relaxed posture; D) stable posture</v>
      </c>
      <c r="D8" s="5" t="str">
        <f>IFERROR(__xludf.DUMMYFUNCTION("GOOGLETRANSLATE(J8, ""th"", ""en"")
"),"A) Flexible posture")</f>
        <v>A) Flexible posture</v>
      </c>
      <c r="E8" s="5" t="str">
        <f>IFERROR(__xludf.DUMMYFUNCTION("GOOGLETRANSLATE(K8, ""th"", ""en"")
"),"Flexible posture allows for better movement and adaptability to the situation.")</f>
        <v>Flexible posture allows for better movement and adaptability to the situation.</v>
      </c>
      <c r="G8" s="6">
        <v>7.0</v>
      </c>
      <c r="H8" s="7" t="s">
        <v>34</v>
      </c>
      <c r="I8" s="7" t="s">
        <v>35</v>
      </c>
      <c r="J8" s="7" t="s">
        <v>36</v>
      </c>
      <c r="K8" s="7" t="s">
        <v>37</v>
      </c>
    </row>
    <row r="9" ht="14.25" customHeight="1">
      <c r="A9" s="4">
        <v>8.0</v>
      </c>
      <c r="B9" s="5" t="str">
        <f>IFERROR(__xludf.DUMMYFUNCTION("GOOGLETRANSLATE(H9, ""th"", ""en"")
"),"The audience starts making noise and disturbing the fight. What do you do?")</f>
        <v>The audience starts making noise and disturbing the fight. What do you do?</v>
      </c>
      <c r="C9" s="5" t="str">
        <f>IFERROR(__xludf.DUMMYFUNCTION("GOOGLETRANSLATE(I9, ""th"", ""en"")
"),"A) Be patient and persistent; B) Blame the audience; C) Stop the fight; D) Talk to the moderator.")</f>
        <v>A) Be patient and persistent; B) Blame the audience; C) Stop the fight; D) Talk to the moderator.</v>
      </c>
      <c r="D9" s="5" t="str">
        <f>IFERROR(__xludf.DUMMYFUNCTION("GOOGLETRANSLATE(J9, ""th"", ""en"")
"),"A) Be patient and persistent.")</f>
        <v>A) Be patient and persistent.</v>
      </c>
      <c r="E9" s="5" t="str">
        <f>IFERROR(__xludf.DUMMYFUNCTION("GOOGLETRANSLATE(K9, ""th"", ""en"")
"),"Keeping calm allows you to focus on the fight.")</f>
        <v>Keeping calm allows you to focus on the fight.</v>
      </c>
      <c r="G9" s="6">
        <v>8.0</v>
      </c>
      <c r="H9" s="7" t="s">
        <v>38</v>
      </c>
      <c r="I9" s="7" t="s">
        <v>39</v>
      </c>
      <c r="J9" s="7" t="s">
        <v>40</v>
      </c>
      <c r="K9" s="7" t="s">
        <v>41</v>
      </c>
    </row>
    <row r="10" ht="14.25" customHeight="1">
      <c r="A10" s="4">
        <v>9.0</v>
      </c>
      <c r="B10" s="5" t="str">
        <f>IFERROR(__xludf.DUMMYFUNCTION("GOOGLETRANSLATE(H10, ""th"", ""en"")
"),"While fighting, you feel afraid that the bull might get hurt. What do you do?")</f>
        <v>While fighting, you feel afraid that the bull might get hurt. What do you do?</v>
      </c>
      <c r="C10" s="5" t="str">
        <f>IFERROR(__xludf.DUMMYFUNCTION("GOOGLETRANSLATE(I10, ""th"", ""en"")
"),"A) Try to stop the fight; B) Notify the cow handler; C) Continue the fight; D) Change the fighting style.")</f>
        <v>A) Try to stop the fight; B) Notify the cow handler; C) Continue the fight; D) Change the fighting style.</v>
      </c>
      <c r="D10" s="5" t="str">
        <f>IFERROR(__xludf.DUMMYFUNCTION("GOOGLETRANSLATE(J10, ""th"", ""en"")
"),"B) Inform the cow keeper.")</f>
        <v>B) Inform the cow keeper.</v>
      </c>
      <c r="E10" s="5" t="str">
        <f>IFERROR(__xludf.DUMMYFUNCTION("GOOGLETRANSLATE(K10, ""th"", ""en"")
"),"Notifying the caregiver reduces the risk of injury to the cow.")</f>
        <v>Notifying the caregiver reduces the risk of injury to the cow.</v>
      </c>
      <c r="G10" s="6">
        <v>9.0</v>
      </c>
      <c r="H10" s="7" t="s">
        <v>42</v>
      </c>
      <c r="I10" s="7" t="s">
        <v>43</v>
      </c>
      <c r="J10" s="7" t="s">
        <v>44</v>
      </c>
      <c r="K10" s="7" t="s">
        <v>45</v>
      </c>
    </row>
    <row r="11" ht="14.25" customHeight="1">
      <c r="A11" s="4">
        <v>10.0</v>
      </c>
      <c r="B11" s="5" t="str">
        <f>IFERROR(__xludf.DUMMYFUNCTION("GOOGLETRANSLATE(H11, ""th"", ""en"")
"),"You see that your teammates are not ready for battle, what do you do?")</f>
        <v>You see that your teammates are not ready for battle, what do you do?</v>
      </c>
      <c r="C11" s="5" t="str">
        <f>IFERROR(__xludf.DUMMYFUNCTION("GOOGLETRANSLATE(I11, ""th"", ""en"")
"),"A) Help him practice; B) Criticize him loudly; C) Let him make his own decisions; D) Evaluate his skills.")</f>
        <v>A) Help him practice; B) Criticize him loudly; C) Let him make his own decisions; D) Evaluate his skills.</v>
      </c>
      <c r="D11" s="5" t="str">
        <f>IFERROR(__xludf.DUMMYFUNCTION("GOOGLETRANSLATE(J11, ""th"", ""en"")
"),"A) Help him practice.")</f>
        <v>A) Help him practice.</v>
      </c>
      <c r="E11" s="5" t="str">
        <f>IFERROR(__xludf.DUMMYFUNCTION("GOOGLETRANSLATE(K11, ""th"", ""en"")
"),"Helping to improve skills training helps to make the team stronger.")</f>
        <v>Helping to improve skills training helps to make the team stronger.</v>
      </c>
      <c r="G11" s="6">
        <v>10.0</v>
      </c>
      <c r="H11" s="7" t="s">
        <v>46</v>
      </c>
      <c r="I11" s="7" t="s">
        <v>47</v>
      </c>
      <c r="J11" s="7" t="s">
        <v>48</v>
      </c>
      <c r="K11" s="7" t="s">
        <v>49</v>
      </c>
    </row>
    <row r="12" ht="14.25" customHeight="1">
      <c r="A12" s="4">
        <v>11.0</v>
      </c>
      <c r="B12" s="5" t="str">
        <f>IFERROR(__xludf.DUMMYFUNCTION("GOOGLETRANSLATE(H12, ""th"", ""en"")
"),"The fight has been going on for a long time and you are feeling tired. What should you do?")</f>
        <v>The fight has been going on for a long time and you are feeling tired. What should you do?</v>
      </c>
      <c r="C12" s="5" t="str">
        <f>IFERROR(__xludf.DUMMYFUNCTION("GOOGLETRANSLATE(I12, ""th"", ""en"")
"),"A) Take a break; B) Continue fighting; C) Consult a trainer; D) Reduce intensity.")</f>
        <v>A) Take a break; B) Continue fighting; C) Consult a trainer; D) Reduce intensity.</v>
      </c>
      <c r="D12" s="5" t="str">
        <f>IFERROR(__xludf.DUMMYFUNCTION("GOOGLETRANSLATE(J12, ""th"", ""en"")
"),"C) Consult the trainer.")</f>
        <v>C) Consult the trainer.</v>
      </c>
      <c r="E12" s="5" t="str">
        <f>IFERROR(__xludf.DUMMYFUNCTION("GOOGLETRANSLATE(K12, ""th"", ""en"")
"),"Seeking advice from a coach helps you make better decisions.")</f>
        <v>Seeking advice from a coach helps you make better decisions.</v>
      </c>
      <c r="G12" s="6">
        <v>11.0</v>
      </c>
      <c r="H12" s="7" t="s">
        <v>50</v>
      </c>
      <c r="I12" s="7" t="s">
        <v>51</v>
      </c>
      <c r="J12" s="7" t="s">
        <v>52</v>
      </c>
      <c r="K12" s="7" t="s">
        <v>53</v>
      </c>
    </row>
    <row r="13" ht="14.25" customHeight="1">
      <c r="A13" s="4">
        <v>12.0</v>
      </c>
      <c r="B13" s="5" t="str">
        <f>IFERROR(__xludf.DUMMYFUNCTION("GOOGLETRANSLATE(H13, ""th"", ""en"")
"),"Having trouble handling the bull during the fight? What should you do?")</f>
        <v>Having trouble handling the bull during the fight? What should you do?</v>
      </c>
      <c r="C13" s="5" t="str">
        <f>IFERROR(__xludf.DUMMYFUNCTION("GOOGLETRANSLATE(I13, ""th"", ""en"")
"),"A) Notify the cow handler; B) Let it go; C) Stop fighting; D) Change location.")</f>
        <v>A) Notify the cow handler; B) Let it go; C) Stop fighting; D) Change location.</v>
      </c>
      <c r="D13" s="5" t="str">
        <f>IFERROR(__xludf.DUMMYFUNCTION("GOOGLETRANSLATE(J13, ""th"", ""en"")
"),"A) Notify the cow keeper.")</f>
        <v>A) Notify the cow keeper.</v>
      </c>
      <c r="E13" s="5" t="str">
        <f>IFERROR(__xludf.DUMMYFUNCTION("GOOGLETRANSLATE(K13, ""th"", ""en"")
"),"Reporting issues allows administrators to address them promptly.")</f>
        <v>Reporting issues allows administrators to address them promptly.</v>
      </c>
      <c r="G13" s="6">
        <v>12.0</v>
      </c>
      <c r="H13" s="7" t="s">
        <v>54</v>
      </c>
      <c r="I13" s="7" t="s">
        <v>55</v>
      </c>
      <c r="J13" s="7" t="s">
        <v>56</v>
      </c>
      <c r="K13" s="7" t="s">
        <v>57</v>
      </c>
    </row>
    <row r="14" ht="14.25" customHeight="1">
      <c r="A14" s="4">
        <v>13.0</v>
      </c>
      <c r="B14" s="5" t="str">
        <f>IFERROR(__xludf.DUMMYFUNCTION("GOOGLETRANSLATE(H14, ""th"", ""en"")
"),"A teammate is injured, what do you do?")</f>
        <v>A teammate is injured, what do you do?</v>
      </c>
      <c r="C14" s="5" t="str">
        <f>IFERROR(__xludf.DUMMYFUNCTION("GOOGLETRANSLATE(I14, ""th"", ""en"")
"),"A) Ask him to stop fighting; B) Help him recover; C) Let him make his own decision; D) Stop fighting.")</f>
        <v>A) Ask him to stop fighting; B) Help him recover; C) Let him make his own decision; D) Stop fighting.</v>
      </c>
      <c r="D14" s="5" t="str">
        <f>IFERROR(__xludf.DUMMYFUNCTION("GOOGLETRANSLATE(J14, ""th"", ""en"")
"),"B) Help him recover.")</f>
        <v>B) Help him recover.</v>
      </c>
      <c r="E14" s="5" t="str">
        <f>IFERROR(__xludf.DUMMYFUNCTION("GOOGLETRANSLATE(K14, ""th"", ""en"")
"),"Helping teammates recover allows the team to continue.")</f>
        <v>Helping teammates recover allows the team to continue.</v>
      </c>
      <c r="G14" s="6">
        <v>13.0</v>
      </c>
      <c r="H14" s="7" t="s">
        <v>58</v>
      </c>
      <c r="I14" s="7" t="s">
        <v>59</v>
      </c>
      <c r="J14" s="7" t="s">
        <v>60</v>
      </c>
      <c r="K14" s="7" t="s">
        <v>61</v>
      </c>
    </row>
    <row r="15" ht="14.25" customHeight="1">
      <c r="A15" s="4">
        <v>14.0</v>
      </c>
      <c r="B15" s="5" t="str">
        <f>IFERROR(__xludf.DUMMYFUNCTION("GOOGLETRANSLATE(H15, ""th"", ""en"")
"),"Your trainer asks you to lead a strategic plan. What will you do?")</f>
        <v>Your trainer asks you to lead a strategic plan. What will you do?</v>
      </c>
      <c r="C15" s="5" t="str">
        <f>IFERROR(__xludf.DUMMYFUNCTION("GOOGLETRANSLATE(I15, ""th"", ""en"")
"),"A) Take on leadership and management roles; B) Refuse; C) Wait for feedback from the team; D) Feel anxious.")</f>
        <v>A) Take on leadership and management roles; B) Refuse; C) Wait for feedback from the team; D) Feel anxious.</v>
      </c>
      <c r="D15" s="5" t="str">
        <f>IFERROR(__xludf.DUMMYFUNCTION("GOOGLETRANSLATE(J15, ""th"", ""en"")
"),"A) Take on leadership and management roles.")</f>
        <v>A) Take on leadership and management roles.</v>
      </c>
      <c r="E15" s="5" t="str">
        <f>IFERROR(__xludf.DUMMYFUNCTION("GOOGLETRANSLATE(K15, ""th"", ""en"")
"),"Being a good leader helps in decision making and increases confidence in the team.")</f>
        <v>Being a good leader helps in decision making and increases confidence in the team.</v>
      </c>
      <c r="G15" s="6">
        <v>14.0</v>
      </c>
      <c r="H15" s="7" t="s">
        <v>62</v>
      </c>
      <c r="I15" s="7" t="s">
        <v>63</v>
      </c>
      <c r="J15" s="7" t="s">
        <v>64</v>
      </c>
      <c r="K15" s="7" t="s">
        <v>65</v>
      </c>
    </row>
    <row r="16" ht="14.25" customHeight="1">
      <c r="A16" s="4">
        <v>15.0</v>
      </c>
      <c r="B16" s="5" t="str">
        <f>IFERROR(__xludf.DUMMYFUNCTION("GOOGLETRANSLATE(H16, ""th"", ""en"")
"),"You find the fight getting tougher, what do you do?")</f>
        <v>You find the fight getting tougher, what do you do?</v>
      </c>
      <c r="C16" s="5" t="str">
        <f>IFERROR(__xludf.DUMMYFUNCTION("GOOGLETRANSLATE(I16, ""th"", ""en"")
"),"A) Increase effort; B) Decrease speed; C) Consult a trainer; D) Stop fighting.")</f>
        <v>A) Increase effort; B) Decrease speed; C) Consult a trainer; D) Stop fighting.</v>
      </c>
      <c r="D16" s="5" t="str">
        <f>IFERROR(__xludf.DUMMYFUNCTION("GOOGLETRANSLATE(J16, ""th"", ""en"")
"),"A) Increase effort")</f>
        <v>A) Increase effort</v>
      </c>
      <c r="E16" s="5" t="str">
        <f>IFERROR(__xludf.DUMMYFUNCTION("GOOGLETRANSLATE(K16, ""th"", ""en"")
"),"Increasing effort makes the team stronger.")</f>
        <v>Increasing effort makes the team stronger.</v>
      </c>
      <c r="G16" s="6">
        <v>15.0</v>
      </c>
      <c r="H16" s="7" t="s">
        <v>66</v>
      </c>
      <c r="I16" s="7" t="s">
        <v>67</v>
      </c>
      <c r="J16" s="7" t="s">
        <v>68</v>
      </c>
      <c r="K16" s="7" t="s">
        <v>69</v>
      </c>
    </row>
    <row r="17" ht="14.25" customHeight="1">
      <c r="A17" s="4">
        <v>16.0</v>
      </c>
      <c r="B17" s="5" t="str">
        <f>IFERROR(__xludf.DUMMYFUNCTION("GOOGLETRANSLATE(H17, ""th"", ""en"")
"),"You see that the cow is not following orders, what do you do?")</f>
        <v>You see that the cow is not following orders, what do you do?</v>
      </c>
      <c r="C17" s="5" t="str">
        <f>IFERROR(__xludf.DUMMYFUNCTION("GOOGLETRANSLATE(I17, ""th"", ""en"")
"),"A) Change the control method; B) Let it go; C) Apologize to the team; D) Stop the fight.")</f>
        <v>A) Change the control method; B) Let it go; C) Apologize to the team; D) Stop the fight.</v>
      </c>
      <c r="D17" s="5" t="str">
        <f>IFERROR(__xludf.DUMMYFUNCTION("GOOGLETRANSLATE(J17, ""th"", ""en"")
"),"A) Change the control method.")</f>
        <v>A) Change the control method.</v>
      </c>
      <c r="E17" s="5" t="str">
        <f>IFERROR(__xludf.DUMMYFUNCTION("GOOGLETRANSLATE(K17, ""th"", ""en"")
"),"Adjusting the control method helps the battle flow better.")</f>
        <v>Adjusting the control method helps the battle flow better.</v>
      </c>
      <c r="G17" s="6">
        <v>16.0</v>
      </c>
      <c r="H17" s="7" t="s">
        <v>70</v>
      </c>
      <c r="I17" s="7" t="s">
        <v>71</v>
      </c>
      <c r="J17" s="7" t="s">
        <v>72</v>
      </c>
      <c r="K17" s="7" t="s">
        <v>73</v>
      </c>
    </row>
    <row r="18" ht="14.25" customHeight="1">
      <c r="A18" s="4">
        <v>17.0</v>
      </c>
      <c r="B18" s="5" t="str">
        <f>IFERROR(__xludf.DUMMYFUNCTION("GOOGLETRANSLATE(H18, ""th"", ""en"")
"),"One player doesn't believe in the team's strategy. What do you do?")</f>
        <v>One player doesn't believe in the team's strategy. What do you do?</v>
      </c>
      <c r="C18" s="5" t="str">
        <f>IFERROR(__xludf.DUMMYFUNCTION("GOOGLETRANSLATE(I18, ""th"", ""en"")
"),"A) Talk and explain; B) Let him do what he wants; C) Reject his opinions; D) Compromise.")</f>
        <v>A) Talk and explain; B) Let him do what he wants; C) Reject his opinions; D) Compromise.</v>
      </c>
      <c r="D18" s="5" t="str">
        <f>IFERROR(__xludf.DUMMYFUNCTION("GOOGLETRANSLATE(J18, ""th"", ""en"")
"),"A) Discuss and clarify")</f>
        <v>A) Discuss and clarify</v>
      </c>
      <c r="E18" s="5" t="str">
        <f>IFERROR(__xludf.DUMMYFUNCTION("GOOGLETRANSLATE(K18, ""th"", ""en"")
"),"Talking helps build understanding and build confidence in the team.")</f>
        <v>Talking helps build understanding and build confidence in the team.</v>
      </c>
      <c r="G18" s="6">
        <v>17.0</v>
      </c>
      <c r="H18" s="7" t="s">
        <v>74</v>
      </c>
      <c r="I18" s="7" t="s">
        <v>75</v>
      </c>
      <c r="J18" s="7" t="s">
        <v>76</v>
      </c>
      <c r="K18" s="7" t="s">
        <v>77</v>
      </c>
    </row>
    <row r="19" ht="14.25" customHeight="1">
      <c r="A19" s="4">
        <v>18.0</v>
      </c>
      <c r="B19" s="5" t="str">
        <f>IFERROR(__xludf.DUMMYFUNCTION("GOOGLETRANSLATE(H19, ""th"", ""en"")
"),"During a fight, you see that the bull is not fit for fighting. What do you do?")</f>
        <v>During a fight, you see that the bull is not fit for fighting. What do you do?</v>
      </c>
      <c r="C19" s="5" t="str">
        <f>IFERROR(__xludf.DUMMYFUNCTION("GOOGLETRANSLATE(I19, ""th"", ""en"")
"),"A) Consult the handler; B) Stop the fight; C) Force the bull to continue fighting; D) Replace the bull immediately.")</f>
        <v>A) Consult the handler; B) Stop the fight; C) Force the bull to continue fighting; D) Replace the bull immediately.</v>
      </c>
      <c r="D19" s="5" t="str">
        <f>IFERROR(__xludf.DUMMYFUNCTION("GOOGLETRANSLATE(J19, ""th"", ""en"")
"),"A) Consult the supervisor.")</f>
        <v>A) Consult the supervisor.</v>
      </c>
      <c r="E19" s="5" t="str">
        <f>IFERROR(__xludf.DUMMYFUNCTION("GOOGLETRANSLATE(K19, ""th"", ""en"")
"),"Consulting your caregiver helps you make the right decision.")</f>
        <v>Consulting your caregiver helps you make the right decision.</v>
      </c>
      <c r="G19" s="6">
        <v>18.0</v>
      </c>
      <c r="H19" s="7" t="s">
        <v>78</v>
      </c>
      <c r="I19" s="7" t="s">
        <v>79</v>
      </c>
      <c r="J19" s="7" t="s">
        <v>80</v>
      </c>
      <c r="K19" s="7" t="s">
        <v>81</v>
      </c>
    </row>
    <row r="20" ht="14.25" customHeight="1">
      <c r="A20" s="4">
        <v>19.0</v>
      </c>
      <c r="B20" s="5" t="str">
        <f>IFERROR(__xludf.DUMMYFUNCTION("GOOGLETRANSLATE(H20, ""th"", ""en"")
"),"You find that there are obstacles in managing cattle. What do you do?")</f>
        <v>You find that there are obstacles in managing cattle. What do you do?</v>
      </c>
      <c r="C20" s="5" t="str">
        <f>IFERROR(__xludf.DUMMYFUNCTION("GOOGLETRANSLATE(I20, ""th"", ""en"")
"),"A) Notify the cow handler; B) Try to handle it yourself; C) Stop the fight; D) Change the location.")</f>
        <v>A) Notify the cow handler; B) Try to handle it yourself; C) Stop the fight; D) Change the location.</v>
      </c>
      <c r="D20" s="5" t="str">
        <f>IFERROR(__xludf.DUMMYFUNCTION("GOOGLETRANSLATE(J20, ""th"", ""en"")
"),"A) Notify the cow keeper.")</f>
        <v>A) Notify the cow keeper.</v>
      </c>
      <c r="E20" s="5" t="str">
        <f>IFERROR(__xludf.DUMMYFUNCTION("GOOGLETRANSLATE(K20, ""th"", ""en"")
"),"Notifying the cow handler to help manage the situation helped improve the situation.")</f>
        <v>Notifying the cow handler to help manage the situation helped improve the situation.</v>
      </c>
      <c r="G20" s="6">
        <v>19.0</v>
      </c>
      <c r="H20" s="7" t="s">
        <v>82</v>
      </c>
      <c r="I20" s="7" t="s">
        <v>83</v>
      </c>
      <c r="J20" s="7" t="s">
        <v>56</v>
      </c>
      <c r="K20" s="7" t="s">
        <v>84</v>
      </c>
    </row>
    <row r="21" ht="14.25" customHeight="1">
      <c r="A21" s="4">
        <v>20.0</v>
      </c>
      <c r="B21" s="5" t="str">
        <f>IFERROR(__xludf.DUMMYFUNCTION("GOOGLETRANSLATE(H21, ""th"", ""en"")
"),"Your team is not ready for battle, what will you do?")</f>
        <v>Your team is not ready for battle, what will you do?</v>
      </c>
      <c r="C21" s="5" t="str">
        <f>IFERROR(__xludf.DUMMYFUNCTION("GOOGLETRANSLATE(I21, ""th"", ""en"")
"),"A) Ask for more time to prepare; B) Stop fighting; C) Show full support; D) Look for new options.")</f>
        <v>A) Ask for more time to prepare; B) Stop fighting; C) Show full support; D) Look for new options.</v>
      </c>
      <c r="D21" s="5" t="str">
        <f>IFERROR(__xludf.DUMMYFUNCTION("GOOGLETRANSLATE(J21, ""th"", ""en"")
"),"A) Please give me more time to prepare.")</f>
        <v>A) Please give me more time to prepare.</v>
      </c>
      <c r="E21" s="5" t="str">
        <f>IFERROR(__xludf.DUMMYFUNCTION("GOOGLETRANSLATE(K21, ""th"", ""en"")
"),"Being prepared increases your chances of winning.")</f>
        <v>Being prepared increases your chances of winning.</v>
      </c>
      <c r="G21" s="6">
        <v>20.0</v>
      </c>
      <c r="H21" s="7" t="s">
        <v>85</v>
      </c>
      <c r="I21" s="7" t="s">
        <v>86</v>
      </c>
      <c r="J21" s="7" t="s">
        <v>87</v>
      </c>
      <c r="K21" s="7" t="s">
        <v>88</v>
      </c>
    </row>
    <row r="22" ht="14.25" customHeight="1">
      <c r="A22" s="4">
        <v>21.0</v>
      </c>
      <c r="B22" s="5" t="str">
        <f>IFERROR(__xludf.DUMMYFUNCTION("GOOGLETRANSLATE(H22, ""th"", ""en"")
"),"You see a cow behaving unexpectedly, what do you do?")</f>
        <v>You see a cow behaving unexpectedly, what do you do?</v>
      </c>
      <c r="C22" s="5" t="str">
        <f>IFERROR(__xludf.DUMMYFUNCTION("GOOGLETRANSLATE(I22, ""th"", ""en"")
"),"A) Try to adapt to it; B) Let it be; C) Stop fighting; D) Notify the supervisor.")</f>
        <v>A) Try to adapt to it; B) Let it be; C) Stop fighting; D) Notify the supervisor.</v>
      </c>
      <c r="D22" s="5" t="str">
        <f>IFERROR(__xludf.DUMMYFUNCTION("GOOGLETRANSLATE(J22, ""th"", ""en"")
"),"A) Try to adapt to it.")</f>
        <v>A) Try to adapt to it.</v>
      </c>
      <c r="E22" s="5" t="str">
        <f>IFERROR(__xludf.DUMMYFUNCTION("GOOGLETRANSLATE(K22, ""th"", ""en"")
"),"Adapting to the situation will help you cope better.")</f>
        <v>Adapting to the situation will help you cope better.</v>
      </c>
      <c r="G22" s="6">
        <v>21.0</v>
      </c>
      <c r="H22" s="7" t="s">
        <v>89</v>
      </c>
      <c r="I22" s="7" t="s">
        <v>90</v>
      </c>
      <c r="J22" s="7" t="s">
        <v>91</v>
      </c>
      <c r="K22" s="7" t="s">
        <v>92</v>
      </c>
    </row>
    <row r="23" ht="14.25" customHeight="1">
      <c r="A23" s="4">
        <v>22.0</v>
      </c>
      <c r="B23" s="5" t="str">
        <f>IFERROR(__xludf.DUMMYFUNCTION("GOOGLETRANSLATE(H23, ""th"", ""en"")
"),"Your team is having coordination problems. What should you do?")</f>
        <v>Your team is having coordination problems. What should you do?</v>
      </c>
      <c r="C23" s="5" t="str">
        <f>IFERROR(__xludf.DUMMYFUNCTION("GOOGLETRANSLATE(I23, ""th"", ""en"")
"),"A) Practice more; B) Stop fighting; C) Change strategy immediately; D) Let the team decide.")</f>
        <v>A) Practice more; B) Stop fighting; C) Change strategy immediately; D) Let the team decide.</v>
      </c>
      <c r="D23" s="5" t="str">
        <f>IFERROR(__xludf.DUMMYFUNCTION("GOOGLETRANSLATE(J23, ""th"", ""en"")
"),"A) Additional practice")</f>
        <v>A) Additional practice</v>
      </c>
      <c r="E23" s="5" t="str">
        <f>IFERROR(__xludf.DUMMYFUNCTION("GOOGLETRANSLATE(K23, ""th"", ""en"")
"),"Training will help improve team coordination.")</f>
        <v>Training will help improve team coordination.</v>
      </c>
      <c r="G23" s="6">
        <v>22.0</v>
      </c>
      <c r="H23" s="7" t="s">
        <v>93</v>
      </c>
      <c r="I23" s="7" t="s">
        <v>94</v>
      </c>
      <c r="J23" s="7" t="s">
        <v>95</v>
      </c>
      <c r="K23" s="7" t="s">
        <v>96</v>
      </c>
    </row>
    <row r="24" ht="14.25" customHeight="1">
      <c r="A24" s="4">
        <v>23.0</v>
      </c>
      <c r="B24" s="5" t="str">
        <f>IFERROR(__xludf.DUMMYFUNCTION("GOOGLETRANSLATE(H24, ""th"", ""en"")
"),"You see that the bull is showing signs of inappropriate behavior in a fight, what do you do?")</f>
        <v>You see that the bull is showing signs of inappropriate behavior in a fight, what do you do?</v>
      </c>
      <c r="C24" s="5" t="str">
        <f>IFERROR(__xludf.DUMMYFUNCTION("GOOGLETRANSLATE(I24, ""th"", ""en"")
"),"A) Notify the cow handler immediately; B) Continue fighting; C) Change cows; D) Stop fighting.")</f>
        <v>A) Notify the cow handler immediately; B) Continue fighting; C) Change cows; D) Stop fighting.</v>
      </c>
      <c r="D24" s="5" t="str">
        <f>IFERROR(__xludf.DUMMYFUNCTION("GOOGLETRANSLATE(J24, ""th"", ""en"")
"),"A) Notify the cow keeper immediately.")</f>
        <v>A) Notify the cow keeper immediately.</v>
      </c>
      <c r="E24" s="5" t="str">
        <f>IFERROR(__xludf.DUMMYFUNCTION("GOOGLETRANSLATE(K24, ""th"", ""en"")
"),"Notifying the cattle handler reduces the risk of injury.")</f>
        <v>Notifying the cattle handler reduces the risk of injury.</v>
      </c>
      <c r="G24" s="6">
        <v>23.0</v>
      </c>
      <c r="H24" s="7" t="s">
        <v>97</v>
      </c>
      <c r="I24" s="7" t="s">
        <v>98</v>
      </c>
      <c r="J24" s="7" t="s">
        <v>99</v>
      </c>
      <c r="K24" s="7" t="s">
        <v>100</v>
      </c>
    </row>
    <row r="25" ht="14.25" customHeight="1">
      <c r="A25" s="4">
        <v>24.0</v>
      </c>
      <c r="B25" s="5" t="str">
        <f>IFERROR(__xludf.DUMMYFUNCTION("GOOGLETRANSLATE(H25, ""th"", ""en"")
"),"The trainer asks you to change your strategy. What do you do?")</f>
        <v>The trainer asks you to change your strategy. What do you do?</v>
      </c>
      <c r="C25" s="5" t="str">
        <f>IFERROR(__xludf.DUMMYFUNCTION("GOOGLETRANSLATE(I25, ""th"", ""en"")
"),"A) Adjust strategy immediately; B) Refuse; C) Wait for feedback from the team; D) Seek advice from teammates.")</f>
        <v>A) Adjust strategy immediately; B) Refuse; C) Wait for feedback from the team; D) Seek advice from teammates.</v>
      </c>
      <c r="D25" s="5" t="str">
        <f>IFERROR(__xludf.DUMMYFUNCTION("GOOGLETRANSLATE(J25, ""th"", ""en"")
"),"A) Adjust strategies immediately.")</f>
        <v>A) Adjust strategies immediately.</v>
      </c>
      <c r="E25" s="5" t="str">
        <f>IFERROR(__xludf.DUMMYFUNCTION("GOOGLETRANSLATE(K25, ""th"", ""en"")
"),"Strategic adjustments give your team an advantage in battle.")</f>
        <v>Strategic adjustments give your team an advantage in battle.</v>
      </c>
      <c r="G25" s="6">
        <v>24.0</v>
      </c>
      <c r="H25" s="7" t="s">
        <v>101</v>
      </c>
      <c r="I25" s="7" t="s">
        <v>102</v>
      </c>
      <c r="J25" s="7" t="s">
        <v>103</v>
      </c>
      <c r="K25" s="7" t="s">
        <v>104</v>
      </c>
    </row>
    <row r="26" ht="14.25" customHeight="1">
      <c r="A26" s="4">
        <v>25.0</v>
      </c>
      <c r="B26" s="5" t="str">
        <f>IFERROR(__xludf.DUMMYFUNCTION("GOOGLETRANSLATE(H26, ""th"", ""en"")
"),"Your team is unable to follow through on its plans. What do you do?")</f>
        <v>Your team is unable to follow through on its plans. What do you do?</v>
      </c>
      <c r="C26" s="5" t="str">
        <f>IFERROR(__xludf.DUMMYFUNCTION("GOOGLETRANSLATE(I26, ""th"", ""en"")
"),"A) Adjust the plan immediately; B) Stop the fight; C) Let the team decide; D) Change the players.")</f>
        <v>A) Adjust the plan immediately; B) Stop the fight; C) Let the team decide; D) Change the players.</v>
      </c>
      <c r="D26" s="5" t="str">
        <f>IFERROR(__xludf.DUMMYFUNCTION("GOOGLETRANSLATE(J26, ""th"", ""en"")
"),"A) Adjust the plan immediately.")</f>
        <v>A) Adjust the plan immediately.</v>
      </c>
      <c r="E26" s="5" t="str">
        <f>IFERROR(__xludf.DUMMYFUNCTION("GOOGLETRANSLATE(K26, ""th"", ""en"")
"),"Adjusting the plan gives the team a better chance of winning.")</f>
        <v>Adjusting the plan gives the team a better chance of winning.</v>
      </c>
      <c r="G26" s="6">
        <v>25.0</v>
      </c>
      <c r="H26" s="7" t="s">
        <v>105</v>
      </c>
      <c r="I26" s="7" t="s">
        <v>106</v>
      </c>
      <c r="J26" s="7" t="s">
        <v>107</v>
      </c>
      <c r="K26" s="7" t="s">
        <v>108</v>
      </c>
    </row>
    <row r="27" ht="14.25" customHeight="1">
      <c r="A27" s="4">
        <v>26.0</v>
      </c>
      <c r="B27" s="5" t="str">
        <f>IFERROR(__xludf.DUMMYFUNCTION("GOOGLETRANSLATE(H27, ""th"", ""en"")
"),"There was a wrong decision during the fight, what would you do?")</f>
        <v>There was a wrong decision during the fight, what would you do?</v>
      </c>
      <c r="C27" s="5" t="str">
        <f>IFERROR(__xludf.DUMMYFUNCTION("GOOGLETRANSLATE(I27, ""th"", ""en"")
"),"A) Admit your mistake and try to make amends; B) Blame your teammates; C) Stop the fight; D) Change your plans immediately.")</f>
        <v>A) Admit your mistake and try to make amends; B) Blame your teammates; C) Stop the fight; D) Change your plans immediately.</v>
      </c>
      <c r="D27" s="5" t="str">
        <f>IFERROR(__xludf.DUMMYFUNCTION("GOOGLETRANSLATE(J27, ""th"", ""en"")
"),"A) Admit your mistake and try to fix it.")</f>
        <v>A) Admit your mistake and try to fix it.</v>
      </c>
      <c r="E27" s="5" t="str">
        <f>IFERROR(__xludf.DUMMYFUNCTION("GOOGLETRANSLATE(K27, ""th"", ""en"")
"),"Admitting mistakes and correcting situations helps build trust within the team.")</f>
        <v>Admitting mistakes and correcting situations helps build trust within the team.</v>
      </c>
      <c r="G27" s="6">
        <v>26.0</v>
      </c>
      <c r="H27" s="7" t="s">
        <v>109</v>
      </c>
      <c r="I27" s="7" t="s">
        <v>110</v>
      </c>
      <c r="J27" s="7" t="s">
        <v>111</v>
      </c>
      <c r="K27" s="7" t="s">
        <v>112</v>
      </c>
    </row>
    <row r="28" ht="14.25" customHeight="1">
      <c r="A28" s="4">
        <v>27.0</v>
      </c>
      <c r="B28" s="5" t="str">
        <f>IFERROR(__xludf.DUMMYFUNCTION("GOOGLETRANSLATE(H28, ""th"", ""en"")
"),"Your teammates are feeling unsure about the fight, what do you do?")</f>
        <v>Your teammates are feeling unsure about the fight, what do you do?</v>
      </c>
      <c r="C28" s="5" t="str">
        <f>IFERROR(__xludf.DUMMYFUNCTION("GOOGLETRANSLATE(I28, ""th"", ""en"")
"),"A) Help him build his confidence; B) Let him make his own decisions; C) Criticize him loudly; D) Reevaluate the struggle.")</f>
        <v>A) Help him build his confidence; B) Let him make his own decisions; C) Criticize him loudly; D) Reevaluate the struggle.</v>
      </c>
      <c r="D28" s="5" t="str">
        <f>IFERROR(__xludf.DUMMYFUNCTION("GOOGLETRANSLATE(J28, ""th"", ""en"")
"),"A) Help him build his confidence.")</f>
        <v>A) Help him build his confidence.</v>
      </c>
      <c r="E28" s="5" t="str">
        <f>IFERROR(__xludf.DUMMYFUNCTION("GOOGLETRANSLATE(K28, ""th"", ""en"")
"),"Supporting his teammates gives him the strength to fight.")</f>
        <v>Supporting his teammates gives him the strength to fight.</v>
      </c>
      <c r="G28" s="6">
        <v>27.0</v>
      </c>
      <c r="H28" s="7" t="s">
        <v>113</v>
      </c>
      <c r="I28" s="7" t="s">
        <v>114</v>
      </c>
      <c r="J28" s="7" t="s">
        <v>115</v>
      </c>
      <c r="K28" s="7" t="s">
        <v>116</v>
      </c>
    </row>
    <row r="29" ht="14.25" customHeight="1">
      <c r="A29" s="4">
        <v>28.0</v>
      </c>
      <c r="B29" s="5" t="str">
        <f>IFERROR(__xludf.DUMMYFUNCTION("GOOGLETRANSLATE(H29, ""th"", ""en"")
"),"Having trouble controlling the bull during the fight? What should you do?")</f>
        <v>Having trouble controlling the bull during the fight? What should you do?</v>
      </c>
      <c r="C29" s="5" t="str">
        <f>IFERROR(__xludf.DUMMYFUNCTION("GOOGLETRANSLATE(I29, ""th"", ""en"")
"),"A) Adjust the control method; B) Change the bull; C) Stop the fighting; D) Notify the handler.")</f>
        <v>A) Adjust the control method; B) Change the bull; C) Stop the fighting; D) Notify the handler.</v>
      </c>
      <c r="D29" s="5" t="str">
        <f>IFERROR(__xludf.DUMMYFUNCTION("GOOGLETRANSLATE(J29, ""th"", ""en"")
"),"A) Adjust the control method.")</f>
        <v>A) Adjust the control method.</v>
      </c>
      <c r="E29" s="5" t="str">
        <f>IFERROR(__xludf.DUMMYFUNCTION("GOOGLETRANSLATE(K29, ""th"", ""en"")
"),"Adjusting the control method helps the battle flow better.")</f>
        <v>Adjusting the control method helps the battle flow better.</v>
      </c>
      <c r="G29" s="6">
        <v>28.0</v>
      </c>
      <c r="H29" s="7" t="s">
        <v>117</v>
      </c>
      <c r="I29" s="7" t="s">
        <v>118</v>
      </c>
      <c r="J29" s="7" t="s">
        <v>119</v>
      </c>
      <c r="K29" s="7" t="s">
        <v>73</v>
      </c>
    </row>
    <row r="30" ht="14.25" customHeight="1">
      <c r="A30" s="4">
        <v>29.0</v>
      </c>
      <c r="B30" s="5" t="str">
        <f>IFERROR(__xludf.DUMMYFUNCTION("GOOGLETRANSLATE(H30, ""th"", ""en"")
"),"You feel tired during the fight, what do you do?")</f>
        <v>You feel tired during the fight, what do you do?</v>
      </c>
      <c r="C30" s="5" t="str">
        <f>IFERROR(__xludf.DUMMYFUNCTION("GOOGLETRANSLATE(I30, ""th"", ""en"")
"),"A) Request a short break; B) Decide to continue fighting; C) Consult the trainer; D) Stop the fight.")</f>
        <v>A) Request a short break; B) Decide to continue fighting; C) Consult the trainer; D) Stop the fight.</v>
      </c>
      <c r="D30" s="5" t="str">
        <f>IFERROR(__xludf.DUMMYFUNCTION("GOOGLETRANSLATE(J30, ""th"", ""en"")
"),"A) Please take a short break.")</f>
        <v>A) Please take a short break.</v>
      </c>
      <c r="E30" s="5" t="str">
        <f>IFERROR(__xludf.DUMMYFUNCTION("GOOGLETRANSLATE(K30, ""th"", ""en"")
"),"Taking a break allows you to recover and be ready to fight again.")</f>
        <v>Taking a break allows you to recover and be ready to fight again.</v>
      </c>
      <c r="G30" s="6">
        <v>29.0</v>
      </c>
      <c r="H30" s="7" t="s">
        <v>120</v>
      </c>
      <c r="I30" s="7" t="s">
        <v>121</v>
      </c>
      <c r="J30" s="7" t="s">
        <v>122</v>
      </c>
      <c r="K30" s="7" t="s">
        <v>123</v>
      </c>
    </row>
    <row r="31" ht="14.25" customHeight="1">
      <c r="A31" s="4">
        <v>30.0</v>
      </c>
      <c r="B31" s="5" t="str">
        <f>IFERROR(__xludf.DUMMYFUNCTION("GOOGLETRANSLATE(H31, ""th"", ""en"")
"),"You see your teammates are unable to control the cows well, what do you do?")</f>
        <v>You see your teammates are unable to control the cows well, what do you do?</v>
      </c>
      <c r="C31" s="5" t="str">
        <f>IFERROR(__xludf.DUMMYFUNCTION("GOOGLETRANSLATE(I31, ""th"", ""en"")
"),"A) Help him correct his posture; B) Reprimand him loudly; C) Let him do it himself; D) Stop fighting.")</f>
        <v>A) Help him correct his posture; B) Reprimand him loudly; C) Let him do it himself; D) Stop fighting.</v>
      </c>
      <c r="D31" s="5" t="str">
        <f>IFERROR(__xludf.DUMMYFUNCTION("GOOGLETRANSLATE(J31, ""th"", ""en"")
"),"A) Help him correct his posture.")</f>
        <v>A) Help him correct his posture.</v>
      </c>
      <c r="E31" s="5" t="str">
        <f>IFERROR(__xludf.DUMMYFUNCTION("GOOGLETRANSLATE(K31, ""th"", ""en"")
"),"Helping his teammates helped him control the bull better.")</f>
        <v>Helping his teammates helped him control the bull better.</v>
      </c>
      <c r="G31" s="6">
        <v>30.0</v>
      </c>
      <c r="H31" s="7" t="s">
        <v>124</v>
      </c>
      <c r="I31" s="7" t="s">
        <v>125</v>
      </c>
      <c r="J31" s="7" t="s">
        <v>126</v>
      </c>
      <c r="K31" s="7" t="s">
        <v>127</v>
      </c>
    </row>
    <row r="32" ht="14.25" customHeight="1">
      <c r="A32" s="4">
        <v>31.0</v>
      </c>
      <c r="B32" s="5" t="str">
        <f>IFERROR(__xludf.DUMMYFUNCTION("GOOGLETRANSLATE(H32, ""th"", ""en"")
"),"You see your teammates feeling unsure in a fight, what do you do?")</f>
        <v>You see your teammates feeling unsure in a fight, what do you do?</v>
      </c>
      <c r="C32" s="5" t="str">
        <f>IFERROR(__xludf.DUMMYFUNCTION("GOOGLETRANSLATE(I32, ""th"", ""en"")
"),"A) Give him encouragement and confidence; B) Let him make his own decision; C) Criticize him loudly; D) Change the plan.")</f>
        <v>A) Give him encouragement and confidence; B) Let him make his own decision; C) Criticize him loudly; D) Change the plan.</v>
      </c>
      <c r="D32" s="5" t="str">
        <f>IFERROR(__xludf.DUMMYFUNCTION("GOOGLETRANSLATE(J32, ""th"", ""en"")
"),"A) Provide encouragement and boost confidence.")</f>
        <v>A) Provide encouragement and boost confidence.</v>
      </c>
      <c r="E32" s="5" t="str">
        <f>IFERROR(__xludf.DUMMYFUNCTION("GOOGLETRANSLATE(K32, ""th"", ""en"")
"),"Encouragement boosts confidence and encourages teammates.")</f>
        <v>Encouragement boosts confidence and encourages teammates.</v>
      </c>
      <c r="G32" s="6">
        <v>31.0</v>
      </c>
      <c r="H32" s="7" t="s">
        <v>128</v>
      </c>
      <c r="I32" s="7" t="s">
        <v>129</v>
      </c>
      <c r="J32" s="7" t="s">
        <v>130</v>
      </c>
      <c r="K32" s="7" t="s">
        <v>131</v>
      </c>
    </row>
    <row r="33" ht="14.25" customHeight="1">
      <c r="A33" s="4">
        <v>32.0</v>
      </c>
      <c r="B33" s="5" t="str">
        <f>IFERROR(__xludf.DUMMYFUNCTION("GOOGLETRANSLATE(H33, ""th"", ""en"")
"),"The cow keeper suggests a change of strategy. What do you do?")</f>
        <v>The cow keeper suggests a change of strategy. What do you do?</v>
      </c>
      <c r="C33" s="5" t="str">
        <f>IFERROR(__xludf.DUMMYFUNCTION("GOOGLETRANSLATE(I33, ""th"", ""en"")
"),"A) Implement immediately; B) Reject and confirm the original plan; C) Consult with the team first; D) Wait for further instructions.")</f>
        <v>A) Implement immediately; B) Reject and confirm the original plan; C) Consult with the team first; D) Wait for further instructions.</v>
      </c>
      <c r="D33" s="5" t="str">
        <f>IFERROR(__xludf.DUMMYFUNCTION("GOOGLETRANSLATE(J33, ""th"", ""en"")
"),"A) Immediate action")</f>
        <v>A) Immediate action</v>
      </c>
      <c r="E33" s="5" t="str">
        <f>IFERROR(__xludf.DUMMYFUNCTION("GOOGLETRANSLATE(K33, ""th"", ""en"")
"),"Listening to advice increases your chances of winning.")</f>
        <v>Listening to advice increases your chances of winning.</v>
      </c>
      <c r="G33" s="6">
        <v>32.0</v>
      </c>
      <c r="H33" s="7" t="s">
        <v>132</v>
      </c>
      <c r="I33" s="7" t="s">
        <v>133</v>
      </c>
      <c r="J33" s="7" t="s">
        <v>134</v>
      </c>
      <c r="K33" s="7" t="s">
        <v>135</v>
      </c>
    </row>
    <row r="34" ht="14.25" customHeight="1">
      <c r="A34" s="4">
        <v>33.0</v>
      </c>
      <c r="B34" s="5" t="str">
        <f>IFERROR(__xludf.DUMMYFUNCTION("GOOGLETRANSLATE(H34, ""th"", ""en"")
"),"You see that the cow is starting to show aggressive behavior, what do you do?")</f>
        <v>You see that the cow is starting to show aggressive behavior, what do you do?</v>
      </c>
      <c r="C34" s="5" t="str">
        <f>IFERROR(__xludf.DUMMYFUNCTION("GOOGLETRANSLATE(I34, ""th"", ""en"")
"),"A) Stop fighting immediately; B) Try to control the bull with stability; C) Notify the bull handler; D) Observe and wait.")</f>
        <v>A) Stop fighting immediately; B) Try to control the bull with stability; C) Notify the bull handler; D) Observe and wait.</v>
      </c>
      <c r="D34" s="5" t="str">
        <f>IFERROR(__xludf.DUMMYFUNCTION("GOOGLETRANSLATE(J34, ""th"", ""en"")
"),"B) Try to control the cow with stability.")</f>
        <v>B) Try to control the cow with stability.</v>
      </c>
      <c r="E34" s="5" t="str">
        <f>IFERROR(__xludf.DUMMYFUNCTION("GOOGLETRANSLATE(K34, ""th"", ""en"")
"),"Steady control of the bull reduces the risk of injury.")</f>
        <v>Steady control of the bull reduces the risk of injury.</v>
      </c>
      <c r="G34" s="6">
        <v>33.0</v>
      </c>
      <c r="H34" s="7" t="s">
        <v>136</v>
      </c>
      <c r="I34" s="7" t="s">
        <v>137</v>
      </c>
      <c r="J34" s="7" t="s">
        <v>138</v>
      </c>
      <c r="K34" s="7" t="s">
        <v>139</v>
      </c>
    </row>
    <row r="35" ht="14.25" customHeight="1">
      <c r="A35" s="4">
        <v>34.0</v>
      </c>
      <c r="B35" s="5" t="str">
        <f>IFERROR(__xludf.DUMMYFUNCTION("GOOGLETRANSLATE(H35, ""th"", ""en"")
"),"During the fight, you see that the bull is starting to get tired. What do you do?")</f>
        <v>During the fight, you see that the bull is starting to get tired. What do you do?</v>
      </c>
      <c r="C35" s="5" t="str">
        <f>IFERROR(__xludf.DUMMYFUNCTION("GOOGLETRANSLATE(I35, ""th"", ""en"")
"),"A) Notify the handler; B) Stop the fight; C) Adjust the fighting position; D) Let the cow rest.")</f>
        <v>A) Notify the handler; B) Stop the fight; C) Adjust the fighting position; D) Let the cow rest.</v>
      </c>
      <c r="D35" s="5" t="str">
        <f>IFERROR(__xludf.DUMMYFUNCTION("GOOGLETRANSLATE(J35, ""th"", ""en"")
"),"A) Notify the administrator.")</f>
        <v>A) Notify the administrator.</v>
      </c>
      <c r="E35" s="5" t="str">
        <f>IFERROR(__xludf.DUMMYFUNCTION("GOOGLETRANSLATE(K35, ""th"", ""en"")
"),"Notifying the caretaker will help ensure the cows are properly cared for.")</f>
        <v>Notifying the caretaker will help ensure the cows are properly cared for.</v>
      </c>
      <c r="G35" s="6">
        <v>34.0</v>
      </c>
      <c r="H35" s="7" t="s">
        <v>140</v>
      </c>
      <c r="I35" s="7" t="s">
        <v>141</v>
      </c>
      <c r="J35" s="7" t="s">
        <v>142</v>
      </c>
      <c r="K35" s="7" t="s">
        <v>143</v>
      </c>
    </row>
    <row r="36" ht="14.25" customHeight="1">
      <c r="A36" s="4">
        <v>35.0</v>
      </c>
      <c r="B36" s="5" t="str">
        <f>IFERROR(__xludf.DUMMYFUNCTION("GOOGLETRANSLATE(H36, ""th"", ""en"")
"),"You find that your teammate makes a wrong decision during a fight, what do you do?")</f>
        <v>You find that your teammate makes a wrong decision during a fight, what do you do?</v>
      </c>
      <c r="C36" s="5" t="str">
        <f>IFERROR(__xludf.DUMMYFUNCTION("GOOGLETRANSLATE(I36, ""th"", ""en"")
"),"A) Help him find a solution; B) Blame him loudly; C) Stop the fight; D) Let him make a new decision.")</f>
        <v>A) Help him find a solution; B) Blame him loudly; C) Stop the fight; D) Let him make a new decision.</v>
      </c>
      <c r="D36" s="5" t="str">
        <f>IFERROR(__xludf.DUMMYFUNCTION("GOOGLETRANSLATE(J36, ""th"", ""en"")
"),"A) Help him find a solution.")</f>
        <v>A) Help him find a solution.</v>
      </c>
      <c r="E36" s="5" t="str">
        <f>IFERROR(__xludf.DUMMYFUNCTION("GOOGLETRANSLATE(K36, ""th"", ""en"")
"),"Providing support and finding solutions helps to increase team unity.")</f>
        <v>Providing support and finding solutions helps to increase team unity.</v>
      </c>
      <c r="G36" s="6">
        <v>35.0</v>
      </c>
      <c r="H36" s="7" t="s">
        <v>144</v>
      </c>
      <c r="I36" s="7" t="s">
        <v>145</v>
      </c>
      <c r="J36" s="7" t="s">
        <v>146</v>
      </c>
      <c r="K36" s="7" t="s">
        <v>147</v>
      </c>
    </row>
    <row r="37" ht="14.25" customHeight="1">
      <c r="A37" s="4">
        <v>36.0</v>
      </c>
      <c r="B37" s="5" t="str">
        <f>IFERROR(__xludf.DUMMYFUNCTION("GOOGLETRANSLATE(H37, ""th"", ""en"")
"),"You feel like you are not ready for the fight, what do you do?")</f>
        <v>You feel like you are not ready for the fight, what do you do?</v>
      </c>
      <c r="C37" s="5" t="str">
        <f>IFERROR(__xludf.DUMMYFUNCTION("GOOGLETRANSLATE(I37, ""th"", ""en"")
"),"A) Ask the team for help; B) Refuse to fight; C) Consult the coach; D) Continue fighting even if you feel unprepared.")</f>
        <v>A) Ask the team for help; B) Refuse to fight; C) Consult the coach; D) Continue fighting even if you feel unprepared.</v>
      </c>
      <c r="D37" s="5" t="str">
        <f>IFERROR(__xludf.DUMMYFUNCTION("GOOGLETRANSLATE(J37, ""th"", ""en"")
"),"C) Consult the trainer.")</f>
        <v>C) Consult the trainer.</v>
      </c>
      <c r="E37" s="5" t="str">
        <f>IFERROR(__xludf.DUMMYFUNCTION("GOOGLETRANSLATE(K37, ""th"", ""en"")
"),"Asking for advice from a trainer can help you feel more confident.")</f>
        <v>Asking for advice from a trainer can help you feel more confident.</v>
      </c>
      <c r="G37" s="6">
        <v>36.0</v>
      </c>
      <c r="H37" s="7" t="s">
        <v>148</v>
      </c>
      <c r="I37" s="7" t="s">
        <v>149</v>
      </c>
      <c r="J37" s="7" t="s">
        <v>52</v>
      </c>
      <c r="K37" s="7" t="s">
        <v>150</v>
      </c>
    </row>
    <row r="38" ht="14.25" customHeight="1">
      <c r="A38" s="4">
        <v>37.0</v>
      </c>
      <c r="B38" s="5" t="str">
        <f>IFERROR(__xludf.DUMMYFUNCTION("GOOGLETRANSLATE(H38, ""th"", ""en"")
"),"The fight has been going on for a long time and you are feeling tired. What should you do?")</f>
        <v>The fight has been going on for a long time and you are feeling tired. What should you do?</v>
      </c>
      <c r="C38" s="5" t="str">
        <f>IFERROR(__xludf.DUMMYFUNCTION("GOOGLETRANSLATE(I38, ""th"", ""en"")
"),"A) Request a break; B) Continue fighting; C) Consult the trainer; D) Request a change of opponent.")</f>
        <v>A) Request a break; B) Continue fighting; C) Consult the trainer; D) Request a change of opponent.</v>
      </c>
      <c r="D38" s="5" t="str">
        <f>IFERROR(__xludf.DUMMYFUNCTION("GOOGLETRANSLATE(J38, ""th"", ""en"")
"),"A) Request a break")</f>
        <v>A) Request a break</v>
      </c>
      <c r="E38" s="5" t="str">
        <f>IFERROR(__xludf.DUMMYFUNCTION("GOOGLETRANSLATE(K38, ""th"", ""en"")
"),"Taking a break helps you recover and be ready to fight again.")</f>
        <v>Taking a break helps you recover and be ready to fight again.</v>
      </c>
      <c r="G38" s="6">
        <v>37.0</v>
      </c>
      <c r="H38" s="7" t="s">
        <v>151</v>
      </c>
      <c r="I38" s="7" t="s">
        <v>152</v>
      </c>
      <c r="J38" s="7" t="s">
        <v>153</v>
      </c>
      <c r="K38" s="7" t="s">
        <v>154</v>
      </c>
    </row>
    <row r="39" ht="14.25" customHeight="1">
      <c r="A39" s="4">
        <v>38.0</v>
      </c>
      <c r="B39" s="5" t="str">
        <f>IFERROR(__xludf.DUMMYFUNCTION("GOOGLETRANSLATE(H39, ""th"", ""en"")
"),"You find yourself having problems managing your cattle, what should you do?")</f>
        <v>You find yourself having problems managing your cattle, what should you do?</v>
      </c>
      <c r="C39" s="5" t="str">
        <f>IFERROR(__xludf.DUMMYFUNCTION("GOOGLETRANSLATE(I39, ""th"", ""en"")
"),"A) Notify the handler; B) Let it go; C) Stop fighting; D) Change the cow.")</f>
        <v>A) Notify the handler; B) Let it go; C) Stop fighting; D) Change the cow.</v>
      </c>
      <c r="D39" s="5" t="str">
        <f>IFERROR(__xludf.DUMMYFUNCTION("GOOGLETRANSLATE(J39, ""th"", ""en"")
"),"A) Notify the administrator.")</f>
        <v>A) Notify the administrator.</v>
      </c>
      <c r="E39" s="5" t="str">
        <f>IFERROR(__xludf.DUMMYFUNCTION("GOOGLETRANSLATE(K39, ""th"", ""en"")
"),"Notifying the caretaker helps in proper management of the cattle.")</f>
        <v>Notifying the caretaker helps in proper management of the cattle.</v>
      </c>
      <c r="G39" s="6">
        <v>38.0</v>
      </c>
      <c r="H39" s="7" t="s">
        <v>155</v>
      </c>
      <c r="I39" s="7" t="s">
        <v>156</v>
      </c>
      <c r="J39" s="7" t="s">
        <v>142</v>
      </c>
      <c r="K39" s="7" t="s">
        <v>157</v>
      </c>
    </row>
    <row r="40" ht="14.25" customHeight="1">
      <c r="A40" s="4">
        <v>39.0</v>
      </c>
      <c r="B40" s="5" t="str">
        <f>IFERROR(__xludf.DUMMYFUNCTION("GOOGLETRANSLATE(H40, ""th"", ""en"")
"),"The battle is getting more intense. What will you do?")</f>
        <v>The battle is getting more intense. What will you do?</v>
      </c>
      <c r="C40" s="5" t="str">
        <f>IFERROR(__xludf.DUMMYFUNCTION("GOOGLETRANSLATE(I40, ""th"", ""en"")
"),"A) Increase effort; B) Slow down; C) Adjust fighting stance; D) Stop fighting.")</f>
        <v>A) Increase effort; B) Slow down; C) Adjust fighting stance; D) Stop fighting.</v>
      </c>
      <c r="D40" s="5" t="str">
        <f>IFERROR(__xludf.DUMMYFUNCTION("GOOGLETRANSLATE(J40, ""th"", ""en"")
"),"A) Increase effort")</f>
        <v>A) Increase effort</v>
      </c>
      <c r="E40" s="5" t="str">
        <f>IFERROR(__xludf.DUMMYFUNCTION("GOOGLETRANSLATE(K40, ""th"", ""en"")
"),"Increasing your efforts will give your team an advantage in battle.")</f>
        <v>Increasing your efforts will give your team an advantage in battle.</v>
      </c>
      <c r="G40" s="6">
        <v>39.0</v>
      </c>
      <c r="H40" s="7" t="s">
        <v>158</v>
      </c>
      <c r="I40" s="7" t="s">
        <v>159</v>
      </c>
      <c r="J40" s="7" t="s">
        <v>68</v>
      </c>
      <c r="K40" s="7" t="s">
        <v>160</v>
      </c>
    </row>
    <row r="41" ht="14.25" customHeight="1">
      <c r="A41" s="4">
        <v>40.0</v>
      </c>
      <c r="B41" s="5" t="str">
        <f>IFERROR(__xludf.DUMMYFUNCTION("GOOGLETRANSLATE(H41, ""th"", ""en"")
"),"You see your teammates getting confused about the plan, what do you do?")</f>
        <v>You see your teammates getting confused about the plan, what do you do?</v>
      </c>
      <c r="C41" s="5" t="str">
        <f>IFERROR(__xludf.DUMMYFUNCTION("GOOGLETRANSLATE(I41, ""th"", ""en"")
"),"A) Explain the new plan clearly; B) Let him make his own decision; C) Reject his plan; D) Change the plan immediately.")</f>
        <v>A) Explain the new plan clearly; B) Let him make his own decision; C) Reject his plan; D) Change the plan immediately.</v>
      </c>
      <c r="D41" s="5" t="str">
        <f>IFERROR(__xludf.DUMMYFUNCTION("GOOGLETRANSLATE(J41, ""th"", ""en"")
"),"A) Explain the new plan clearly.")</f>
        <v>A) Explain the new plan clearly.</v>
      </c>
      <c r="E41" s="5" t="str">
        <f>IFERROR(__xludf.DUMMYFUNCTION("GOOGLETRANSLATE(K41, ""th"", ""en"")
"),"Explaining the new plan helps the team stay on the same page.")</f>
        <v>Explaining the new plan helps the team stay on the same page.</v>
      </c>
      <c r="G41" s="6">
        <v>40.0</v>
      </c>
      <c r="H41" s="7" t="s">
        <v>161</v>
      </c>
      <c r="I41" s="7" t="s">
        <v>162</v>
      </c>
      <c r="J41" s="7" t="s">
        <v>163</v>
      </c>
      <c r="K41" s="7" t="s">
        <v>164</v>
      </c>
    </row>
    <row r="42" ht="14.25" customHeight="1">
      <c r="A42" s="4">
        <v>41.0</v>
      </c>
      <c r="B42" s="5" t="str">
        <f>IFERROR(__xludf.DUMMYFUNCTION("GOOGLETRANSLATE(H42, ""th"", ""en"")
"),"The trainer asks you to lead the battle plan. What will you do?")</f>
        <v>The trainer asks you to lead the battle plan. What will you do?</v>
      </c>
      <c r="C42" s="5" t="str">
        <f>IFERROR(__xludf.DUMMYFUNCTION("GOOGLETRANSLATE(I42, ""th"", ""en"")
"),"A) Take the lead and plan; B) Refuse; C) Wait for feedback from the team; D) Consult the coach.")</f>
        <v>A) Take the lead and plan; B) Refuse; C) Wait for feedback from the team; D) Consult the coach.</v>
      </c>
      <c r="D42" s="5" t="str">
        <f>IFERROR(__xludf.DUMMYFUNCTION("GOOGLETRANSLATE(J42, ""th"", ""en"")
"),"A) Take on the role of leader and planner.")</f>
        <v>A) Take on the role of leader and planner.</v>
      </c>
      <c r="E42" s="5" t="str">
        <f>IFERROR(__xludf.DUMMYFUNCTION("GOOGLETRANSLATE(K42, ""th"", ""en"")
"),"Being a good leader helps in decision making and increases confidence in the team.")</f>
        <v>Being a good leader helps in decision making and increases confidence in the team.</v>
      </c>
      <c r="G42" s="6">
        <v>41.0</v>
      </c>
      <c r="H42" s="7" t="s">
        <v>165</v>
      </c>
      <c r="I42" s="7" t="s">
        <v>166</v>
      </c>
      <c r="J42" s="7" t="s">
        <v>167</v>
      </c>
      <c r="K42" s="7" t="s">
        <v>65</v>
      </c>
    </row>
    <row r="43" ht="14.25" customHeight="1">
      <c r="A43" s="4">
        <v>42.0</v>
      </c>
      <c r="B43" s="5" t="str">
        <f>IFERROR(__xludf.DUMMYFUNCTION("GOOGLETRANSLATE(H43, ""th"", ""en"")
"),"You see that your teammates are not ready for battle, what do you do?")</f>
        <v>You see that your teammates are not ready for battle, what do you do?</v>
      </c>
      <c r="C43" s="5" t="str">
        <f>IFERROR(__xludf.DUMMYFUNCTION("GOOGLETRANSLATE(I43, ""th"", ""en"")
"),"A) Help him practice; B) Criticize him loudly; C) Let him make his own decisions; D) Evaluate his skills.")</f>
        <v>A) Help him practice; B) Criticize him loudly; C) Let him make his own decisions; D) Evaluate his skills.</v>
      </c>
      <c r="D43" s="5" t="str">
        <f>IFERROR(__xludf.DUMMYFUNCTION("GOOGLETRANSLATE(J43, ""th"", ""en"")
"),"A) Help him practice.")</f>
        <v>A) Help him practice.</v>
      </c>
      <c r="E43" s="5" t="str">
        <f>IFERROR(__xludf.DUMMYFUNCTION("GOOGLETRANSLATE(K43, ""th"", ""en"")
"),"Helping to improve skills training helps to make the team stronger.")</f>
        <v>Helping to improve skills training helps to make the team stronger.</v>
      </c>
      <c r="G43" s="6">
        <v>42.0</v>
      </c>
      <c r="H43" s="7" t="s">
        <v>46</v>
      </c>
      <c r="I43" s="7" t="s">
        <v>47</v>
      </c>
      <c r="J43" s="7" t="s">
        <v>48</v>
      </c>
      <c r="K43" s="7" t="s">
        <v>49</v>
      </c>
    </row>
    <row r="44" ht="14.25" customHeight="1">
      <c r="A44" s="4">
        <v>43.0</v>
      </c>
      <c r="B44" s="5" t="str">
        <f>IFERROR(__xludf.DUMMYFUNCTION("GOOGLETRANSLATE(H44, ""th"", ""en"")
"),"Your team is having coordination problems. What should you do?")</f>
        <v>Your team is having coordination problems. What should you do?</v>
      </c>
      <c r="C44" s="5" t="str">
        <f>IFERROR(__xludf.DUMMYFUNCTION("GOOGLETRANSLATE(I44, ""th"", ""en"")
"),"A) Practice more; B) Stop fighting; C) Change strategy immediately; D) Let the team decide.")</f>
        <v>A) Practice more; B) Stop fighting; C) Change strategy immediately; D) Let the team decide.</v>
      </c>
      <c r="D44" s="5" t="str">
        <f>IFERROR(__xludf.DUMMYFUNCTION("GOOGLETRANSLATE(J44, ""th"", ""en"")
"),"A) Additional practice")</f>
        <v>A) Additional practice</v>
      </c>
      <c r="E44" s="5" t="str">
        <f>IFERROR(__xludf.DUMMYFUNCTION("GOOGLETRANSLATE(K44, ""th"", ""en"")
"),"Training will help improve team coordination.")</f>
        <v>Training will help improve team coordination.</v>
      </c>
      <c r="G44" s="6">
        <v>43.0</v>
      </c>
      <c r="H44" s="7" t="s">
        <v>93</v>
      </c>
      <c r="I44" s="7" t="s">
        <v>94</v>
      </c>
      <c r="J44" s="7" t="s">
        <v>95</v>
      </c>
      <c r="K44" s="7" t="s">
        <v>96</v>
      </c>
    </row>
    <row r="45" ht="14.25" customHeight="1">
      <c r="A45" s="4">
        <v>44.0</v>
      </c>
      <c r="B45" s="5" t="str">
        <f>IFERROR(__xludf.DUMMYFUNCTION("GOOGLETRANSLATE(H45, ""th"", ""en"")
"),"The cow handler asks you to adjust your cow control method. What do you do?")</f>
        <v>The cow handler asks you to adjust your cow control method. What do you do?</v>
      </c>
      <c r="C45" s="5" t="str">
        <f>IFERROR(__xludf.DUMMYFUNCTION("GOOGLETRANSLATE(I45, ""th"", ""en"")
"),"A) Adjust the method immediately; B) Refuse; C) Consult the trainer; D) Try to control with the same method.")</f>
        <v>A) Adjust the method immediately; B) Refuse; C) Consult the trainer; D) Try to control with the same method.</v>
      </c>
      <c r="D45" s="5" t="str">
        <f>IFERROR(__xludf.DUMMYFUNCTION("GOOGLETRANSLATE(J45, ""th"", ""en"")
"),"A) Immediately adjust the method.")</f>
        <v>A) Immediately adjust the method.</v>
      </c>
      <c r="E45" s="5" t="str">
        <f>IFERROR(__xludf.DUMMYFUNCTION("GOOGLETRANSLATE(K45, ""th"", ""en"")
"),"Adjusting the control method makes the battles more enjoyable.")</f>
        <v>Adjusting the control method makes the battles more enjoyable.</v>
      </c>
      <c r="G45" s="6">
        <v>44.0</v>
      </c>
      <c r="H45" s="7" t="s">
        <v>168</v>
      </c>
      <c r="I45" s="7" t="s">
        <v>169</v>
      </c>
      <c r="J45" s="7" t="s">
        <v>170</v>
      </c>
      <c r="K45" s="7" t="s">
        <v>171</v>
      </c>
    </row>
    <row r="46" ht="14.25" customHeight="1">
      <c r="A46" s="4">
        <v>45.0</v>
      </c>
      <c r="B46" s="5" t="str">
        <f>IFERROR(__xludf.DUMMYFUNCTION("GOOGLETRANSLATE(H46, ""th"", ""en"")
"),"You feel pressured by the fight, what do you do?")</f>
        <v>You feel pressured by the fight, what do you do?</v>
      </c>
      <c r="C46" s="5" t="str">
        <f>IFERROR(__xludf.DUMMYFUNCTION("GOOGLETRANSLATE(I46, ""th"", ""en"")
"),"A) Relax and focus; B) Stop fighting; C) Blame yourself; D) Ask for help.")</f>
        <v>A) Relax and focus; B) Stop fighting; C) Blame yourself; D) Ask for help.</v>
      </c>
      <c r="D46" s="5" t="str">
        <f>IFERROR(__xludf.DUMMYFUNCTION("GOOGLETRANSLATE(J46, ""th"", ""en"")
"),"A) Relax and focus.")</f>
        <v>A) Relax and focus.</v>
      </c>
      <c r="E46" s="5" t="str">
        <f>IFERROR(__xludf.DUMMYFUNCTION("GOOGLETRANSLATE(K46, ""th"", ""en"")
"),"Maintaining peace allows the fight to proceed effectively.")</f>
        <v>Maintaining peace allows the fight to proceed effectively.</v>
      </c>
      <c r="G46" s="6">
        <v>45.0</v>
      </c>
      <c r="H46" s="7" t="s">
        <v>172</v>
      </c>
      <c r="I46" s="7" t="s">
        <v>173</v>
      </c>
      <c r="J46" s="7" t="s">
        <v>174</v>
      </c>
      <c r="K46" s="7" t="s">
        <v>175</v>
      </c>
    </row>
    <row r="47" ht="14.25" customHeight="1">
      <c r="A47" s="4">
        <v>46.0</v>
      </c>
      <c r="B47" s="5" t="str">
        <f>IFERROR(__xludf.DUMMYFUNCTION("GOOGLETRANSLATE(H47, ""th"", ""en"")
"),"You see that cow control is starting to get bad, what do you do?")</f>
        <v>You see that cow control is starting to get bad, what do you do?</v>
      </c>
      <c r="C47" s="5" t="str">
        <f>IFERROR(__xludf.DUMMYFUNCTION("GOOGLETRANSLATE(I47, ""th"", ""en"")
"),"A) Adjust the control method; B) Notify the cow handler; C) Stop the fighting; D) Change the cow.")</f>
        <v>A) Adjust the control method; B) Notify the cow handler; C) Stop the fighting; D) Change the cow.</v>
      </c>
      <c r="D47" s="5" t="str">
        <f>IFERROR(__xludf.DUMMYFUNCTION("GOOGLETRANSLATE(J47, ""th"", ""en"")
"),"A) Adjust the control method.")</f>
        <v>A) Adjust the control method.</v>
      </c>
      <c r="E47" s="5" t="str">
        <f>IFERROR(__xludf.DUMMYFUNCTION("GOOGLETRANSLATE(K47, ""th"", ""en"")
"),"Adjusting the control method helps the battle flow better.")</f>
        <v>Adjusting the control method helps the battle flow better.</v>
      </c>
      <c r="G47" s="6">
        <v>46.0</v>
      </c>
      <c r="H47" s="7" t="s">
        <v>176</v>
      </c>
      <c r="I47" s="7" t="s">
        <v>177</v>
      </c>
      <c r="J47" s="7" t="s">
        <v>119</v>
      </c>
      <c r="K47" s="7" t="s">
        <v>73</v>
      </c>
    </row>
    <row r="48" ht="14.25" customHeight="1">
      <c r="A48" s="4">
        <v>47.0</v>
      </c>
      <c r="B48" s="5" t="str">
        <f>IFERROR(__xludf.DUMMYFUNCTION("GOOGLETRANSLATE(H48, ""th"", ""en"")
"),"Your teammate is injured during a fight, what do you do?")</f>
        <v>Your teammate is injured during a fight, what do you do?</v>
      </c>
      <c r="C48" s="5" t="str">
        <f>IFERROR(__xludf.DUMMYFUNCTION("GOOGLETRANSLATE(I48, ""th"", ""en"")
"),"A) Help him immediately; B) Notify the coach; C) Ignore him and continue playing; D) Stop the fight.")</f>
        <v>A) Help him immediately; B) Notify the coach; C) Ignore him and continue playing; D) Stop the fight.</v>
      </c>
      <c r="D48" s="5" t="str">
        <f>IFERROR(__xludf.DUMMYFUNCTION("GOOGLETRANSLATE(J48, ""th"", ""en"")
"),"A) Help him immediately.")</f>
        <v>A) Help him immediately.</v>
      </c>
      <c r="E48" s="5" t="str">
        <f>IFERROR(__xludf.DUMMYFUNCTION("GOOGLETRANSLATE(K48, ""th"", ""en"")
"),"Immediately helping his teammates helped him recover faster.")</f>
        <v>Immediately helping his teammates helped him recover faster.</v>
      </c>
      <c r="G48" s="6">
        <v>47.0</v>
      </c>
      <c r="H48" s="7" t="s">
        <v>30</v>
      </c>
      <c r="I48" s="7" t="s">
        <v>31</v>
      </c>
      <c r="J48" s="7" t="s">
        <v>32</v>
      </c>
      <c r="K48" s="7" t="s">
        <v>33</v>
      </c>
    </row>
    <row r="49" ht="14.25" customHeight="1">
      <c r="A49" s="4">
        <v>48.0</v>
      </c>
      <c r="B49" s="5" t="str">
        <f>IFERROR(__xludf.DUMMYFUNCTION("GOOGLETRANSLATE(H49, ""th"", ""en"")
"),"You see that your trainer is still not satisfied with your fight, what do you do?")</f>
        <v>You see that your trainer is still not satisfied with your fight, what do you do?</v>
      </c>
      <c r="C49" s="5" t="str">
        <f>IFERROR(__xludf.DUMMYFUNCTION("GOOGLETRANSLATE(I49, ""th"", ""en"")
"),"A) accept advice and improve; B) reject advice; C) stop fighting; D) change strategy immediately.")</f>
        <v>A) accept advice and improve; B) reject advice; C) stop fighting; D) change strategy immediately.</v>
      </c>
      <c r="D49" s="5" t="str">
        <f>IFERROR(__xludf.DUMMYFUNCTION("GOOGLETRANSLATE(J49, ""th"", ""en"")
"),"A) Receive advice and improve.")</f>
        <v>A) Receive advice and improve.</v>
      </c>
      <c r="E49" s="5" t="str">
        <f>IFERROR(__xludf.DUMMYFUNCTION("GOOGLETRANSLATE(K49, ""th"", ""en"")
"),"Getting advice helps you develop your skills and strategies.")</f>
        <v>Getting advice helps you develop your skills and strategies.</v>
      </c>
      <c r="G49" s="6">
        <v>48.0</v>
      </c>
      <c r="H49" s="7" t="s">
        <v>178</v>
      </c>
      <c r="I49" s="7" t="s">
        <v>179</v>
      </c>
      <c r="J49" s="7" t="s">
        <v>180</v>
      </c>
      <c r="K49" s="7" t="s">
        <v>181</v>
      </c>
    </row>
    <row r="50" ht="14.25" customHeight="1">
      <c r="A50" s="4">
        <v>49.0</v>
      </c>
      <c r="B50" s="5" t="str">
        <f>IFERROR(__xludf.DUMMYFUNCTION("GOOGLETRANSLATE(H50, ""th"", ""en"")
"),"The battle is getting tougher and your team can't keep up with the plan. What do you do?")</f>
        <v>The battle is getting tougher and your team can't keep up with the plan. What do you do?</v>
      </c>
      <c r="C50" s="5" t="str">
        <f>IFERROR(__xludf.DUMMYFUNCTION("GOOGLETRANSLATE(I50, ""th"", ""en"")
"),"A) Adjust the plan immediately; B) Stop the fight; C) Let the team decide for themselves; D) Change the opponent.")</f>
        <v>A) Adjust the plan immediately; B) Stop the fight; C) Let the team decide for themselves; D) Change the opponent.</v>
      </c>
      <c r="D50" s="5" t="str">
        <f>IFERROR(__xludf.DUMMYFUNCTION("GOOGLETRANSLATE(J50, ""th"", ""en"")
"),"A) Adjust the plan immediately.")</f>
        <v>A) Adjust the plan immediately.</v>
      </c>
      <c r="E50" s="5" t="str">
        <f>IFERROR(__xludf.DUMMYFUNCTION("GOOGLETRANSLATE(K50, ""th"", ""en"")
"),"The adjustments allowed the team to bounce back.")</f>
        <v>The adjustments allowed the team to bounce back.</v>
      </c>
      <c r="G50" s="6">
        <v>49.0</v>
      </c>
      <c r="H50" s="7" t="s">
        <v>182</v>
      </c>
      <c r="I50" s="7" t="s">
        <v>183</v>
      </c>
      <c r="J50" s="7" t="s">
        <v>107</v>
      </c>
      <c r="K50" s="7" t="s">
        <v>184</v>
      </c>
    </row>
    <row r="51" ht="14.25" customHeight="1">
      <c r="A51" s="4">
        <v>50.0</v>
      </c>
      <c r="B51" s="5" t="str">
        <f>IFERROR(__xludf.DUMMYFUNCTION("GOOGLETRANSLATE(H51, ""th"", ""en"")
"),"You feel unsure about controlling your cow, what should you do?")</f>
        <v>You feel unsure about controlling your cow, what should you do?</v>
      </c>
      <c r="C51" s="5" t="str">
        <f>IFERROR(__xludf.DUMMYFUNCTION("GOOGLETRANSLATE(I51, ""th"", ""en"")
"),"A) Ask for help from the trainer; B) Adjust your control method yourself; C) Stop fighting; D) Let the bull do its thing.")</f>
        <v>A) Ask for help from the trainer; B) Adjust your control method yourself; C) Stop fighting; D) Let the bull do its thing.</v>
      </c>
      <c r="D51" s="5" t="str">
        <f>IFERROR(__xludf.DUMMYFUNCTION("GOOGLETRANSLATE(J51, ""th"", ""en"")
"),"A) Ask for help from the trainer.")</f>
        <v>A) Ask for help from the trainer.</v>
      </c>
      <c r="E51" s="5" t="str">
        <f>IFERROR(__xludf.DUMMYFUNCTION("GOOGLETRANSLATE(K51, ""th"", ""en"")
"),"Seeking advice from a trainer can help increase confidence in your control.")</f>
        <v>Seeking advice from a trainer can help increase confidence in your control.</v>
      </c>
      <c r="G51" s="6">
        <v>50.0</v>
      </c>
      <c r="H51" s="7" t="s">
        <v>185</v>
      </c>
      <c r="I51" s="7" t="s">
        <v>186</v>
      </c>
      <c r="J51" s="7" t="s">
        <v>187</v>
      </c>
      <c r="K51" s="7" t="s">
        <v>188</v>
      </c>
    </row>
    <row r="52" ht="14.25" customHeight="1">
      <c r="A52" s="4">
        <v>51.0</v>
      </c>
      <c r="B52" s="5" t="str">
        <f>IFERROR(__xludf.DUMMYFUNCTION("GOOGLETRANSLATE(H52, ""th"", ""en"")
"),"You see that your teammates need support during a fight, what do you do?")</f>
        <v>You see that your teammates need support during a fight, what do you do?</v>
      </c>
      <c r="C52" s="5" t="str">
        <f>IFERROR(__xludf.DUMMYFUNCTION("GOOGLETRANSLATE(I52, ""th"", ""en"")
"),"A) Intervene and encourage him; B) Let him do it himself; C) Stop the fighting; D) Reprimand him loudly.")</f>
        <v>A) Intervene and encourage him; B) Let him do it himself; C) Stop the fighting; D) Reprimand him loudly.</v>
      </c>
      <c r="D52" s="5" t="str">
        <f>IFERROR(__xludf.DUMMYFUNCTION("GOOGLETRANSLATE(J52, ""th"", ""en"")
"),"A) Go in and help and give encouragement.")</f>
        <v>A) Go in and help and give encouragement.</v>
      </c>
      <c r="E52" s="5" t="str">
        <f>IFERROR(__xludf.DUMMYFUNCTION("GOOGLETRANSLATE(K52, ""th"", ""en"")
"),"Encouragement gives teammates the strength to keep fighting.")</f>
        <v>Encouragement gives teammates the strength to keep fighting.</v>
      </c>
      <c r="G52" s="6">
        <v>51.0</v>
      </c>
      <c r="H52" s="7" t="s">
        <v>189</v>
      </c>
      <c r="I52" s="7" t="s">
        <v>190</v>
      </c>
      <c r="J52" s="7" t="s">
        <v>191</v>
      </c>
      <c r="K52" s="7" t="s">
        <v>192</v>
      </c>
    </row>
    <row r="53" ht="14.25" customHeight="1">
      <c r="A53" s="4">
        <v>52.0</v>
      </c>
      <c r="B53" s="5" t="str">
        <f>IFERROR(__xludf.DUMMYFUNCTION("GOOGLETRANSLATE(H53, ""th"", ""en"")
"),"Your team changes plans mid-battle. What do you do?")</f>
        <v>Your team changes plans mid-battle. What do you do?</v>
      </c>
      <c r="C53" s="5" t="str">
        <f>IFERROR(__xludf.DUMMYFUNCTION("GOOGLETRANSLATE(I53, ""th"", ""en"")
"),"A) adapt to the new plan; B) reject the new plan; C) stop fighting; D) evaluate the new plan.")</f>
        <v>A) adapt to the new plan; B) reject the new plan; C) stop fighting; D) evaluate the new plan.</v>
      </c>
      <c r="D53" s="5" t="str">
        <f>IFERROR(__xludf.DUMMYFUNCTION("GOOGLETRANSLATE(J53, ""th"", ""en"")
"),"A) Adapt to the new plan.")</f>
        <v>A) Adapt to the new plan.</v>
      </c>
      <c r="E53" s="5" t="str">
        <f>IFERROR(__xludf.DUMMYFUNCTION("GOOGLETRANSLATE(K53, ""th"", ""en"")
"),"Adapting to the new plan will help the team perform better.")</f>
        <v>Adapting to the new plan will help the team perform better.</v>
      </c>
      <c r="G53" s="6">
        <v>52.0</v>
      </c>
      <c r="H53" s="7" t="s">
        <v>193</v>
      </c>
      <c r="I53" s="7" t="s">
        <v>194</v>
      </c>
      <c r="J53" s="7" t="s">
        <v>195</v>
      </c>
      <c r="K53" s="7" t="s">
        <v>196</v>
      </c>
    </row>
    <row r="54" ht="14.25" customHeight="1">
      <c r="A54" s="4">
        <v>53.0</v>
      </c>
      <c r="B54" s="5" t="str">
        <f>IFERROR(__xludf.DUMMYFUNCTION("GOOGLETRANSLATE(H54, ""th"", ""en"")
"),"You see that the bull is starting to show signs of discomfort during the fight, what do you do?")</f>
        <v>You see that the bull is starting to show signs of discomfort during the fight, what do you do?</v>
      </c>
      <c r="C54" s="5" t="str">
        <f>IFERROR(__xludf.DUMMYFUNCTION("GOOGLETRANSLATE(I54, ""th"", ""en"")
"),"A) Notify the handler immediately; B) Stop fighting; C) Adjust control; D) Let the cow rest.")</f>
        <v>A) Notify the handler immediately; B) Stop fighting; C) Adjust control; D) Let the cow rest.</v>
      </c>
      <c r="D54" s="5" t="str">
        <f>IFERROR(__xludf.DUMMYFUNCTION("GOOGLETRANSLATE(J54, ""th"", ""en"")
"),"A) Notify the supervisor immediately.")</f>
        <v>A) Notify the supervisor immediately.</v>
      </c>
      <c r="E54" s="5" t="str">
        <f>IFERROR(__xludf.DUMMYFUNCTION("GOOGLETRANSLATE(K54, ""th"", ""en"")
"),"Notifying the caretaker helps ensure that the cows receive timely care.")</f>
        <v>Notifying the caretaker helps ensure that the cows receive timely care.</v>
      </c>
      <c r="G54" s="6">
        <v>53.0</v>
      </c>
      <c r="H54" s="7" t="s">
        <v>197</v>
      </c>
      <c r="I54" s="7" t="s">
        <v>198</v>
      </c>
      <c r="J54" s="7" t="s">
        <v>199</v>
      </c>
      <c r="K54" s="7" t="s">
        <v>200</v>
      </c>
    </row>
    <row r="55" ht="14.25" customHeight="1">
      <c r="A55" s="4">
        <v>54.0</v>
      </c>
      <c r="B55" s="5" t="str">
        <f>IFERROR(__xludf.DUMMYFUNCTION("GOOGLETRANSLATE(H55, ""th"", ""en"")
"),"You feel tired and need to rest. What should you do?")</f>
        <v>You feel tired and need to rest. What should you do?</v>
      </c>
      <c r="C55" s="5" t="str">
        <f>IFERROR(__xludf.DUMMYFUNCTION("GOOGLETRANSLATE(I55, ""th"", ""en"")
"),"A) Ask the team to switch times; B) Refuse and continue fighting; C) Stop fighting; D) Ask the coach for advice.")</f>
        <v>A) Ask the team to switch times; B) Refuse and continue fighting; C) Stop fighting; D) Ask the coach for advice.</v>
      </c>
      <c r="D55" s="5" t="str">
        <f>IFERROR(__xludf.DUMMYFUNCTION("GOOGLETRANSLATE(J55, ""th"", ""en"")
"),"A) Ask the team to help switch times.")</f>
        <v>A) Ask the team to help switch times.</v>
      </c>
      <c r="E55" s="5" t="str">
        <f>IFERROR(__xludf.DUMMYFUNCTION("GOOGLETRANSLATE(K55, ""th"", ""en"")
"),"Sharing time with your team will help you recover faster.")</f>
        <v>Sharing time with your team will help you recover faster.</v>
      </c>
      <c r="G55" s="6">
        <v>54.0</v>
      </c>
      <c r="H55" s="7" t="s">
        <v>201</v>
      </c>
      <c r="I55" s="7" t="s">
        <v>202</v>
      </c>
      <c r="J55" s="7" t="s">
        <v>203</v>
      </c>
      <c r="K55" s="7" t="s">
        <v>204</v>
      </c>
    </row>
    <row r="56" ht="14.25" customHeight="1">
      <c r="A56" s="4">
        <v>55.0</v>
      </c>
      <c r="B56" s="5" t="str">
        <f>IFERROR(__xludf.DUMMYFUNCTION("GOOGLETRANSLATE(H56, ""th"", ""en"")
"),"You see that the fight is becoming too risky, what do you do?")</f>
        <v>You see that the fight is becoming too risky, what do you do?</v>
      </c>
      <c r="C56" s="5" t="str">
        <f>IFERROR(__xludf.DUMMYFUNCTION("GOOGLETRANSLATE(I56, ""th"", ""en"")
"),"A) Stop fighting immediately; B) Notify the supervisor; C) Adjust strategy; D) Reassess the situation.")</f>
        <v>A) Stop fighting immediately; B) Notify the supervisor; C) Adjust strategy; D) Reassess the situation.</v>
      </c>
      <c r="D56" s="5" t="str">
        <f>IFERROR(__xludf.DUMMYFUNCTION("GOOGLETRANSLATE(J56, ""th"", ""en"")
"),"A) Stop the fight immediately.")</f>
        <v>A) Stop the fight immediately.</v>
      </c>
      <c r="E56" s="5" t="str">
        <f>IFERROR(__xludf.DUMMYFUNCTION("GOOGLETRANSLATE(K56, ""th"", ""en"")
"),"Stopping the fight helps prevent injuries.")</f>
        <v>Stopping the fight helps prevent injuries.</v>
      </c>
      <c r="G56" s="6">
        <v>55.0</v>
      </c>
      <c r="H56" s="7" t="s">
        <v>205</v>
      </c>
      <c r="I56" s="7" t="s">
        <v>206</v>
      </c>
      <c r="J56" s="7" t="s">
        <v>207</v>
      </c>
      <c r="K56" s="7" t="s">
        <v>208</v>
      </c>
    </row>
    <row r="57" ht="14.25" customHeight="1">
      <c r="A57" s="4">
        <v>56.0</v>
      </c>
      <c r="B57" s="5" t="str">
        <f>IFERROR(__xludf.DUMMYFUNCTION("GOOGLETRANSLATE(H57, ""th"", ""en"")
"),"The fight is dragging on and you are running out of energy. What do you do?")</f>
        <v>The fight is dragging on and you are running out of energy. What do you do?</v>
      </c>
      <c r="C57" s="5" t="str">
        <f>IFERROR(__xludf.DUMMYFUNCTION("GOOGLETRANSLATE(I57, ""th"", ""en"")
"),"A) Ask the team to switch times; B) Stop the fight; C) Request a short break; D) Adjust the fight.")</f>
        <v>A) Ask the team to switch times; B) Stop the fight; C) Request a short break; D) Adjust the fight.</v>
      </c>
      <c r="D57" s="5" t="str">
        <f>IFERROR(__xludf.DUMMYFUNCTION("GOOGLETRANSLATE(J57, ""th"", ""en"")
"),"A) Ask the team to help switch times.")</f>
        <v>A) Ask the team to help switch times.</v>
      </c>
      <c r="E57" s="5" t="str">
        <f>IFERROR(__xludf.DUMMYFUNCTION("GOOGLETRANSLATE(K57, ""th"", ""en"")
"),"Sharing time with your team will help you recover.")</f>
        <v>Sharing time with your team will help you recover.</v>
      </c>
      <c r="G57" s="6">
        <v>56.0</v>
      </c>
      <c r="H57" s="7" t="s">
        <v>209</v>
      </c>
      <c r="I57" s="7" t="s">
        <v>210</v>
      </c>
      <c r="J57" s="7" t="s">
        <v>203</v>
      </c>
      <c r="K57" s="7" t="s">
        <v>211</v>
      </c>
    </row>
    <row r="58" ht="14.25" customHeight="1">
      <c r="A58" s="4">
        <v>57.0</v>
      </c>
      <c r="B58" s="5" t="str">
        <f>IFERROR(__xludf.DUMMYFUNCTION("GOOGLETRANSLATE(H58, ""th"", ""en"")
"),"You see that the team's cows are starting to disrupt the plan, what do you do?")</f>
        <v>You see that the team's cows are starting to disrupt the plan, what do you do?</v>
      </c>
      <c r="C58" s="5" t="str">
        <f>IFERROR(__xludf.DUMMYFUNCTION("GOOGLETRANSLATE(I58, ""th"", ""en"")
"),"A) Adjust strategy immediately; B) Let it go; C) Stop fighting; D) Notify the moderator.")</f>
        <v>A) Adjust strategy immediately; B) Let it go; C) Stop fighting; D) Notify the moderator.</v>
      </c>
      <c r="D58" s="5" t="str">
        <f>IFERROR(__xludf.DUMMYFUNCTION("GOOGLETRANSLATE(J58, ""th"", ""en"")
"),"A) Adjust strategies immediately.")</f>
        <v>A) Adjust strategies immediately.</v>
      </c>
      <c r="E58" s="5" t="str">
        <f>IFERROR(__xludf.DUMMYFUNCTION("GOOGLETRANSLATE(K58, ""th"", ""en"")
"),"Strategic adjustments helped the team come back.")</f>
        <v>Strategic adjustments helped the team come back.</v>
      </c>
      <c r="G58" s="6">
        <v>57.0</v>
      </c>
      <c r="H58" s="7" t="s">
        <v>212</v>
      </c>
      <c r="I58" s="7" t="s">
        <v>213</v>
      </c>
      <c r="J58" s="7" t="s">
        <v>103</v>
      </c>
      <c r="K58" s="7" t="s">
        <v>214</v>
      </c>
    </row>
    <row r="59" ht="14.25" customHeight="1">
      <c r="A59" s="4">
        <v>58.0</v>
      </c>
      <c r="B59" s="5" t="str">
        <f>IFERROR(__xludf.DUMMYFUNCTION("GOOGLETRANSLATE(H59, ""th"", ""en"")
"),"The fight is getting tense and you feel pressured. What do you do?")</f>
        <v>The fight is getting tense and you feel pressured. What do you do?</v>
      </c>
      <c r="C59" s="5" t="str">
        <f>IFERROR(__xludf.DUMMYFUNCTION("GOOGLETRANSLATE(I59, ""th"", ""en"")
"),"A) Relax and concentrate; B) Ask your trainer for advice; C) Stop fighting; D) Adjust your strategy.")</f>
        <v>A) Relax and concentrate; B) Ask your trainer for advice; C) Stop fighting; D) Adjust your strategy.</v>
      </c>
      <c r="D59" s="5" t="str">
        <f>IFERROR(__xludf.DUMMYFUNCTION("GOOGLETRANSLATE(J59, ""th"", ""en"")
"),"A) Relax and focus.")</f>
        <v>A) Relax and focus.</v>
      </c>
      <c r="E59" s="5" t="str">
        <f>IFERROR(__xludf.DUMMYFUNCTION("GOOGLETRANSLATE(K59, ""th"", ""en"")
"),"Maintaining peace helps the fight to proceed better.")</f>
        <v>Maintaining peace helps the fight to proceed better.</v>
      </c>
      <c r="G59" s="6">
        <v>58.0</v>
      </c>
      <c r="H59" s="7" t="s">
        <v>215</v>
      </c>
      <c r="I59" s="7" t="s">
        <v>216</v>
      </c>
      <c r="J59" s="7" t="s">
        <v>174</v>
      </c>
      <c r="K59" s="7" t="s">
        <v>217</v>
      </c>
    </row>
    <row r="60" ht="14.25" customHeight="1">
      <c r="A60" s="4">
        <v>59.0</v>
      </c>
      <c r="B60" s="5" t="str">
        <f>IFERROR(__xludf.DUMMYFUNCTION("GOOGLETRANSLATE(H60, ""th"", ""en"")
"),"Your team is feeling tired. What should you do?")</f>
        <v>Your team is feeling tired. What should you do?</v>
      </c>
      <c r="C60" s="5" t="str">
        <f>IFERROR(__xludf.DUMMYFUNCTION("GOOGLETRANSLATE(I60, ""th"", ""en"")
"),"A) Take a short break and come back to fight; B) Stop fighting; C) Adjust your strategy; D) Wait for the right time.")</f>
        <v>A) Take a short break and come back to fight; B) Stop fighting; C) Adjust your strategy; D) Wait for the right time.</v>
      </c>
      <c r="D60" s="5" t="str">
        <f>IFERROR(__xludf.DUMMYFUNCTION("GOOGLETRANSLATE(J60, ""th"", ""en"")
"),"A) Take a short break and come back to fight again.")</f>
        <v>A) Take a short break and come back to fight again.</v>
      </c>
      <c r="E60" s="5" t="str">
        <f>IFERROR(__xludf.DUMMYFUNCTION("GOOGLETRANSLATE(K60, ""th"", ""en"")
"),"Rest allows the team to recover and be ready to fight again.")</f>
        <v>Rest allows the team to recover and be ready to fight again.</v>
      </c>
      <c r="G60" s="6">
        <v>59.0</v>
      </c>
      <c r="H60" s="7" t="s">
        <v>218</v>
      </c>
      <c r="I60" s="7" t="s">
        <v>219</v>
      </c>
      <c r="J60" s="7" t="s">
        <v>220</v>
      </c>
      <c r="K60" s="7" t="s">
        <v>221</v>
      </c>
    </row>
    <row r="61" ht="14.25" customHeight="1">
      <c r="A61" s="4">
        <v>60.0</v>
      </c>
      <c r="B61" s="5" t="str">
        <f>IFERROR(__xludf.DUMMYFUNCTION("GOOGLETRANSLATE(H61, ""th"", ""en"")
"),"You see that your teammate is making a mistake, what do you do?")</f>
        <v>You see that your teammate is making a mistake, what do you do?</v>
      </c>
      <c r="C61" s="5" t="str">
        <f>IFERROR(__xludf.DUMMYFUNCTION("GOOGLETRANSLATE(I61, ""th"", ""en"")
"),"A) Help him find a solution; B) Blame him loudly; C) Let him do it himself; D) Stop fighting.")</f>
        <v>A) Help him find a solution; B) Blame him loudly; C) Let him do it himself; D) Stop fighting.</v>
      </c>
      <c r="D61" s="5" t="str">
        <f>IFERROR(__xludf.DUMMYFUNCTION("GOOGLETRANSLATE(J61, ""th"", ""en"")
"),"A) Help him find a solution.")</f>
        <v>A) Help him find a solution.</v>
      </c>
      <c r="E61" s="5" t="str">
        <f>IFERROR(__xludf.DUMMYFUNCTION("GOOGLETRANSLATE(K61, ""th"", ""en"")
"),"Helping your teammates improves the situation.")</f>
        <v>Helping your teammates improves the situation.</v>
      </c>
      <c r="G61" s="6">
        <v>60.0</v>
      </c>
      <c r="H61" s="7" t="s">
        <v>222</v>
      </c>
      <c r="I61" s="7" t="s">
        <v>223</v>
      </c>
      <c r="J61" s="7" t="s">
        <v>146</v>
      </c>
      <c r="K61" s="7" t="s">
        <v>224</v>
      </c>
    </row>
    <row r="62" ht="14.25" customHeight="1">
      <c r="A62" s="4">
        <v>61.0</v>
      </c>
      <c r="B62" s="5" t="str">
        <f>IFERROR(__xludf.DUMMYFUNCTION("GOOGLETRANSLATE(H62, ""th"", ""en"")
"),"The battle is getting tough and your team is losing confidence. What do you do?")</f>
        <v>The battle is getting tough and your team is losing confidence. What do you do?</v>
      </c>
      <c r="C62" s="5" t="str">
        <f>IFERROR(__xludf.DUMMYFUNCTION("GOOGLETRANSLATE(I62, ""th"", ""en"")
"),"A) Motivate the team and build confidence; B) Stop fighting; C) Change strategy immediately; D) Let the team make a decision.")</f>
        <v>A) Motivate the team and build confidence; B) Stop fighting; C) Change strategy immediately; D) Let the team make a decision.</v>
      </c>
      <c r="D62" s="5" t="str">
        <f>IFERROR(__xludf.DUMMYFUNCTION("GOOGLETRANSLATE(J62, ""th"", ""en"")
"),"A) Motivate the team and build confidence.")</f>
        <v>A) Motivate the team and build confidence.</v>
      </c>
      <c r="E62" s="5" t="str">
        <f>IFERROR(__xludf.DUMMYFUNCTION("GOOGLETRANSLATE(K62, ""th"", ""en"")
"),"Boosting confidence gives the team the strength to keep fighting.")</f>
        <v>Boosting confidence gives the team the strength to keep fighting.</v>
      </c>
      <c r="G62" s="6">
        <v>61.0</v>
      </c>
      <c r="H62" s="7" t="s">
        <v>225</v>
      </c>
      <c r="I62" s="7" t="s">
        <v>226</v>
      </c>
      <c r="J62" s="7" t="s">
        <v>227</v>
      </c>
      <c r="K62" s="7" t="s">
        <v>228</v>
      </c>
    </row>
    <row r="63" ht="14.25" customHeight="1">
      <c r="A63" s="4">
        <v>62.0</v>
      </c>
      <c r="B63" s="5" t="str">
        <f>IFERROR(__xludf.DUMMYFUNCTION("GOOGLETRANSLATE(H63, ""th"", ""en"")
"),"You see your teammate is in a difficult situation, what do you do?")</f>
        <v>You see your teammate is in a difficult situation, what do you do?</v>
      </c>
      <c r="C63" s="5" t="str">
        <f>IFERROR(__xludf.DUMMYFUNCTION("GOOGLETRANSLATE(I63, ""th"", ""en"")
"),"A) Help him find a way out; B) Let him do it himself; C) Consult the trainer; D) Reprimand him loudly.")</f>
        <v>A) Help him find a way out; B) Let him do it himself; C) Consult the trainer; D) Reprimand him loudly.</v>
      </c>
      <c r="D63" s="5" t="str">
        <f>IFERROR(__xludf.DUMMYFUNCTION("GOOGLETRANSLATE(J63, ""th"", ""en"")
"),"A) Help him find a way out.")</f>
        <v>A) Help him find a way out.</v>
      </c>
      <c r="E63" s="5" t="str">
        <f>IFERROR(__xludf.DUMMYFUNCTION("GOOGLETRANSLATE(K63, ""th"", ""en"")
"),"Helping teammates in difficult situations builds unity.")</f>
        <v>Helping teammates in difficult situations builds unity.</v>
      </c>
      <c r="G63" s="6">
        <v>62.0</v>
      </c>
      <c r="H63" s="7" t="s">
        <v>229</v>
      </c>
      <c r="I63" s="7" t="s">
        <v>230</v>
      </c>
      <c r="J63" s="7" t="s">
        <v>231</v>
      </c>
      <c r="K63" s="7" t="s">
        <v>232</v>
      </c>
    </row>
    <row r="64" ht="14.25" customHeight="1">
      <c r="A64" s="4">
        <v>63.0</v>
      </c>
      <c r="B64" s="5" t="str">
        <f>IFERROR(__xludf.DUMMYFUNCTION("GOOGLETRANSLATE(H64, ""th"", ""en"")
"),"The battle is heating up. What will you do?")</f>
        <v>The battle is heating up. What will you do?</v>
      </c>
      <c r="C64" s="5" t="str">
        <f>IFERROR(__xludf.DUMMYFUNCTION("GOOGLETRANSLATE(I64, ""th"", ""en"")
"),"A) Increase effort and focus; B) Adjust fighting stance; C) Stop fighting; D) Ask your trainer for advice.")</f>
        <v>A) Increase effort and focus; B) Adjust fighting stance; C) Stop fighting; D) Ask your trainer for advice.</v>
      </c>
      <c r="D64" s="5" t="str">
        <f>IFERROR(__xludf.DUMMYFUNCTION("GOOGLETRANSLATE(J64, ""th"", ""en"")
"),"A) Increase effort and focus.")</f>
        <v>A) Increase effort and focus.</v>
      </c>
      <c r="E64" s="5" t="str">
        <f>IFERROR(__xludf.DUMMYFUNCTION("GOOGLETRANSLATE(K64, ""th"", ""en"")
"),"Increasing your efforts will help you be prepared to deal with any situation.")</f>
        <v>Increasing your efforts will help you be prepared to deal with any situation.</v>
      </c>
      <c r="G64" s="6">
        <v>63.0</v>
      </c>
      <c r="H64" s="7" t="s">
        <v>233</v>
      </c>
      <c r="I64" s="7" t="s">
        <v>234</v>
      </c>
      <c r="J64" s="7" t="s">
        <v>235</v>
      </c>
      <c r="K64" s="7" t="s">
        <v>236</v>
      </c>
    </row>
    <row r="65" ht="14.25" customHeight="1">
      <c r="A65" s="4">
        <v>64.0</v>
      </c>
      <c r="B65" s="5" t="str">
        <f>IFERROR(__xludf.DUMMYFUNCTION("GOOGLETRANSLATE(H65, ""th"", ""en"")
"),"You feel that your cow control is getting worse, what should you do?")</f>
        <v>You feel that your cow control is getting worse, what should you do?</v>
      </c>
      <c r="C65" s="5" t="str">
        <f>IFERROR(__xludf.DUMMYFUNCTION("GOOGLETRANSLATE(I65, ""th"", ""en"")
"),"A) Adjust posture and control methods; B) Stop fighting; C) Consult the cow handler; D) Let the cow do what it pleases.")</f>
        <v>A) Adjust posture and control methods; B) Stop fighting; C) Consult the cow handler; D) Let the cow do what it pleases.</v>
      </c>
      <c r="D65" s="5" t="str">
        <f>IFERROR(__xludf.DUMMYFUNCTION("GOOGLETRANSLATE(J65, ""th"", ""en"")
"),"A) Adjust posture and control methods.")</f>
        <v>A) Adjust posture and control methods.</v>
      </c>
      <c r="E65" s="5" t="str">
        <f>IFERROR(__xludf.DUMMYFUNCTION("GOOGLETRANSLATE(K65, ""th"", ""en"")
"),"Adjusting posture and control methods helps make combat smoother.")</f>
        <v>Adjusting posture and control methods helps make combat smoother.</v>
      </c>
      <c r="G65" s="6">
        <v>64.0</v>
      </c>
      <c r="H65" s="7" t="s">
        <v>237</v>
      </c>
      <c r="I65" s="7" t="s">
        <v>238</v>
      </c>
      <c r="J65" s="7" t="s">
        <v>239</v>
      </c>
      <c r="K65" s="7" t="s">
        <v>240</v>
      </c>
    </row>
    <row r="66" ht="14.25" customHeight="1">
      <c r="A66" s="4">
        <v>65.0</v>
      </c>
      <c r="B66" s="5" t="str">
        <f>IFERROR(__xludf.DUMMYFUNCTION("GOOGLETRANSLATE(H66, ""th"", ""en"")
"),"You see that your teammates are not ready for battle, what do you do?")</f>
        <v>You see that your teammates are not ready for battle, what do you do?</v>
      </c>
      <c r="C66" s="5" t="str">
        <f>IFERROR(__xludf.DUMMYFUNCTION("GOOGLETRANSLATE(I66, ""th"", ""en"")
"),"A) Help him practice more; B) Let him do it himself; C) Reprimand him loudly; D) Stop the fight.")</f>
        <v>A) Help him practice more; B) Let him do it himself; C) Reprimand him loudly; D) Stop the fight.</v>
      </c>
      <c r="D66" s="5" t="str">
        <f>IFERROR(__xludf.DUMMYFUNCTION("GOOGLETRANSLATE(J66, ""th"", ""en"")
"),"A) Help him practice more.")</f>
        <v>A) Help him practice more.</v>
      </c>
      <c r="E66" s="5" t="str">
        <f>IFERROR(__xludf.DUMMYFUNCTION("GOOGLETRANSLATE(K66, ""th"", ""en"")
"),"Training helps the team improve their skills.")</f>
        <v>Training helps the team improve their skills.</v>
      </c>
      <c r="G66" s="6">
        <v>65.0</v>
      </c>
      <c r="H66" s="7" t="s">
        <v>241</v>
      </c>
      <c r="I66" s="7" t="s">
        <v>242</v>
      </c>
      <c r="J66" s="7" t="s">
        <v>243</v>
      </c>
      <c r="K66" s="7" t="s">
        <v>244</v>
      </c>
    </row>
    <row r="67" ht="14.25" customHeight="1">
      <c r="A67" s="4">
        <v>66.0</v>
      </c>
      <c r="B67" s="5" t="str">
        <f>IFERROR(__xludf.DUMMYFUNCTION("GOOGLETRANSLATE(H67, ""th"", ""en"")
"),"The trainer tells you to fight a stronger bull. What do you do?")</f>
        <v>The trainer tells you to fight a stronger bull. What do you do?</v>
      </c>
      <c r="C67" s="5" t="str">
        <f>IFERROR(__xludf.DUMMYFUNCTION("GOOGLETRANSLATE(I67, ""th"", ""en"")
"),"A) Immediately follow through; B) Reject and confirm the original plan; C) Ask the trainer for further advice; D) Fight with a new bull.")</f>
        <v>A) Immediately follow through; B) Reject and confirm the original plan; C) Ask the trainer for further advice; D) Fight with a new bull.</v>
      </c>
      <c r="D67" s="5" t="str">
        <f>IFERROR(__xludf.DUMMYFUNCTION("GOOGLETRANSLATE(J67, ""th"", ""en"")
"),"A) Immediate action")</f>
        <v>A) Immediate action</v>
      </c>
      <c r="E67" s="5" t="str">
        <f>IFERROR(__xludf.DUMMYFUNCTION("GOOGLETRANSLATE(K67, ""th"", ""en"")
"),"Following these guidelines helps teams prepare for new challenges.")</f>
        <v>Following these guidelines helps teams prepare for new challenges.</v>
      </c>
      <c r="G67" s="6">
        <v>66.0</v>
      </c>
      <c r="H67" s="7" t="s">
        <v>245</v>
      </c>
      <c r="I67" s="7" t="s">
        <v>246</v>
      </c>
      <c r="J67" s="7" t="s">
        <v>134</v>
      </c>
      <c r="K67" s="7" t="s">
        <v>247</v>
      </c>
    </row>
    <row r="68" ht="14.25" customHeight="1">
      <c r="A68" s="4">
        <v>67.0</v>
      </c>
      <c r="B68" s="5" t="str">
        <f>IFERROR(__xludf.DUMMYFUNCTION("GOOGLETRANSLATE(H68, ""th"", ""en"")
"),"You find that there are problems with coordination in the team. What should you do?")</f>
        <v>You find that there are problems with coordination in the team. What should you do?</v>
      </c>
      <c r="C68" s="5" t="str">
        <f>IFERROR(__xludf.DUMMYFUNCTION("GOOGLETRANSLATE(I68, ""th"", ""en"")
"),"A) Hold a team meeting and find a solution; B) Let the team do its thing; C) Stop the fight; D) Blame the team.")</f>
        <v>A) Hold a team meeting and find a solution; B) Let the team do its thing; C) Stop the fight; D) Blame the team.</v>
      </c>
      <c r="D68" s="5" t="str">
        <f>IFERROR(__xludf.DUMMYFUNCTION("GOOGLETRANSLATE(J68, ""th"", ""en"")
"),"A) Hold a team meeting and find solutions.")</f>
        <v>A) Hold a team meeting and find solutions.</v>
      </c>
      <c r="E68" s="5" t="str">
        <f>IFERROR(__xludf.DUMMYFUNCTION("GOOGLETRANSLATE(K68, ""th"", ""en"")
"),"Improving coordination will make the team work better.")</f>
        <v>Improving coordination will make the team work better.</v>
      </c>
      <c r="G68" s="6">
        <v>67.0</v>
      </c>
      <c r="H68" s="7" t="s">
        <v>248</v>
      </c>
      <c r="I68" s="7" t="s">
        <v>249</v>
      </c>
      <c r="J68" s="7" t="s">
        <v>250</v>
      </c>
      <c r="K68" s="7" t="s">
        <v>251</v>
      </c>
    </row>
    <row r="69" ht="14.25" customHeight="1">
      <c r="A69" s="4">
        <v>68.0</v>
      </c>
      <c r="B69" s="5" t="str">
        <f>IFERROR(__xludf.DUMMYFUNCTION("GOOGLETRANSLATE(H69, ""th"", ""en"")
"),"The fight is getting longer and you're getting tired. What do you do?")</f>
        <v>The fight is getting longer and you're getting tired. What do you do?</v>
      </c>
      <c r="C69" s="5" t="str">
        <f>IFERROR(__xludf.DUMMYFUNCTION("GOOGLETRANSLATE(I69, ""th"", ""en"")
"),"A) Take a break and switch teams; B) Continue fighting; C) Stop fighting; D) Ask the coach for advice.")</f>
        <v>A) Take a break and switch teams; B) Continue fighting; C) Stop fighting; D) Ask the coach for advice.</v>
      </c>
      <c r="D69" s="5" t="str">
        <f>IFERROR(__xludf.DUMMYFUNCTION("GOOGLETRANSLATE(J69, ""th"", ""en"")
"),"A) Request a break and switch teams.")</f>
        <v>A) Request a break and switch teams.</v>
      </c>
      <c r="E69" s="5" t="str">
        <f>IFERROR(__xludf.DUMMYFUNCTION("GOOGLETRANSLATE(K69, ""th"", ""en"")
"),"Switching teams gives you a long-term fighting edge.")</f>
        <v>Switching teams gives you a long-term fighting edge.</v>
      </c>
      <c r="G69" s="6">
        <v>68.0</v>
      </c>
      <c r="H69" s="7" t="s">
        <v>252</v>
      </c>
      <c r="I69" s="7" t="s">
        <v>253</v>
      </c>
      <c r="J69" s="7" t="s">
        <v>254</v>
      </c>
      <c r="K69" s="7" t="s">
        <v>255</v>
      </c>
    </row>
    <row r="70" ht="14.25" customHeight="1">
      <c r="A70" s="4">
        <v>69.0</v>
      </c>
      <c r="B70" s="5" t="str">
        <f>IFERROR(__xludf.DUMMYFUNCTION("GOOGLETRANSLATE(H70, ""th"", ""en"")
"),"You see your teammates starting to make mistakes in battle, what do you do?")</f>
        <v>You see your teammates starting to make mistakes in battle, what do you do?</v>
      </c>
      <c r="C70" s="5" t="str">
        <f>IFERROR(__xludf.DUMMYFUNCTION("GOOGLETRANSLATE(I70, ""th"", ""en"")
"),"A) Help him find a solution; B) Blame him loudly; C) Let him do it himself; D) Change the plan.")</f>
        <v>A) Help him find a solution; B) Blame him loudly; C) Let him do it himself; D) Change the plan.</v>
      </c>
      <c r="D70" s="5" t="str">
        <f>IFERROR(__xludf.DUMMYFUNCTION("GOOGLETRANSLATE(J70, ""th"", ""en"")
"),"A) Help him find a solution.")</f>
        <v>A) Help him find a solution.</v>
      </c>
      <c r="E70" s="5" t="str">
        <f>IFERROR(__xludf.DUMMYFUNCTION("GOOGLETRANSLATE(K70, ""th"", ""en"")
"),"Helping teammates builds team unity.")</f>
        <v>Helping teammates builds team unity.</v>
      </c>
      <c r="G70" s="6">
        <v>69.0</v>
      </c>
      <c r="H70" s="7" t="s">
        <v>256</v>
      </c>
      <c r="I70" s="7" t="s">
        <v>257</v>
      </c>
      <c r="J70" s="7" t="s">
        <v>146</v>
      </c>
      <c r="K70" s="7" t="s">
        <v>258</v>
      </c>
    </row>
    <row r="71" ht="14.25" customHeight="1">
      <c r="A71" s="4">
        <v>70.0</v>
      </c>
      <c r="B71" s="5" t="str">
        <f>IFERROR(__xludf.DUMMYFUNCTION("GOOGLETRANSLATE(H71, ""th"", ""en"")
"),"During the fight, your bull starts making mistakes, what will you do?")</f>
        <v>During the fight, your bull starts making mistakes, what will you do?</v>
      </c>
      <c r="C71" s="5" t="str">
        <f>IFERROR(__xludf.DUMMYFUNCTION("GOOGLETRANSLATE(I71, ""th"", ""en"")
"),"A) Adjust control strategy; B) Stop fighting; C) Notify the cow handler; D) Let the cow rest.")</f>
        <v>A) Adjust control strategy; B) Stop fighting; C) Notify the cow handler; D) Let the cow rest.</v>
      </c>
      <c r="D71" s="5" t="str">
        <f>IFERROR(__xludf.DUMMYFUNCTION("GOOGLETRANSLATE(J71, ""th"", ""en"")
"),"A) Adjust control strategies")</f>
        <v>A) Adjust control strategies</v>
      </c>
      <c r="E71" s="5" t="str">
        <f>IFERROR(__xludf.DUMMYFUNCTION("GOOGLETRANSLATE(K71, ""th"", ""en"")
"),"Strategic adjustments help cows perform better.")</f>
        <v>Strategic adjustments help cows perform better.</v>
      </c>
      <c r="G71" s="6">
        <v>70.0</v>
      </c>
      <c r="H71" s="7" t="s">
        <v>259</v>
      </c>
      <c r="I71" s="7" t="s">
        <v>260</v>
      </c>
      <c r="J71" s="7" t="s">
        <v>261</v>
      </c>
      <c r="K71" s="7" t="s">
        <v>262</v>
      </c>
    </row>
    <row r="72" ht="14.25" customHeight="1">
      <c r="A72" s="4">
        <v>71.0</v>
      </c>
      <c r="B72" s="5" t="str">
        <f>IFERROR(__xludf.DUMMYFUNCTION("GOOGLETRANSLATE(H72, ""th"", ""en"")
"),"You feel pressured by the fight, what do you do?")</f>
        <v>You feel pressured by the fight, what do you do?</v>
      </c>
      <c r="C72" s="5" t="str">
        <f>IFERROR(__xludf.DUMMYFUNCTION("GOOGLETRANSLATE(I72, ""th"", ""en"")
"),"A) Relax and concentrate; B) Stop fighting; C) Ask your trainer for advice; D) Change your strategy.")</f>
        <v>A) Relax and concentrate; B) Stop fighting; C) Ask your trainer for advice; D) Change your strategy.</v>
      </c>
      <c r="D72" s="5" t="str">
        <f>IFERROR(__xludf.DUMMYFUNCTION("GOOGLETRANSLATE(J72, ""th"", ""en"")
"),"A) Relax and focus.")</f>
        <v>A) Relax and focus.</v>
      </c>
      <c r="E72" s="5" t="str">
        <f>IFERROR(__xludf.DUMMYFUNCTION("GOOGLETRANSLATE(K72, ""th"", ""en"")
"),"Concentration helps you cope better with pressure.")</f>
        <v>Concentration helps you cope better with pressure.</v>
      </c>
      <c r="G72" s="6">
        <v>71.0</v>
      </c>
      <c r="H72" s="7" t="s">
        <v>172</v>
      </c>
      <c r="I72" s="7" t="s">
        <v>263</v>
      </c>
      <c r="J72" s="7" t="s">
        <v>174</v>
      </c>
      <c r="K72" s="7" t="s">
        <v>264</v>
      </c>
    </row>
    <row r="73" ht="14.25" customHeight="1">
      <c r="A73" s="4">
        <v>72.0</v>
      </c>
      <c r="B73" s="5" t="str">
        <f>IFERROR(__xludf.DUMMYFUNCTION("GOOGLETRANSLATE(H73, ""th"", ""en"")
"),"You see that your teammates are getting tired, what do you do?")</f>
        <v>You see that your teammates are getting tired, what do you do?</v>
      </c>
      <c r="C73" s="5" t="str">
        <f>IFERROR(__xludf.DUMMYFUNCTION("GOOGLETRANSLATE(I73, ""th"", ""en"")
"),"A) Help him relax and encourage him; B) Let him do it himself; C) Stop fighting; D) Change tactics immediately.")</f>
        <v>A) Help him relax and encourage him; B) Let him do it himself; C) Stop fighting; D) Change tactics immediately.</v>
      </c>
      <c r="D73" s="5" t="str">
        <f>IFERROR(__xludf.DUMMYFUNCTION("GOOGLETRANSLATE(J73, ""th"", ""en"")
"),"A) Help him relax and be encouraging.")</f>
        <v>A) Help him relax and be encouraging.</v>
      </c>
      <c r="E73" s="5" t="str">
        <f>IFERROR(__xludf.DUMMYFUNCTION("GOOGLETRANSLATE(K73, ""th"", ""en"")
"),"Encouragement helps teammates recover.")</f>
        <v>Encouragement helps teammates recover.</v>
      </c>
      <c r="G73" s="6">
        <v>72.0</v>
      </c>
      <c r="H73" s="7" t="s">
        <v>265</v>
      </c>
      <c r="I73" s="7" t="s">
        <v>266</v>
      </c>
      <c r="J73" s="7" t="s">
        <v>267</v>
      </c>
      <c r="K73" s="7" t="s">
        <v>268</v>
      </c>
    </row>
    <row r="74" ht="14.25" customHeight="1">
      <c r="A74" s="4">
        <v>73.0</v>
      </c>
      <c r="B74" s="5" t="str">
        <f>IFERROR(__xludf.DUMMYFUNCTION("GOOGLETRANSLATE(H74, ""th"", ""en"")
"),"The cow keeper suggests a change of strategy. What do you do?")</f>
        <v>The cow keeper suggests a change of strategy. What do you do?</v>
      </c>
      <c r="C74" s="5" t="str">
        <f>IFERROR(__xludf.DUMMYFUNCTION("GOOGLETRANSLATE(I74, ""th"", ""en"")
"),"A) Follow the instructions immediately; B) Refuse and confirm the original plan; C) Consult the trainer first; D) Change the cow.")</f>
        <v>A) Follow the instructions immediately; B) Refuse and confirm the original plan; C) Consult the trainer first; D) Change the cow.</v>
      </c>
      <c r="D74" s="5" t="str">
        <f>IFERROR(__xludf.DUMMYFUNCTION("GOOGLETRANSLATE(J74, ""th"", ""en"")
"),"A) Follow the instructions immediately.")</f>
        <v>A) Follow the instructions immediately.</v>
      </c>
      <c r="E74" s="5" t="str">
        <f>IFERROR(__xludf.DUMMYFUNCTION("GOOGLETRANSLATE(K74, ""th"", ""en"")
"),"Following the instructions increases your chances of winning.")</f>
        <v>Following the instructions increases your chances of winning.</v>
      </c>
      <c r="G74" s="6">
        <v>73.0</v>
      </c>
      <c r="H74" s="7" t="s">
        <v>132</v>
      </c>
      <c r="I74" s="7" t="s">
        <v>269</v>
      </c>
      <c r="J74" s="7" t="s">
        <v>270</v>
      </c>
      <c r="K74" s="7" t="s">
        <v>271</v>
      </c>
    </row>
    <row r="75" ht="14.25" customHeight="1">
      <c r="A75" s="4">
        <v>74.0</v>
      </c>
      <c r="B75" s="5" t="str">
        <f>IFERROR(__xludf.DUMMYFUNCTION("GOOGLETRANSLATE(H75, ""th"", ""en"")
"),"You see that cow control is starting to get bad, what do you do?")</f>
        <v>You see that cow control is starting to get bad, what do you do?</v>
      </c>
      <c r="C75" s="5" t="str">
        <f>IFERROR(__xludf.DUMMYFUNCTION("GOOGLETRANSLATE(I75, ""th"", ""en"")
"),"A) Immediately adjust the control method; B) Notify the cow handler; C) Stop the fighting; D) Let the cow do its thing.")</f>
        <v>A) Immediately adjust the control method; B) Notify the cow handler; C) Stop the fighting; D) Let the cow do its thing.</v>
      </c>
      <c r="D75" s="5" t="str">
        <f>IFERROR(__xludf.DUMMYFUNCTION("GOOGLETRANSLATE(J75, ""th"", ""en"")
"),"A) Immediately adjust the control method.")</f>
        <v>A) Immediately adjust the control method.</v>
      </c>
      <c r="E75" s="5" t="str">
        <f>IFERROR(__xludf.DUMMYFUNCTION("GOOGLETRANSLATE(K75, ""th"", ""en"")
"),"Adjusting the control method helps the battles flow better.")</f>
        <v>Adjusting the control method helps the battles flow better.</v>
      </c>
      <c r="G75" s="6">
        <v>74.0</v>
      </c>
      <c r="H75" s="7" t="s">
        <v>176</v>
      </c>
      <c r="I75" s="7" t="s">
        <v>272</v>
      </c>
      <c r="J75" s="7" t="s">
        <v>273</v>
      </c>
      <c r="K75" s="7" t="s">
        <v>274</v>
      </c>
    </row>
    <row r="76" ht="14.25" customHeight="1">
      <c r="A76" s="4">
        <v>75.0</v>
      </c>
      <c r="B76" s="5" t="str">
        <f>IFERROR(__xludf.DUMMYFUNCTION("GOOGLETRANSLATE(H76, ""th"", ""en"")
"),"The battle is getting more intense. What will you do?")</f>
        <v>The battle is getting more intense. What will you do?</v>
      </c>
      <c r="C76" s="5" t="str">
        <f>IFERROR(__xludf.DUMMYFUNCTION("GOOGLETRANSLATE(I76, ""th"", ""en"")
"),"A) Increase effort and commitment; B) Decrease effort; C) Ask a trainer for advice; D) Stop fighting.")</f>
        <v>A) Increase effort and commitment; B) Decrease effort; C) Ask a trainer for advice; D) Stop fighting.</v>
      </c>
      <c r="D76" s="5" t="str">
        <f>IFERROR(__xludf.DUMMYFUNCTION("GOOGLETRANSLATE(J76, ""th"", ""en"")
"),"A) Increase effort and commitment.")</f>
        <v>A) Increase effort and commitment.</v>
      </c>
      <c r="E76" s="5" t="str">
        <f>IFERROR(__xludf.DUMMYFUNCTION("GOOGLETRANSLATE(K76, ""th"", ""en"")
"),"Increasing effort gives the team an advantage.")</f>
        <v>Increasing effort gives the team an advantage.</v>
      </c>
      <c r="G76" s="6">
        <v>75.0</v>
      </c>
      <c r="H76" s="7" t="s">
        <v>158</v>
      </c>
      <c r="I76" s="7" t="s">
        <v>275</v>
      </c>
      <c r="J76" s="7" t="s">
        <v>276</v>
      </c>
      <c r="K76" s="7" t="s">
        <v>277</v>
      </c>
    </row>
    <row r="77" ht="14.25" customHeight="1">
      <c r="A77" s="4">
        <v>76.0</v>
      </c>
      <c r="B77" s="5" t="str">
        <f>IFERROR(__xludf.DUMMYFUNCTION("GOOGLETRANSLATE(H77, ""th"", ""en"")
"),"A teammate is injured during a fight, what do you do?")</f>
        <v>A teammate is injured during a fight, what do you do?</v>
      </c>
      <c r="C77" s="5" t="str">
        <f>IFERROR(__xludf.DUMMYFUNCTION("GOOGLETRANSLATE(I77, ""th"", ""en"")
"),"A) Help him immediately and inform the supervisor; B) Let him do it himself; C) Stop the fight; D) Notify the trainer.")</f>
        <v>A) Help him immediately and inform the supervisor; B) Let him do it himself; C) Stop the fight; D) Notify the trainer.</v>
      </c>
      <c r="D77" s="5" t="str">
        <f>IFERROR(__xludf.DUMMYFUNCTION("GOOGLETRANSLATE(J77, ""th"", ""en"")
"),"A) Help him immediately and inform the caretaker.")</f>
        <v>A) Help him immediately and inform the caretaker.</v>
      </c>
      <c r="E77" s="5" t="str">
        <f>IFERROR(__xludf.DUMMYFUNCTION("GOOGLETRANSLATE(K77, ""th"", ""en"")
"),"Timely assistance to teammates reduces risk.")</f>
        <v>Timely assistance to teammates reduces risk.</v>
      </c>
      <c r="G77" s="6">
        <v>76.0</v>
      </c>
      <c r="H77" s="7" t="s">
        <v>278</v>
      </c>
      <c r="I77" s="7" t="s">
        <v>279</v>
      </c>
      <c r="J77" s="7" t="s">
        <v>280</v>
      </c>
      <c r="K77" s="7" t="s">
        <v>281</v>
      </c>
    </row>
    <row r="78" ht="14.25" customHeight="1">
      <c r="A78" s="4">
        <v>77.0</v>
      </c>
      <c r="B78" s="5" t="str">
        <f>IFERROR(__xludf.DUMMYFUNCTION("GOOGLETRANSLATE(H78, ""th"", ""en"")
"),"You feel like you can't control your cows, what do you do?")</f>
        <v>You feel like you can't control your cows, what do you do?</v>
      </c>
      <c r="C78" s="5" t="str">
        <f>IFERROR(__xludf.DUMMYFUNCTION("GOOGLETRANSLATE(I78, ""th"", ""en"")
"),"A) Ask the trainer for advice; B) Adjust the control strategy; C) Stop the fight; D) Let the bull do its thing.")</f>
        <v>A) Ask the trainer for advice; B) Adjust the control strategy; C) Stop the fight; D) Let the bull do its thing.</v>
      </c>
      <c r="D78" s="5" t="str">
        <f>IFERROR(__xludf.DUMMYFUNCTION("GOOGLETRANSLATE(J78, ""th"", ""en"")
"),"A) Ask for advice from the trainer.")</f>
        <v>A) Ask for advice from the trainer.</v>
      </c>
      <c r="E78" s="5" t="str">
        <f>IFERROR(__xludf.DUMMYFUNCTION("GOOGLETRANSLATE(K78, ""th"", ""en"")
"),"Seeking advice will help increase your confidence in controlling your cattle.")</f>
        <v>Seeking advice will help increase your confidence in controlling your cattle.</v>
      </c>
      <c r="G78" s="6">
        <v>77.0</v>
      </c>
      <c r="H78" s="7" t="s">
        <v>282</v>
      </c>
      <c r="I78" s="7" t="s">
        <v>283</v>
      </c>
      <c r="J78" s="7" t="s">
        <v>284</v>
      </c>
      <c r="K78" s="7" t="s">
        <v>285</v>
      </c>
    </row>
    <row r="79" ht="14.25" customHeight="1">
      <c r="A79" s="4">
        <v>78.0</v>
      </c>
      <c r="B79" s="5" t="str">
        <f>IFERROR(__xludf.DUMMYFUNCTION("GOOGLETRANSLATE(H79, ""th"", ""en"")
"),"You see that your teammates are not ready for battle, what do you do?")</f>
        <v>You see that your teammates are not ready for battle, what do you do?</v>
      </c>
      <c r="C79" s="5" t="str">
        <f>IFERROR(__xludf.DUMMYFUNCTION("GOOGLETRANSLATE(I79, ""th"", ""en"")
"),"A) Help him practice more; B) Let him do it himself; C) Reprimand him loudly; D) Stop the fight.")</f>
        <v>A) Help him practice more; B) Let him do it himself; C) Reprimand him loudly; D) Stop the fight.</v>
      </c>
      <c r="D79" s="5" t="str">
        <f>IFERROR(__xludf.DUMMYFUNCTION("GOOGLETRANSLATE(J79, ""th"", ""en"")
"),"A) Help him practice more.")</f>
        <v>A) Help him practice more.</v>
      </c>
      <c r="E79" s="5" t="str">
        <f>IFERROR(__xludf.DUMMYFUNCTION("GOOGLETRANSLATE(K79, ""th"", ""en"")
"),"Skill-building exercises help the team gain more confidence.")</f>
        <v>Skill-building exercises help the team gain more confidence.</v>
      </c>
      <c r="G79" s="6">
        <v>78.0</v>
      </c>
      <c r="H79" s="7" t="s">
        <v>46</v>
      </c>
      <c r="I79" s="7" t="s">
        <v>242</v>
      </c>
      <c r="J79" s="7" t="s">
        <v>243</v>
      </c>
      <c r="K79" s="7" t="s">
        <v>286</v>
      </c>
    </row>
    <row r="80" ht="14.25" customHeight="1">
      <c r="A80" s="4">
        <v>79.0</v>
      </c>
      <c r="B80" s="5" t="str">
        <f>IFERROR(__xludf.DUMMYFUNCTION("GOOGLETRANSLATE(H80, ""th"", ""en"")
"),"The fight is getting out of hand, what will you do?")</f>
        <v>The fight is getting out of hand, what will you do?</v>
      </c>
      <c r="C80" s="5" t="str">
        <f>IFERROR(__xludf.DUMMYFUNCTION("GOOGLETRANSLATE(I80, ""th"", ""en"")
"),"A) Ask the team for help; B) Stop the fight; C) Adjust your strategy; D) Consult your coach.")</f>
        <v>A) Ask the team for help; B) Stop the fight; C) Adjust your strategy; D) Consult your coach.</v>
      </c>
      <c r="D80" s="5" t="str">
        <f>IFERROR(__xludf.DUMMYFUNCTION("GOOGLETRANSLATE(J80, ""th"", ""en"")
"),"A) Ask the team for help.")</f>
        <v>A) Ask the team for help.</v>
      </c>
      <c r="E80" s="5" t="str">
        <f>IFERROR(__xludf.DUMMYFUNCTION("GOOGLETRANSLATE(K80, ""th"", ""en"")
"),"Asking for help from the team makes the fight go better.")</f>
        <v>Asking for help from the team makes the fight go better.</v>
      </c>
      <c r="G80" s="6">
        <v>79.0</v>
      </c>
      <c r="H80" s="7" t="s">
        <v>287</v>
      </c>
      <c r="I80" s="7" t="s">
        <v>288</v>
      </c>
      <c r="J80" s="7" t="s">
        <v>289</v>
      </c>
      <c r="K80" s="7" t="s">
        <v>290</v>
      </c>
    </row>
    <row r="81" ht="14.25" customHeight="1">
      <c r="A81" s="4">
        <v>80.0</v>
      </c>
      <c r="B81" s="5" t="str">
        <f>IFERROR(__xludf.DUMMYFUNCTION("GOOGLETRANSLATE(H81, ""th"", ""en"")
"),"You see your teammates starting to lose confidence in themselves, what do you do?")</f>
        <v>You see your teammates starting to lose confidence in themselves, what do you do?</v>
      </c>
      <c r="C81" s="5" t="str">
        <f>IFERROR(__xludf.DUMMYFUNCTION("GOOGLETRANSLATE(I81, ""th"", ""en"")
"),"A) Give him encouragement and reassurance; B) Let him do it himself; C) Stop the fighting; D) Reprimand him loudly.")</f>
        <v>A) Give him encouragement and reassurance; B) Let him do it himself; C) Stop the fighting; D) Reprimand him loudly.</v>
      </c>
      <c r="D81" s="5" t="str">
        <f>IFERROR(__xludf.DUMMYFUNCTION("GOOGLETRANSLATE(J81, ""th"", ""en"")
"),"A) Provide encouragement and boost confidence.")</f>
        <v>A) Provide encouragement and boost confidence.</v>
      </c>
      <c r="E81" s="5" t="str">
        <f>IFERROR(__xludf.DUMMYFUNCTION("GOOGLETRANSLATE(K81, ""th"", ""en"")
"),"Encouragement gives the team the strength to keep fighting.")</f>
        <v>Encouragement gives the team the strength to keep fighting.</v>
      </c>
      <c r="G81" s="6">
        <v>80.0</v>
      </c>
      <c r="H81" s="7" t="s">
        <v>291</v>
      </c>
      <c r="I81" s="7" t="s">
        <v>292</v>
      </c>
      <c r="J81" s="7" t="s">
        <v>130</v>
      </c>
      <c r="K81" s="7" t="s">
        <v>293</v>
      </c>
    </row>
    <row r="82" ht="14.25" customHeight="1">
      <c r="A82" s="4">
        <v>81.0</v>
      </c>
      <c r="B82" s="5" t="str">
        <f>IFERROR(__xludf.DUMMYFUNCTION("GOOGLETRANSLATE(H82, ""th"", ""en"")
"),"The battle is changing direction. What will you do?")</f>
        <v>The battle is changing direction. What will you do?</v>
      </c>
      <c r="C82" s="5" t="str">
        <f>IFERROR(__xludf.DUMMYFUNCTION("GOOGLETRANSLATE(I82, ""th"", ""en"")
"),"A) Adjust your fighting strategy immediately; B) Let the situation develop on its own; C) Stop the fighting; D) Ask your trainer for advice.")</f>
        <v>A) Adjust your fighting strategy immediately; B) Let the situation develop on its own; C) Stop the fighting; D) Ask your trainer for advice.</v>
      </c>
      <c r="D82" s="5" t="str">
        <f>IFERROR(__xludf.DUMMYFUNCTION("GOOGLETRANSLATE(J82, ""th"", ""en"")
"),"A) Adjust battle strategies immediately.")</f>
        <v>A) Adjust battle strategies immediately.</v>
      </c>
      <c r="E82" s="5" t="str">
        <f>IFERROR(__xludf.DUMMYFUNCTION("GOOGLETRANSLATE(K82, ""th"", ""en"")
"),"Strategic adjustments help the team maintain its chances of winning.")</f>
        <v>Strategic adjustments help the team maintain its chances of winning.</v>
      </c>
      <c r="G82" s="6">
        <v>81.0</v>
      </c>
      <c r="H82" s="7" t="s">
        <v>294</v>
      </c>
      <c r="I82" s="7" t="s">
        <v>295</v>
      </c>
      <c r="J82" s="7" t="s">
        <v>296</v>
      </c>
      <c r="K82" s="7" t="s">
        <v>297</v>
      </c>
    </row>
    <row r="83" ht="14.25" customHeight="1">
      <c r="A83" s="4">
        <v>82.0</v>
      </c>
      <c r="B83" s="5" t="str">
        <f>IFERROR(__xludf.DUMMYFUNCTION("GOOGLETRANSLATE(H83, ""th"", ""en"")
"),"Your team is starting to lose coordination. What do you do?")</f>
        <v>Your team is starting to lose coordination. What do you do?</v>
      </c>
      <c r="C83" s="5" t="str">
        <f>IFERROR(__xludf.DUMMYFUNCTION("GOOGLETRANSLATE(I83, ""th"", ""en"")
"),"A) Help the team improve coordination; B) Stop fighting; C) Let the team do its thing; D) Blame the team.")</f>
        <v>A) Help the team improve coordination; B) Stop fighting; C) Let the team do its thing; D) Blame the team.</v>
      </c>
      <c r="D83" s="5" t="str">
        <f>IFERROR(__xludf.DUMMYFUNCTION("GOOGLETRANSLATE(J83, ""th"", ""en"")
"),"A) Help the team improve coordination.")</f>
        <v>A) Help the team improve coordination.</v>
      </c>
      <c r="E83" s="5" t="str">
        <f>IFERROR(__xludf.DUMMYFUNCTION("GOOGLETRANSLATE(K83, ""th"", ""en"")
"),"Improving coordination helps teams work better together.")</f>
        <v>Improving coordination helps teams work better together.</v>
      </c>
      <c r="G83" s="6">
        <v>82.0</v>
      </c>
      <c r="H83" s="7" t="s">
        <v>298</v>
      </c>
      <c r="I83" s="7" t="s">
        <v>299</v>
      </c>
      <c r="J83" s="7" t="s">
        <v>300</v>
      </c>
      <c r="K83" s="7" t="s">
        <v>301</v>
      </c>
    </row>
    <row r="84" ht="14.25" customHeight="1">
      <c r="A84" s="4">
        <v>83.0</v>
      </c>
      <c r="B84" s="5" t="str">
        <f>IFERROR(__xludf.DUMMYFUNCTION("GOOGLETRANSLATE(H84, ""th"", ""en"")
"),"You feel the team's mood is starting to deteriorate, what should you do?")</f>
        <v>You feel the team's mood is starting to deteriorate, what should you do?</v>
      </c>
      <c r="C84" s="5" t="str">
        <f>IFERROR(__xludf.DUMMYFUNCTION("GOOGLETRANSLATE(I84, ""th"", ""en"")
"),"A) Motivate the team to be committed; B) Let the team act on their emotions; C) Stop fighting; D) Blame the team.")</f>
        <v>A) Motivate the team to be committed; B) Let the team act on their emotions; C) Stop fighting; D) Blame the team.</v>
      </c>
      <c r="D84" s="5" t="str">
        <f>IFERROR(__xludf.DUMMYFUNCTION("GOOGLETRANSLATE(J84, ""th"", ""en"")
"),"A) Motivate the team to be committed.")</f>
        <v>A) Motivate the team to be committed.</v>
      </c>
      <c r="E84" s="5" t="str">
        <f>IFERROR(__xludf.DUMMYFUNCTION("GOOGLETRANSLATE(K84, ""th"", ""en"")
"),"Team motivation increases energy and commitment to the fight.")</f>
        <v>Team motivation increases energy and commitment to the fight.</v>
      </c>
      <c r="G84" s="6">
        <v>83.0</v>
      </c>
      <c r="H84" s="7" t="s">
        <v>302</v>
      </c>
      <c r="I84" s="7" t="s">
        <v>303</v>
      </c>
      <c r="J84" s="7" t="s">
        <v>304</v>
      </c>
      <c r="K84" s="7" t="s">
        <v>305</v>
      </c>
    </row>
    <row r="85" ht="14.25" customHeight="1">
      <c r="A85" s="4">
        <v>84.0</v>
      </c>
      <c r="B85" s="5" t="str">
        <f>IFERROR(__xludf.DUMMYFUNCTION("GOOGLETRANSLATE(H85, ""th"", ""en"")
"),"Your cow control is becoming unstable, what should you do?")</f>
        <v>Your cow control is becoming unstable, what should you do?</v>
      </c>
      <c r="C85" s="5" t="str">
        <f>IFERROR(__xludf.DUMMYFUNCTION("GOOGLETRANSLATE(I85, ""th"", ""en"")
"),"A) Immediately adjust controls and methods; B) Let the bull do its thing; C) Stop fighting; D) Notify the handler.")</f>
        <v>A) Immediately adjust controls and methods; B) Let the bull do its thing; C) Stop fighting; D) Notify the handler.</v>
      </c>
      <c r="D85" s="5" t="str">
        <f>IFERROR(__xludf.DUMMYFUNCTION("GOOGLETRANSLATE(J85, ""th"", ""en"")
"),"A) Adjust controls and methods immediately.")</f>
        <v>A) Adjust controls and methods immediately.</v>
      </c>
      <c r="E85" s="5" t="str">
        <f>IFERROR(__xludf.DUMMYFUNCTION("GOOGLETRANSLATE(K85, ""th"", ""en"")
"),"Adjusting the controls helps the cows perform better.")</f>
        <v>Adjusting the controls helps the cows perform better.</v>
      </c>
      <c r="G85" s="6">
        <v>84.0</v>
      </c>
      <c r="H85" s="7" t="s">
        <v>306</v>
      </c>
      <c r="I85" s="7" t="s">
        <v>307</v>
      </c>
      <c r="J85" s="7" t="s">
        <v>308</v>
      </c>
      <c r="K85" s="7" t="s">
        <v>309</v>
      </c>
    </row>
    <row r="86" ht="14.25" customHeight="1">
      <c r="A86" s="4">
        <v>85.0</v>
      </c>
      <c r="B86" s="5" t="str">
        <f>IFERROR(__xludf.DUMMYFUNCTION("GOOGLETRANSLATE(H86, ""th"", ""en"")
"),"You see your teammates making the same mistakes over and over again, what do you do?")</f>
        <v>You see your teammates making the same mistakes over and over again, what do you do?</v>
      </c>
      <c r="C86" s="5" t="str">
        <f>IFERROR(__xludf.DUMMYFUNCTION("GOOGLETRANSLATE(I86, ""th"", ""en"")
"),"A) Help him find a solution; B) Let him do it himself; C) Reprimand him loudly; D) Stop fighting.")</f>
        <v>A) Help him find a solution; B) Let him do it himself; C) Reprimand him loudly; D) Stop fighting.</v>
      </c>
      <c r="D86" s="5" t="str">
        <f>IFERROR(__xludf.DUMMYFUNCTION("GOOGLETRANSLATE(J86, ""th"", ""en"")
"),"A) Help him find a solution.")</f>
        <v>A) Help him find a solution.</v>
      </c>
      <c r="E86" s="5" t="str">
        <f>IFERROR(__xludf.DUMMYFUNCTION("GOOGLETRANSLATE(K86, ""th"", ""en"")
"),"Helping your teammates find a solution will improve the situation.")</f>
        <v>Helping your teammates find a solution will improve the situation.</v>
      </c>
      <c r="G86" s="6">
        <v>85.0</v>
      </c>
      <c r="H86" s="7" t="s">
        <v>310</v>
      </c>
      <c r="I86" s="7" t="s">
        <v>311</v>
      </c>
      <c r="J86" s="7" t="s">
        <v>312</v>
      </c>
      <c r="K86" s="7" t="s">
        <v>313</v>
      </c>
    </row>
    <row r="87" ht="14.25" customHeight="1">
      <c r="A87" s="4">
        <v>86.0</v>
      </c>
      <c r="B87" s="5" t="str">
        <f>IFERROR(__xludf.DUMMYFUNCTION("GOOGLETRANSLATE(H87, ""th"", ""en"")
"),"The battle is getting intense and you feel discouraged. What do you do?")</f>
        <v>The battle is getting intense and you feel discouraged. What do you do?</v>
      </c>
      <c r="C87" s="5" t="str">
        <f>IFERROR(__xludf.DUMMYFUNCTION("GOOGLETRANSLATE(I87, ""th"", ""en"")
"),"A) Relax and refocus; B) Stop fighting; C) Ask your trainer for advice; D) Change your tactics immediately.")</f>
        <v>A) Relax and refocus; B) Stop fighting; C) Ask your trainer for advice; D) Change your tactics immediately.</v>
      </c>
      <c r="D87" s="5" t="str">
        <f>IFERROR(__xludf.DUMMYFUNCTION("GOOGLETRANSLATE(J87, ""th"", ""en"")
"),"A) Relax and refocus.")</f>
        <v>A) Relax and refocus.</v>
      </c>
      <c r="E87" s="5" t="str">
        <f>IFERROR(__xludf.DUMMYFUNCTION("GOOGLETRANSLATE(K87, ""th"", ""en"")
"),"Concentration helps you focus on the fight.")</f>
        <v>Concentration helps you focus on the fight.</v>
      </c>
      <c r="G87" s="6">
        <v>86.0</v>
      </c>
      <c r="H87" s="7" t="s">
        <v>314</v>
      </c>
      <c r="I87" s="7" t="s">
        <v>315</v>
      </c>
      <c r="J87" s="7" t="s">
        <v>316</v>
      </c>
      <c r="K87" s="7" t="s">
        <v>317</v>
      </c>
    </row>
    <row r="88" ht="14.25" customHeight="1">
      <c r="A88" s="4">
        <v>87.0</v>
      </c>
      <c r="B88" s="5" t="str">
        <f>IFERROR(__xludf.DUMMYFUNCTION("GOOGLETRANSLATE(H88, ""th"", ""en"")
"),"Your team changes plans mid-battle. What do you do?")</f>
        <v>Your team changes plans mid-battle. What do you do?</v>
      </c>
      <c r="C88" s="5" t="str">
        <f>IFERROR(__xludf.DUMMYFUNCTION("GOOGLETRANSLATE(I88, ""th"", ""en"")
"),"A) Adapt to the new plan; B) Reject the new plan; C) Stop fighting; D) Ask the trainer for advice.")</f>
        <v>A) Adapt to the new plan; B) Reject the new plan; C) Stop fighting; D) Ask the trainer for advice.</v>
      </c>
      <c r="D88" s="5" t="str">
        <f>IFERROR(__xludf.DUMMYFUNCTION("GOOGLETRANSLATE(J88, ""th"", ""en"")
"),"A) Adapt to the new plan.")</f>
        <v>A) Adapt to the new plan.</v>
      </c>
      <c r="E88" s="5" t="str">
        <f>IFERROR(__xludf.DUMMYFUNCTION("GOOGLETRANSLATE(K88, ""th"", ""en"")
"),"Adapting to the new plan will give the team a better chance of winning.")</f>
        <v>Adapting to the new plan will give the team a better chance of winning.</v>
      </c>
      <c r="G88" s="6">
        <v>87.0</v>
      </c>
      <c r="H88" s="7" t="s">
        <v>193</v>
      </c>
      <c r="I88" s="7" t="s">
        <v>318</v>
      </c>
      <c r="J88" s="7" t="s">
        <v>195</v>
      </c>
      <c r="K88" s="7" t="s">
        <v>319</v>
      </c>
    </row>
    <row r="89" ht="14.25" customHeight="1">
      <c r="A89" s="4">
        <v>88.0</v>
      </c>
      <c r="B89" s="5" t="str">
        <f>IFERROR(__xludf.DUMMYFUNCTION("GOOGLETRANSLATE(H89, ""th"", ""en"")
"),"You feel like you are not being supported by your team. What should you do?")</f>
        <v>You feel like you are not being supported by your team. What should you do?</v>
      </c>
      <c r="C89" s="5" t="str">
        <f>IFERROR(__xludf.DUMMYFUNCTION("GOOGLETRANSLATE(I89, ""th"", ""en"")
"),"A) Try to work more with the team; B) Stop fighting; C) Adjust strategy; D) Blame the team.")</f>
        <v>A) Try to work more with the team; B) Stop fighting; C) Adjust strategy; D) Blame the team.</v>
      </c>
      <c r="D89" s="5" t="str">
        <f>IFERROR(__xludf.DUMMYFUNCTION("GOOGLETRANSLATE(J89, ""th"", ""en"")
"),"A) Try to work more with the team.")</f>
        <v>A) Try to work more with the team.</v>
      </c>
      <c r="E89" s="5" t="str">
        <f>IFERROR(__xludf.DUMMYFUNCTION("GOOGLETRANSLATE(K89, ""th"", ""en"")
"),"Working together as a team fosters unity.")</f>
        <v>Working together as a team fosters unity.</v>
      </c>
      <c r="G89" s="6">
        <v>88.0</v>
      </c>
      <c r="H89" s="7" t="s">
        <v>320</v>
      </c>
      <c r="I89" s="7" t="s">
        <v>321</v>
      </c>
      <c r="J89" s="7" t="s">
        <v>322</v>
      </c>
      <c r="K89" s="7" t="s">
        <v>323</v>
      </c>
    </row>
    <row r="90" ht="14.25" customHeight="1">
      <c r="A90" s="4">
        <v>89.0</v>
      </c>
      <c r="B90" s="5" t="str">
        <f>IFERROR(__xludf.DUMMYFUNCTION("GOOGLETRANSLATE(H90, ""th"", ""en"")
"),"The fight is getting longer and longer. What will you do?")</f>
        <v>The fight is getting longer and longer. What will you do?</v>
      </c>
      <c r="C90" s="5" t="str">
        <f>IFERROR(__xludf.DUMMYFUNCTION("GOOGLETRANSLATE(I90, ""th"", ""en"")
"),"A) Ask the team to switch times; B) Continue fighting; C) Stop fighting; D) Ask the coach for advice.")</f>
        <v>A) Ask the team to switch times; B) Continue fighting; C) Stop fighting; D) Ask the coach for advice.</v>
      </c>
      <c r="D90" s="5" t="str">
        <f>IFERROR(__xludf.DUMMYFUNCTION("GOOGLETRANSLATE(J90, ""th"", ""en"")
"),"A) Ask the team to help switch times.")</f>
        <v>A) Ask the team to help switch times.</v>
      </c>
      <c r="E90" s="5" t="str">
        <f>IFERROR(__xludf.DUMMYFUNCTION("GOOGLETRANSLATE(K90, ""th"", ""en"")
"),"Switching teams allows you to rest and be ready for the next fight.")</f>
        <v>Switching teams allows you to rest and be ready for the next fight.</v>
      </c>
      <c r="G90" s="6">
        <v>89.0</v>
      </c>
      <c r="H90" s="7" t="s">
        <v>324</v>
      </c>
      <c r="I90" s="7" t="s">
        <v>325</v>
      </c>
      <c r="J90" s="7" t="s">
        <v>203</v>
      </c>
      <c r="K90" s="7" t="s">
        <v>326</v>
      </c>
    </row>
    <row r="91" ht="14.25" customHeight="1">
      <c r="A91" s="4">
        <v>90.0</v>
      </c>
      <c r="B91" s="5" t="str">
        <f>IFERROR(__xludf.DUMMYFUNCTION("GOOGLETRANSLATE(H91, ""th"", ""en"")
"),"You see that your cow is losing control, what do you do?")</f>
        <v>You see that your cow is losing control, what do you do?</v>
      </c>
      <c r="C91" s="5" t="str">
        <f>IFERROR(__xludf.DUMMYFUNCTION("GOOGLETRANSLATE(I91, ""th"", ""en"")
"),"A) Immediately adjust control strategy; B) Let the cow do its thing; C) Stop fighting; D) Notify the handler.")</f>
        <v>A) Immediately adjust control strategy; B) Let the cow do its thing; C) Stop fighting; D) Notify the handler.</v>
      </c>
      <c r="D91" s="5" t="str">
        <f>IFERROR(__xludf.DUMMYFUNCTION("GOOGLETRANSLATE(J91, ""th"", ""en"")
"),"A) Adjust control strategies immediately.")</f>
        <v>A) Adjust control strategies immediately.</v>
      </c>
      <c r="E91" s="5" t="str">
        <f>IFERROR(__xludf.DUMMYFUNCTION("GOOGLETRANSLATE(K91, ""th"", ""en"")
"),"Strategic adjustments help the battle go better.")</f>
        <v>Strategic adjustments help the battle go better.</v>
      </c>
      <c r="G91" s="6">
        <v>90.0</v>
      </c>
      <c r="H91" s="7" t="s">
        <v>327</v>
      </c>
      <c r="I91" s="7" t="s">
        <v>328</v>
      </c>
      <c r="J91" s="7" t="s">
        <v>329</v>
      </c>
      <c r="K91" s="7" t="s">
        <v>330</v>
      </c>
    </row>
    <row r="92" ht="14.25" customHeight="1">
      <c r="A92" s="4">
        <v>91.0</v>
      </c>
      <c r="B92" s="5" t="str">
        <f>IFERROR(__xludf.DUMMYFUNCTION("GOOGLETRANSLATE(H92, ""th"", ""en"")
"),"The battle is getting intense and you feel pressured. What do you do?")</f>
        <v>The battle is getting intense and you feel pressured. What do you do?</v>
      </c>
      <c r="C92" s="5" t="str">
        <f>IFERROR(__xludf.DUMMYFUNCTION("GOOGLETRANSLATE(I92, ""th"", ""en"")
"),"A) Relax and refocus; B) Stop fighting; C) Ask your trainer for advice; D) Change your strategy.")</f>
        <v>A) Relax and refocus; B) Stop fighting; C) Ask your trainer for advice; D) Change your strategy.</v>
      </c>
      <c r="D92" s="5" t="str">
        <f>IFERROR(__xludf.DUMMYFUNCTION("GOOGLETRANSLATE(J92, ""th"", ""en"")
"),"A) Relax and refocus.")</f>
        <v>A) Relax and refocus.</v>
      </c>
      <c r="E92" s="5" t="str">
        <f>IFERROR(__xludf.DUMMYFUNCTION("GOOGLETRANSLATE(K92, ""th"", ""en"")
"),"Meditation reduces stress and gives you more control over the situation.")</f>
        <v>Meditation reduces stress and gives you more control over the situation.</v>
      </c>
      <c r="G92" s="6">
        <v>91.0</v>
      </c>
      <c r="H92" s="7" t="s">
        <v>331</v>
      </c>
      <c r="I92" s="7" t="s">
        <v>332</v>
      </c>
      <c r="J92" s="7" t="s">
        <v>316</v>
      </c>
      <c r="K92" s="7" t="s">
        <v>333</v>
      </c>
    </row>
    <row r="93" ht="14.25" customHeight="1">
      <c r="A93" s="4">
        <v>92.0</v>
      </c>
      <c r="B93" s="5" t="str">
        <f>IFERROR(__xludf.DUMMYFUNCTION("GOOGLETRANSLATE(H93, ""th"", ""en"")
"),"You see your teammates starting to feel exhausted, what do you do?")</f>
        <v>You see your teammates starting to feel exhausted, what do you do?</v>
      </c>
      <c r="C93" s="5" t="str">
        <f>IFERROR(__xludf.DUMMYFUNCTION("GOOGLETRANSLATE(I93, ""th"", ""en"")
"),"A) Help him rest and recover; B) Let him do it himself; C) Stop fighting; D) Reprimand him loudly.")</f>
        <v>A) Help him rest and recover; B) Let him do it himself; C) Stop fighting; D) Reprimand him loudly.</v>
      </c>
      <c r="D93" s="5" t="str">
        <f>IFERROR(__xludf.DUMMYFUNCTION("GOOGLETRANSLATE(J93, ""th"", ""en"")
"),"A) Help him rest and recover.")</f>
        <v>A) Help him rest and recover.</v>
      </c>
      <c r="E93" s="5" t="str">
        <f>IFERROR(__xludf.DUMMYFUNCTION("GOOGLETRANSLATE(K93, ""th"", ""en"")
"),"Taking breaks allows teammates to recharge.")</f>
        <v>Taking breaks allows teammates to recharge.</v>
      </c>
      <c r="G93" s="6">
        <v>92.0</v>
      </c>
      <c r="H93" s="7" t="s">
        <v>334</v>
      </c>
      <c r="I93" s="7" t="s">
        <v>335</v>
      </c>
      <c r="J93" s="7" t="s">
        <v>336</v>
      </c>
      <c r="K93" s="7" t="s">
        <v>337</v>
      </c>
    </row>
    <row r="94" ht="14.25" customHeight="1">
      <c r="A94" s="4">
        <v>93.0</v>
      </c>
      <c r="B94" s="5" t="str">
        <f>IFERROR(__xludf.DUMMYFUNCTION("GOOGLETRANSLATE(H94, ""th"", ""en"")
"),"The battle is starting to spiral out of control, what will you do?")</f>
        <v>The battle is starting to spiral out of control, what will you do?</v>
      </c>
      <c r="C94" s="5" t="str">
        <f>IFERROR(__xludf.DUMMYFUNCTION("GOOGLETRANSLATE(I94, ""th"", ""en"")
"),"A) Adjust strategy immediately; B) Stop fighting; C) Let the situation develop on its own; D) Ask the trainer for advice.")</f>
        <v>A) Adjust strategy immediately; B) Stop fighting; C) Let the situation develop on its own; D) Ask the trainer for advice.</v>
      </c>
      <c r="D94" s="5" t="str">
        <f>IFERROR(__xludf.DUMMYFUNCTION("GOOGLETRANSLATE(J94, ""th"", ""en"")
"),"A) Adjust strategies immediately.")</f>
        <v>A) Adjust strategies immediately.</v>
      </c>
      <c r="E94" s="5" t="str">
        <f>IFERROR(__xludf.DUMMYFUNCTION("GOOGLETRANSLATE(K94, ""th"", ""en"")
"),"Strategic adjustments helped the battle regain control.")</f>
        <v>Strategic adjustments helped the battle regain control.</v>
      </c>
      <c r="G94" s="6">
        <v>93.0</v>
      </c>
      <c r="H94" s="7" t="s">
        <v>338</v>
      </c>
      <c r="I94" s="7" t="s">
        <v>339</v>
      </c>
      <c r="J94" s="7" t="s">
        <v>103</v>
      </c>
      <c r="K94" s="7" t="s">
        <v>340</v>
      </c>
    </row>
    <row r="95" ht="14.25" customHeight="1">
      <c r="A95" s="4">
        <v>94.0</v>
      </c>
      <c r="B95" s="5" t="str">
        <f>IFERROR(__xludf.DUMMYFUNCTION("GOOGLETRANSLATE(H95, ""th"", ""en"")
"),"You feel that your trainer is not giving you good advice. What should you do?")</f>
        <v>You feel that your trainer is not giving you good advice. What should you do?</v>
      </c>
      <c r="C95" s="5" t="str">
        <f>IFERROR(__xludf.DUMMYFUNCTION("GOOGLETRANSLATE(I95, ""th"", ""en"")
"),"A) Ask for advice from the team; B) Stop the fight; C) Adjust your own strategy; D) Inform the coach.")</f>
        <v>A) Ask for advice from the team; B) Stop the fight; C) Adjust your own strategy; D) Inform the coach.</v>
      </c>
      <c r="D95" s="5" t="str">
        <f>IFERROR(__xludf.DUMMYFUNCTION("GOOGLETRANSLATE(J95, ""th"", ""en"")
"),"A) Ask for advice from the team.")</f>
        <v>A) Ask for advice from the team.</v>
      </c>
      <c r="E95" s="5" t="str">
        <f>IFERROR(__xludf.DUMMYFUNCTION("GOOGLETRANSLATE(K95, ""th"", ""en"")
"),"Seeking advice from the team helped improve the situation.")</f>
        <v>Seeking advice from the team helped improve the situation.</v>
      </c>
      <c r="G95" s="6">
        <v>94.0</v>
      </c>
      <c r="H95" s="7" t="s">
        <v>341</v>
      </c>
      <c r="I95" s="7" t="s">
        <v>342</v>
      </c>
      <c r="J95" s="7" t="s">
        <v>343</v>
      </c>
      <c r="K95" s="7" t="s">
        <v>344</v>
      </c>
    </row>
    <row r="96" ht="14.25" customHeight="1">
      <c r="A96" s="4">
        <v>95.0</v>
      </c>
      <c r="B96" s="5" t="str">
        <f>IFERROR(__xludf.DUMMYFUNCTION("GOOGLETRANSLATE(H96, ""th"", ""en"")
"),"Your team is starting to show fatigue. What should you do?")</f>
        <v>Your team is starting to show fatigue. What should you do?</v>
      </c>
      <c r="C96" s="5" t="str">
        <f>IFERROR(__xludf.DUMMYFUNCTION("GOOGLETRANSLATE(I96, ""th"", ""en"")
"),"A) Take a break and give everyone a break; B) Stop fighting; C) Change the plan; D) Encourage the team to keep fighting.")</f>
        <v>A) Take a break and give everyone a break; B) Stop fighting; C) Change the plan; D) Encourage the team to keep fighting.</v>
      </c>
      <c r="D96" s="5" t="str">
        <f>IFERROR(__xludf.DUMMYFUNCTION("GOOGLETRANSLATE(J96, ""th"", ""en"")
"),"A) Take breaks and give everyone time.")</f>
        <v>A) Take breaks and give everyone time.</v>
      </c>
      <c r="E96" s="5" t="str">
        <f>IFERROR(__xludf.DUMMYFUNCTION("GOOGLETRANSLATE(K96, ""th"", ""en"")
"),"Giving the team time to rest helps everyone recover.")</f>
        <v>Giving the team time to rest helps everyone recover.</v>
      </c>
      <c r="G96" s="6">
        <v>95.0</v>
      </c>
      <c r="H96" s="7" t="s">
        <v>345</v>
      </c>
      <c r="I96" s="7" t="s">
        <v>346</v>
      </c>
      <c r="J96" s="7" t="s">
        <v>347</v>
      </c>
      <c r="K96" s="7" t="s">
        <v>348</v>
      </c>
    </row>
    <row r="97" ht="14.25" customHeight="1">
      <c r="A97" s="4">
        <v>96.0</v>
      </c>
      <c r="B97" s="5" t="str">
        <f>IFERROR(__xludf.DUMMYFUNCTION("GOOGLETRANSLATE(H97, ""th"", ""en"")
"),"The fight is getting harder and you're losing focus. What do you do?")</f>
        <v>The fight is getting harder and you're losing focus. What do you do?</v>
      </c>
      <c r="C97" s="5" t="str">
        <f>IFERROR(__xludf.DUMMYFUNCTION("GOOGLETRANSLATE(I97, ""th"", ""en"")
"),"A) Refocus and stick to your plan; B) Stop fighting; C) Ask your trainer for advice; D) Adjust your strategy immediately.")</f>
        <v>A) Refocus and stick to your plan; B) Stop fighting; C) Ask your trainer for advice; D) Adjust your strategy immediately.</v>
      </c>
      <c r="D97" s="5" t="str">
        <f>IFERROR(__xludf.DUMMYFUNCTION("GOOGLETRANSLATE(J97, ""th"", ""en"")
"),"A) Refocus and stick to the plan.")</f>
        <v>A) Refocus and stick to the plan.</v>
      </c>
      <c r="E97" s="5" t="str">
        <f>IFERROR(__xludf.DUMMYFUNCTION("GOOGLETRANSLATE(K97, ""th"", ""en"")
"),"Refocusing allows you to regain your fighting spirit.")</f>
        <v>Refocusing allows you to regain your fighting spirit.</v>
      </c>
      <c r="G97" s="6">
        <v>96.0</v>
      </c>
      <c r="H97" s="7" t="s">
        <v>349</v>
      </c>
      <c r="I97" s="7" t="s">
        <v>350</v>
      </c>
      <c r="J97" s="7" t="s">
        <v>351</v>
      </c>
      <c r="K97" s="7" t="s">
        <v>352</v>
      </c>
    </row>
    <row r="98" ht="14.25" customHeight="1">
      <c r="A98" s="4">
        <v>97.0</v>
      </c>
      <c r="B98" s="5" t="str">
        <f>IFERROR(__xludf.DUMMYFUNCTION("GOOGLETRANSLATE(H98, ""th"", ""en"")
"),"You see that the cow is starting to show signs of illness during the fight, what do you do?")</f>
        <v>You see that the cow is starting to show signs of illness during the fight, what do you do?</v>
      </c>
      <c r="C98" s="5" t="str">
        <f>IFERROR(__xludf.DUMMYFUNCTION("GOOGLETRANSLATE(I98, ""th"", ""en"")
"),"A) Notify the cow handler immediately; B) Stop the fighting; C) Adjust the cow's control; D) Let the cow rest.")</f>
        <v>A) Notify the cow handler immediately; B) Stop the fighting; C) Adjust the cow's control; D) Let the cow rest.</v>
      </c>
      <c r="D98" s="5" t="str">
        <f>IFERROR(__xludf.DUMMYFUNCTION("GOOGLETRANSLATE(J98, ""th"", ""en"")
"),"A) Notify the cow keeper immediately.")</f>
        <v>A) Notify the cow keeper immediately.</v>
      </c>
      <c r="E98" s="5" t="str">
        <f>IFERROR(__xludf.DUMMYFUNCTION("GOOGLETRANSLATE(K98, ""th"", ""en"")
"),"Notifying the caretaker helps ensure that the cows receive timely care.")</f>
        <v>Notifying the caretaker helps ensure that the cows receive timely care.</v>
      </c>
      <c r="G98" s="6">
        <v>97.0</v>
      </c>
      <c r="H98" s="7" t="s">
        <v>353</v>
      </c>
      <c r="I98" s="7" t="s">
        <v>354</v>
      </c>
      <c r="J98" s="7" t="s">
        <v>99</v>
      </c>
      <c r="K98" s="7" t="s">
        <v>200</v>
      </c>
    </row>
    <row r="99" ht="14.25" customHeight="1">
      <c r="A99" s="4">
        <v>98.0</v>
      </c>
      <c r="B99" s="5" t="str">
        <f>IFERROR(__xludf.DUMMYFUNCTION("GOOGLETRANSLATE(H99, ""th"", ""en"")
"),"You feel that your coordination with the team is not good, what should you do?")</f>
        <v>You feel that your coordination with the team is not good, what should you do?</v>
      </c>
      <c r="C99" s="5" t="str">
        <f>IFERROR(__xludf.DUMMYFUNCTION("GOOGLETRANSLATE(I99, ""th"", ""en"")
"),"A) Help the team coordinate better; B) Let the team do its own thing; C) Stop fighting; D) Blame the team.")</f>
        <v>A) Help the team coordinate better; B) Let the team do its own thing; C) Stop fighting; D) Blame the team.</v>
      </c>
      <c r="D99" s="5" t="str">
        <f>IFERROR(__xludf.DUMMYFUNCTION("GOOGLETRANSLATE(J99, ""th"", ""en"")
"),"A) Helps the team coordinate better.")</f>
        <v>A) Helps the team coordinate better.</v>
      </c>
      <c r="E99" s="5" t="str">
        <f>IFERROR(__xludf.DUMMYFUNCTION("GOOGLETRANSLATE(K99, ""th"", ""en"")
"),"Improving coordination helps teams work more efficiently.")</f>
        <v>Improving coordination helps teams work more efficiently.</v>
      </c>
      <c r="G99" s="6">
        <v>98.0</v>
      </c>
      <c r="H99" s="7" t="s">
        <v>355</v>
      </c>
      <c r="I99" s="7" t="s">
        <v>356</v>
      </c>
      <c r="J99" s="7" t="s">
        <v>357</v>
      </c>
      <c r="K99" s="7" t="s">
        <v>358</v>
      </c>
    </row>
    <row r="100" ht="14.25" customHeight="1">
      <c r="A100" s="4">
        <v>99.0</v>
      </c>
      <c r="B100" s="5" t="str">
        <f>IFERROR(__xludf.DUMMYFUNCTION("GOOGLETRANSLATE(H100, ""th"", ""en"")
"),"You see your teammates starting to lose confidence in themselves, what do you do?")</f>
        <v>You see your teammates starting to lose confidence in themselves, what do you do?</v>
      </c>
      <c r="C100" s="5" t="str">
        <f>IFERROR(__xludf.DUMMYFUNCTION("GOOGLETRANSLATE(I100, ""th"", ""en"")
"),"A) Give him encouragement and reassurance; B) Let him do it himself; C) Stop the fighting; D) Reprimand him loudly.")</f>
        <v>A) Give him encouragement and reassurance; B) Let him do it himself; C) Stop the fighting; D) Reprimand him loudly.</v>
      </c>
      <c r="D100" s="5" t="str">
        <f>IFERROR(__xludf.DUMMYFUNCTION("GOOGLETRANSLATE(J100, ""th"", ""en"")
"),"A) Provide encouragement and boost confidence.")</f>
        <v>A) Provide encouragement and boost confidence.</v>
      </c>
      <c r="E100" s="5" t="str">
        <f>IFERROR(__xludf.DUMMYFUNCTION("GOOGLETRANSLATE(K100, ""th"", ""en"")
"),"Encouragement will help your teammates regain their confidence.")</f>
        <v>Encouragement will help your teammates regain their confidence.</v>
      </c>
      <c r="G100" s="6">
        <v>99.0</v>
      </c>
      <c r="H100" s="7" t="s">
        <v>359</v>
      </c>
      <c r="I100" s="7" t="s">
        <v>292</v>
      </c>
      <c r="J100" s="7" t="s">
        <v>130</v>
      </c>
      <c r="K100" s="7" t="s">
        <v>360</v>
      </c>
    </row>
    <row r="101" ht="14.25" customHeight="1">
      <c r="A101" s="4">
        <v>100.0</v>
      </c>
      <c r="B101" s="5" t="str">
        <f>IFERROR(__xludf.DUMMYFUNCTION("GOOGLETRANSLATE(H101, ""th"", ""en"")
"),"The battle is heating up and you have to make a decision right away. What will you do?")</f>
        <v>The battle is heating up and you have to make a decision right away. What will you do?</v>
      </c>
      <c r="C101" s="5" t="str">
        <f>IFERROR(__xludf.DUMMYFUNCTION("GOOGLETRANSLATE(I101, ""th"", ""en"")
"),"A) Adjust your strategy and stick to the plan; B) Stop the fight; C) Ask your trainer for advice; D) Change your plan immediately.")</f>
        <v>A) Adjust your strategy and stick to the plan; B) Stop the fight; C) Ask your trainer for advice; D) Change your plan immediately.</v>
      </c>
      <c r="D101" s="5" t="str">
        <f>IFERROR(__xludf.DUMMYFUNCTION("GOOGLETRANSLATE(J101, ""th"", ""en"")
"),"A) Adjust strategies and follow the plans.")</f>
        <v>A) Adjust strategies and follow the plans.</v>
      </c>
      <c r="E101" s="5" t="str">
        <f>IFERROR(__xludf.DUMMYFUNCTION("GOOGLETRANSLATE(K101, ""th"", ""en"")
"),"Following a plan gives you confidence in your decisions.")</f>
        <v>Following a plan gives you confidence in your decisions.</v>
      </c>
      <c r="G101" s="6">
        <v>100.0</v>
      </c>
      <c r="H101" s="7" t="s">
        <v>361</v>
      </c>
      <c r="I101" s="7" t="s">
        <v>362</v>
      </c>
      <c r="J101" s="7" t="s">
        <v>363</v>
      </c>
      <c r="K101" s="7" t="s">
        <v>364</v>
      </c>
    </row>
    <row r="102" ht="14.25" customHeight="1">
      <c r="A102" s="4">
        <v>101.0</v>
      </c>
      <c r="B102" s="5" t="str">
        <f>IFERROR(__xludf.DUMMYFUNCTION("GOOGLETRANSLATE(H102, ""th"", ""en"")
"),"The fight is getting longer and you're feeling tired. What do you do?")</f>
        <v>The fight is getting longer and you're feeling tired. What do you do?</v>
      </c>
      <c r="C102" s="5" t="str">
        <f>IFERROR(__xludf.DUMMYFUNCTION("GOOGLETRANSLATE(I102, ""th"", ""en"")
"),"A) Ask the team to switch times; B) Stop the fight; C) Adjust the strategy immediately; D) Ask the coach for advice.")</f>
        <v>A) Ask the team to switch times; B) Stop the fight; C) Adjust the strategy immediately; D) Ask the coach for advice.</v>
      </c>
      <c r="D102" s="5" t="str">
        <f>IFERROR(__xludf.DUMMYFUNCTION("GOOGLETRANSLATE(J102, ""th"", ""en"")
"),"A) Ask the team to help switch times.")</f>
        <v>A) Ask the team to help switch times.</v>
      </c>
      <c r="E102" s="5" t="str">
        <f>IFERROR(__xludf.DUMMYFUNCTION("GOOGLETRANSLATE(K102, ""th"", ""en"")
"),"Switching the time between teams helps everyone stay motivated in the fight.")</f>
        <v>Switching the time between teams helps everyone stay motivated in the fight.</v>
      </c>
      <c r="G102" s="6">
        <v>101.0</v>
      </c>
      <c r="H102" s="7" t="s">
        <v>365</v>
      </c>
      <c r="I102" s="7" t="s">
        <v>366</v>
      </c>
      <c r="J102" s="7" t="s">
        <v>203</v>
      </c>
      <c r="K102" s="7" t="s">
        <v>367</v>
      </c>
    </row>
    <row r="103" ht="14.25" customHeight="1">
      <c r="A103" s="4">
        <v>102.0</v>
      </c>
      <c r="B103" s="5" t="str">
        <f>IFERROR(__xludf.DUMMYFUNCTION("GOOGLETRANSLATE(H103, ""th"", ""en"")
"),"You see that your cow is starting to disobey you, what do you do?")</f>
        <v>You see that your cow is starting to disobey you, what do you do?</v>
      </c>
      <c r="C103" s="5" t="str">
        <f>IFERROR(__xludf.DUMMYFUNCTION("GOOGLETRANSLATE(I103, ""th"", ""en"")
"),"A) Adjust the cow control strategy; B) Let the cow do its thing; C) Stop fighting; D) Notify the handler.")</f>
        <v>A) Adjust the cow control strategy; B) Let the cow do its thing; C) Stop fighting; D) Notify the handler.</v>
      </c>
      <c r="D103" s="5" t="str">
        <f>IFERROR(__xludf.DUMMYFUNCTION("GOOGLETRANSLATE(J103, ""th"", ""en"")
"),"A) Adjust cattle control strategies.")</f>
        <v>A) Adjust cattle control strategies.</v>
      </c>
      <c r="E103" s="5" t="str">
        <f>IFERROR(__xludf.DUMMYFUNCTION("GOOGLETRANSLATE(K103, ""th"", ""en"")
"),"Adjusting your control strategy can help you take better control of the situation.")</f>
        <v>Adjusting your control strategy can help you take better control of the situation.</v>
      </c>
      <c r="G103" s="6">
        <v>102.0</v>
      </c>
      <c r="H103" s="7" t="s">
        <v>368</v>
      </c>
      <c r="I103" s="7" t="s">
        <v>369</v>
      </c>
      <c r="J103" s="7" t="s">
        <v>370</v>
      </c>
      <c r="K103" s="7" t="s">
        <v>371</v>
      </c>
    </row>
    <row r="104" ht="14.25" customHeight="1">
      <c r="A104" s="4">
        <v>103.0</v>
      </c>
      <c r="B104" s="5" t="str">
        <f>IFERROR(__xludf.DUMMYFUNCTION("GOOGLETRANSLATE(H104, ""th"", ""en"")
"),"Your team is starting to have conflicts. What do you do?")</f>
        <v>Your team is starting to have conflicts. What do you do?</v>
      </c>
      <c r="C104" s="5" t="str">
        <f>IFERROR(__xludf.DUMMYFUNCTION("GOOGLETRANSLATE(I104, ""th"", ""en"")
"),"A) Try to resolve the conflict by talking; B) Let the conflict go; C) Stop the fighting; D) Blame the team.")</f>
        <v>A) Try to resolve the conflict by talking; B) Let the conflict go; C) Stop the fighting; D) Blame the team.</v>
      </c>
      <c r="D104" s="5" t="str">
        <f>IFERROR(__xludf.DUMMYFUNCTION("GOOGLETRANSLATE(J104, ""th"", ""en"")
"),"A) Try to resolve the conflict through discussion.")</f>
        <v>A) Try to resolve the conflict through discussion.</v>
      </c>
      <c r="E104" s="5" t="str">
        <f>IFERROR(__xludf.DUMMYFUNCTION("GOOGLETRANSLATE(K104, ""th"", ""en"")
"),"Resolving conflicts helps teams get back to working well together.")</f>
        <v>Resolving conflicts helps teams get back to working well together.</v>
      </c>
      <c r="G104" s="6">
        <v>103.0</v>
      </c>
      <c r="H104" s="7" t="s">
        <v>372</v>
      </c>
      <c r="I104" s="7" t="s">
        <v>373</v>
      </c>
      <c r="J104" s="7" t="s">
        <v>374</v>
      </c>
      <c r="K104" s="7" t="s">
        <v>375</v>
      </c>
    </row>
    <row r="105" ht="14.25" customHeight="1">
      <c r="A105" s="4">
        <v>104.0</v>
      </c>
      <c r="B105" s="5" t="str">
        <f>IFERROR(__xludf.DUMMYFUNCTION("GOOGLETRANSLATE(H105, ""th"", ""en"")
"),"You feel like you lack confidence in fighting. What should you do?")</f>
        <v>You feel like you lack confidence in fighting. What should you do?</v>
      </c>
      <c r="C105" s="5" t="str">
        <f>IFERROR(__xludf.DUMMYFUNCTION("GOOGLETRANSLATE(I105, ""th"", ""en"")
"),"A) Refocus and regain confidence; B) Stop fighting; C) Adjust your strategy immediately; D) Ask your trainer for advice.")</f>
        <v>A) Refocus and regain confidence; B) Stop fighting; C) Adjust your strategy immediately; D) Ask your trainer for advice.</v>
      </c>
      <c r="D105" s="5" t="str">
        <f>IFERROR(__xludf.DUMMYFUNCTION("GOOGLETRANSLATE(J105, ""th"", ""en"")
"),"A) Refocus and restore your confidence.")</f>
        <v>A) Refocus and restore your confidence.</v>
      </c>
      <c r="E105" s="5" t="str">
        <f>IFERROR(__xludf.DUMMYFUNCTION("GOOGLETRANSLATE(K105, ""th"", ""en"")
"),"Restoring your confidence gives you the strength to fight.")</f>
        <v>Restoring your confidence gives you the strength to fight.</v>
      </c>
      <c r="G105" s="6">
        <v>104.0</v>
      </c>
      <c r="H105" s="7" t="s">
        <v>376</v>
      </c>
      <c r="I105" s="7" t="s">
        <v>377</v>
      </c>
      <c r="J105" s="7" t="s">
        <v>378</v>
      </c>
      <c r="K105" s="7" t="s">
        <v>379</v>
      </c>
    </row>
    <row r="106" ht="14.25" customHeight="1">
      <c r="A106" s="4">
        <v>105.0</v>
      </c>
      <c r="B106" s="5" t="str">
        <f>IFERROR(__xludf.DUMMYFUNCTION("GOOGLETRANSLATE(H106, ""th"", ""en"")
"),"Your teammates are making more mistakes, what do you do?")</f>
        <v>Your teammates are making more mistakes, what do you do?</v>
      </c>
      <c r="C106" s="5" t="str">
        <f>IFERROR(__xludf.DUMMYFUNCTION("GOOGLETRANSLATE(I106, ""th"", ""en"")
"),"A) Help him find a solution and adapt; B) Let him do it himself; C) Stop fighting; D) Reprimand him loudly.")</f>
        <v>A) Help him find a solution and adapt; B) Let him do it himself; C) Stop fighting; D) Reprimand him loudly.</v>
      </c>
      <c r="D106" s="5" t="str">
        <f>IFERROR(__xludf.DUMMYFUNCTION("GOOGLETRANSLATE(J106, ""th"", ""en"")
"),"A) Help him find solutions and adapt.")</f>
        <v>A) Help him find solutions and adapt.</v>
      </c>
      <c r="E106" s="5" t="str">
        <f>IFERROR(__xludf.DUMMYFUNCTION("GOOGLETRANSLATE(K106, ""th"", ""en"")
"),"Helping your teammates will bring them back to full effectiveness.")</f>
        <v>Helping your teammates will bring them back to full effectiveness.</v>
      </c>
      <c r="G106" s="6">
        <v>105.0</v>
      </c>
      <c r="H106" s="7" t="s">
        <v>380</v>
      </c>
      <c r="I106" s="7" t="s">
        <v>381</v>
      </c>
      <c r="J106" s="7" t="s">
        <v>382</v>
      </c>
      <c r="K106" s="7" t="s">
        <v>383</v>
      </c>
    </row>
    <row r="107" ht="14.25" customHeight="1">
      <c r="A107" s="4">
        <v>106.0</v>
      </c>
      <c r="B107" s="5" t="str">
        <f>IFERROR(__xludf.DUMMYFUNCTION("GOOGLETRANSLATE(H107, ""th"", ""en"")
"),"The battle is getting harder and you feel powerless. What do you do?")</f>
        <v>The battle is getting harder and you feel powerless. What do you do?</v>
      </c>
      <c r="C107" s="5" t="str">
        <f>IFERROR(__xludf.DUMMYFUNCTION("GOOGLETRANSLATE(I107, ""th"", ""en"")
"),"A) Ask the team to help divide the time; B) Stop the fight; C) Adjust the fighting strategy immediately; D) Ask the coach for advice.")</f>
        <v>A) Ask the team to help divide the time; B) Stop the fight; C) Adjust the fighting strategy immediately; D) Ask the coach for advice.</v>
      </c>
      <c r="D107" s="5" t="str">
        <f>IFERROR(__xludf.DUMMYFUNCTION("GOOGLETRANSLATE(J107, ""th"", ""en"")
"),"A) Ask the team to help divide their time.")</f>
        <v>A) Ask the team to help divide their time.</v>
      </c>
      <c r="E107" s="5" t="str">
        <f>IFERROR(__xludf.DUMMYFUNCTION("GOOGLETRANSLATE(K107, ""th"", ""en"")
"),"Giving everyone a break will help increase their fighting power.")</f>
        <v>Giving everyone a break will help increase their fighting power.</v>
      </c>
      <c r="G107" s="6">
        <v>106.0</v>
      </c>
      <c r="H107" s="7" t="s">
        <v>384</v>
      </c>
      <c r="I107" s="7" t="s">
        <v>385</v>
      </c>
      <c r="J107" s="7" t="s">
        <v>386</v>
      </c>
      <c r="K107" s="7" t="s">
        <v>387</v>
      </c>
    </row>
    <row r="108" ht="14.25" customHeight="1">
      <c r="A108" s="4">
        <v>107.0</v>
      </c>
      <c r="B108" s="5" t="str">
        <f>IFERROR(__xludf.DUMMYFUNCTION("GOOGLETRANSLATE(H108, ""th"", ""en"")
"),"Your cow's control is starting to go awry, what should you do?")</f>
        <v>Your cow's control is starting to go awry, what should you do?</v>
      </c>
      <c r="C108" s="5" t="str">
        <f>IFERROR(__xludf.DUMMYFUNCTION("GOOGLETRANSLATE(I108, ""th"", ""en"")
"),"A) Immediately adjust the bull's posture and control; B) Let the bull do whatever it wants; C) Stop fighting; D) Notify the handler.")</f>
        <v>A) Immediately adjust the bull's posture and control; B) Let the bull do whatever it wants; C) Stop fighting; D) Notify the handler.</v>
      </c>
      <c r="D108" s="5" t="str">
        <f>IFERROR(__xludf.DUMMYFUNCTION("GOOGLETRANSLATE(J108, ""th"", ""en"")
"),"A) Immediately adjust the posture and control of the cow.")</f>
        <v>A) Immediately adjust the posture and control of the cow.</v>
      </c>
      <c r="E108" s="5" t="str">
        <f>IFERROR(__xludf.DUMMYFUNCTION("GOOGLETRANSLATE(K108, ""th"", ""en"")
"),"Adjusting your controls allows you to regain control of the situation.")</f>
        <v>Adjusting your controls allows you to regain control of the situation.</v>
      </c>
      <c r="G108" s="6">
        <v>107.0</v>
      </c>
      <c r="H108" s="7" t="s">
        <v>388</v>
      </c>
      <c r="I108" s="7" t="s">
        <v>389</v>
      </c>
      <c r="J108" s="7" t="s">
        <v>390</v>
      </c>
      <c r="K108" s="7" t="s">
        <v>391</v>
      </c>
    </row>
    <row r="109" ht="14.25" customHeight="1">
      <c r="A109" s="4">
        <v>108.0</v>
      </c>
      <c r="B109" s="5" t="str">
        <f>IFERROR(__xludf.DUMMYFUNCTION("GOOGLETRANSLATE(H109, ""th"", ""en"")
"),"You see your teammates starting to lose hope, what do you do?")</f>
        <v>You see your teammates starting to lose hope, what do you do?</v>
      </c>
      <c r="C109" s="5" t="str">
        <f>IFERROR(__xludf.DUMMYFUNCTION("GOOGLETRANSLATE(I109, ""th"", ""en"")
"),"A) Give him encouragement and reassurance; B) Let him act on his feelings; C) Stop the fight; D) Reprimand him loudly.")</f>
        <v>A) Give him encouragement and reassurance; B) Let him act on his feelings; C) Stop the fight; D) Reprimand him loudly.</v>
      </c>
      <c r="D109" s="5" t="str">
        <f>IFERROR(__xludf.DUMMYFUNCTION("GOOGLETRANSLATE(J109, ""th"", ""en"")
"),"A) Provide encouragement and boost confidence.")</f>
        <v>A) Provide encouragement and boost confidence.</v>
      </c>
      <c r="E109" s="5" t="str">
        <f>IFERROR(__xludf.DUMMYFUNCTION("GOOGLETRANSLATE(K109, ""th"", ""en"")
"),"Encouragement helps build team confidence.")</f>
        <v>Encouragement helps build team confidence.</v>
      </c>
      <c r="G109" s="6">
        <v>108.0</v>
      </c>
      <c r="H109" s="7" t="s">
        <v>392</v>
      </c>
      <c r="I109" s="7" t="s">
        <v>393</v>
      </c>
      <c r="J109" s="7" t="s">
        <v>130</v>
      </c>
      <c r="K109" s="7" t="s">
        <v>394</v>
      </c>
    </row>
    <row r="110" ht="14.25" customHeight="1">
      <c r="A110" s="4">
        <v>109.0</v>
      </c>
      <c r="B110" s="5" t="str">
        <f>IFERROR(__xludf.DUMMYFUNCTION("GOOGLETRANSLATE(H110, ""th"", ""en"")
"),"The fight is dragging on and you're feeling stressed. What do you do?")</f>
        <v>The fight is dragging on and you're feeling stressed. What do you do?</v>
      </c>
      <c r="C110" s="5" t="str">
        <f>IFERROR(__xludf.DUMMYFUNCTION("GOOGLETRANSLATE(I110, ""th"", ""en"")
"),"A) Relax and refocus; B) Stop fighting; C) Change tactics immediately; D) Ask your trainer for advice.")</f>
        <v>A) Relax and refocus; B) Stop fighting; C) Change tactics immediately; D) Ask your trainer for advice.</v>
      </c>
      <c r="D110" s="5" t="str">
        <f>IFERROR(__xludf.DUMMYFUNCTION("GOOGLETRANSLATE(J110, ""th"", ""en"")
"),"A) Relax and refocus.")</f>
        <v>A) Relax and refocus.</v>
      </c>
      <c r="E110" s="5" t="str">
        <f>IFERROR(__xludf.DUMMYFUNCTION("GOOGLETRANSLATE(K110, ""th"", ""en"")
"),"Meditation reduces stress and increases fighting power.")</f>
        <v>Meditation reduces stress and increases fighting power.</v>
      </c>
      <c r="G110" s="6">
        <v>109.0</v>
      </c>
      <c r="H110" s="7" t="s">
        <v>395</v>
      </c>
      <c r="I110" s="7" t="s">
        <v>396</v>
      </c>
      <c r="J110" s="7" t="s">
        <v>316</v>
      </c>
      <c r="K110" s="7" t="s">
        <v>397</v>
      </c>
    </row>
    <row r="111" ht="14.25" customHeight="1">
      <c r="A111" s="4">
        <v>110.0</v>
      </c>
      <c r="B111" s="5" t="str">
        <f>IFERROR(__xludf.DUMMYFUNCTION("GOOGLETRANSLATE(H111, ""th"", ""en"")
"),"Your team is starting to make frequent miscommunications. What should you do?")</f>
        <v>Your team is starting to make frequent miscommunications. What should you do?</v>
      </c>
      <c r="C111" s="5" t="str">
        <f>IFERROR(__xludf.DUMMYFUNCTION("GOOGLETRANSLATE(I111, ""th"", ""en"")
"),"A) Help improve coordination; B) Let the team do its own thing; C) Stop fighting; D) Blame the team.")</f>
        <v>A) Help improve coordination; B) Let the team do its own thing; C) Stop fighting; D) Blame the team.</v>
      </c>
      <c r="D111" s="5" t="str">
        <f>IFERROR(__xludf.DUMMYFUNCTION("GOOGLETRANSLATE(J111, ""th"", ""en"")
"),"A) Help improve coordination.")</f>
        <v>A) Help improve coordination.</v>
      </c>
      <c r="E111" s="5" t="str">
        <f>IFERROR(__xludf.DUMMYFUNCTION("GOOGLETRANSLATE(K111, ""th"", ""en"")
"),"Improving coordination helps teams work better.")</f>
        <v>Improving coordination helps teams work better.</v>
      </c>
      <c r="G111" s="6">
        <v>110.0</v>
      </c>
      <c r="H111" s="7" t="s">
        <v>398</v>
      </c>
      <c r="I111" s="7" t="s">
        <v>399</v>
      </c>
      <c r="J111" s="7" t="s">
        <v>400</v>
      </c>
      <c r="K111" s="7" t="s">
        <v>401</v>
      </c>
    </row>
    <row r="112" ht="14.25" customHeight="1">
      <c r="A112" s="4">
        <v>111.0</v>
      </c>
      <c r="B112" s="5" t="str">
        <f>IFERROR(__xludf.DUMMYFUNCTION("GOOGLETRANSLATE(H112, ""th"", ""en"")
"),"The battle is heating up and you feel like you need to adapt. What do you do?")</f>
        <v>The battle is heating up and you feel like you need to adapt. What do you do?</v>
      </c>
      <c r="C112" s="5" t="str">
        <f>IFERROR(__xludf.DUMMYFUNCTION("GOOGLETRANSLATE(I112, ""th"", ""en"")
"),"A) Adjust tactics and change your control posture; B) Stop fighting; C) Adjust your plans immediately; D) Ask your trainer for advice.")</f>
        <v>A) Adjust tactics and change your control posture; B) Stop fighting; C) Adjust your plans immediately; D) Ask your trainer for advice.</v>
      </c>
      <c r="D112" s="5" t="str">
        <f>IFERROR(__xludf.DUMMYFUNCTION("GOOGLETRANSLATE(J112, ""th"", ""en"")
"),"A) Adjust strategies and change control postures.")</f>
        <v>A) Adjust strategies and change control postures.</v>
      </c>
      <c r="E112" s="5" t="str">
        <f>IFERROR(__xludf.DUMMYFUNCTION("GOOGLETRANSLATE(K112, ""th"", ""en"")
"),"Strategic adjustments help you be prepared to deal with situations.")</f>
        <v>Strategic adjustments help you be prepared to deal with situations.</v>
      </c>
      <c r="G112" s="6">
        <v>111.0</v>
      </c>
      <c r="H112" s="7" t="s">
        <v>402</v>
      </c>
      <c r="I112" s="7" t="s">
        <v>403</v>
      </c>
      <c r="J112" s="7" t="s">
        <v>404</v>
      </c>
      <c r="K112" s="7" t="s">
        <v>405</v>
      </c>
    </row>
    <row r="113" ht="14.25" customHeight="1">
      <c r="A113" s="4">
        <v>112.0</v>
      </c>
      <c r="B113" s="5" t="str">
        <f>IFERROR(__xludf.DUMMYFUNCTION("GOOGLETRANSLATE(H113, ""th"", ""en"")
"),"You see your teammates starting to feel exhausted, what do you do?")</f>
        <v>You see your teammates starting to feel exhausted, what do you do?</v>
      </c>
      <c r="C113" s="5" t="str">
        <f>IFERROR(__xludf.DUMMYFUNCTION("GOOGLETRANSLATE(I113, ""th"", ""en"")
"),"A) Help him rest and recover; B) Let him do it himself; C) Stop fighting; D) Reprimand him loudly.")</f>
        <v>A) Help him rest and recover; B) Let him do it himself; C) Stop fighting; D) Reprimand him loudly.</v>
      </c>
      <c r="D113" s="5" t="str">
        <f>IFERROR(__xludf.DUMMYFUNCTION("GOOGLETRANSLATE(J113, ""th"", ""en"")
"),"A) Help him rest and recover.")</f>
        <v>A) Help him rest and recover.</v>
      </c>
      <c r="E113" s="5" t="str">
        <f>IFERROR(__xludf.DUMMYFUNCTION("GOOGLETRANSLATE(K113, ""th"", ""en"")
"),"Taking breaks allows teammates to recharge.")</f>
        <v>Taking breaks allows teammates to recharge.</v>
      </c>
      <c r="G113" s="6">
        <v>112.0</v>
      </c>
      <c r="H113" s="7" t="s">
        <v>334</v>
      </c>
      <c r="I113" s="7" t="s">
        <v>335</v>
      </c>
      <c r="J113" s="7" t="s">
        <v>336</v>
      </c>
      <c r="K113" s="7" t="s">
        <v>406</v>
      </c>
    </row>
    <row r="114" ht="14.25" customHeight="1">
      <c r="A114" s="4">
        <v>113.0</v>
      </c>
      <c r="B114" s="5" t="str">
        <f>IFERROR(__xludf.DUMMYFUNCTION("GOOGLETRANSLATE(H114, ""th"", ""en"")
"),"The fight is getting more tense. What will you do?")</f>
        <v>The fight is getting more tense. What will you do?</v>
      </c>
      <c r="C114" s="5" t="str">
        <f>IFERROR(__xludf.DUMMYFUNCTION("GOOGLETRANSLATE(I114, ""th"", ""en"")
"),"A) Relax and refocus; B) Stop fighting; C) Adjust your strategy immediately; D) Ask your trainer for advice.")</f>
        <v>A) Relax and refocus; B) Stop fighting; C) Adjust your strategy immediately; D) Ask your trainer for advice.</v>
      </c>
      <c r="D114" s="5" t="str">
        <f>IFERROR(__xludf.DUMMYFUNCTION("GOOGLETRANSLATE(J114, ""th"", ""en"")
"),"A) Relax and refocus.")</f>
        <v>A) Relax and refocus.</v>
      </c>
      <c r="E114" s="5" t="str">
        <f>IFERROR(__xludf.DUMMYFUNCTION("GOOGLETRANSLATE(K114, ""th"", ""en"")
"),"Concentration helps you stay focused and ready for battle.")</f>
        <v>Concentration helps you stay focused and ready for battle.</v>
      </c>
      <c r="G114" s="6">
        <v>113.0</v>
      </c>
      <c r="H114" s="7" t="s">
        <v>407</v>
      </c>
      <c r="I114" s="7" t="s">
        <v>408</v>
      </c>
      <c r="J114" s="7" t="s">
        <v>316</v>
      </c>
      <c r="K114" s="7" t="s">
        <v>409</v>
      </c>
    </row>
    <row r="115" ht="14.25" customHeight="1">
      <c r="A115" s="4">
        <v>114.0</v>
      </c>
      <c r="B115" s="5" t="str">
        <f>IFERROR(__xludf.DUMMYFUNCTION("GOOGLETRANSLATE(H115, ""th"", ""en"")
"),"You see that your cow is starting to act strangely, what should you do?")</f>
        <v>You see that your cow is starting to act strangely, what should you do?</v>
      </c>
      <c r="C115" s="5" t="str">
        <f>IFERROR(__xludf.DUMMYFUNCTION("GOOGLETRANSLATE(I115, ""th"", ""en"")
"),"A) Notify the handler immediately; B) Stop the fight; C) Adjust the bull's control; D) Let the bull rest.")</f>
        <v>A) Notify the handler immediately; B) Stop the fight; C) Adjust the bull's control; D) Let the bull rest.</v>
      </c>
      <c r="D115" s="5" t="str">
        <f>IFERROR(__xludf.DUMMYFUNCTION("GOOGLETRANSLATE(J115, ""th"", ""en"")
"),"A) Notify the supervisor immediately.")</f>
        <v>A) Notify the supervisor immediately.</v>
      </c>
      <c r="E115" s="5" t="str">
        <f>IFERROR(__xludf.DUMMYFUNCTION("GOOGLETRANSLATE(K115, ""th"", ""en"")
"),"Notifying the caretaker will ensure that the cow receives timely care.")</f>
        <v>Notifying the caretaker will ensure that the cow receives timely care.</v>
      </c>
      <c r="G115" s="6">
        <v>114.0</v>
      </c>
      <c r="H115" s="7" t="s">
        <v>410</v>
      </c>
      <c r="I115" s="7" t="s">
        <v>411</v>
      </c>
      <c r="J115" s="7" t="s">
        <v>199</v>
      </c>
      <c r="K115" s="7" t="s">
        <v>412</v>
      </c>
    </row>
    <row r="116" ht="14.25" customHeight="1">
      <c r="A116" s="4">
        <v>115.0</v>
      </c>
      <c r="B116" s="5" t="str">
        <f>IFERROR(__xludf.DUMMYFUNCTION("GOOGLETRANSLATE(H116, ""th"", ""en"")
"),"Your cow's control is starting to get out of control, what do you do?")</f>
        <v>Your cow's control is starting to get out of control, what do you do?</v>
      </c>
      <c r="C116" s="5" t="str">
        <f>IFERROR(__xludf.DUMMYFUNCTION("GOOGLETRANSLATE(I116, ""th"", ""en"")
"),"A) Immediately adjust control and posture; B) Let the bull do its thing; C) Stop fighting; D) Ask the trainer for advice.")</f>
        <v>A) Immediately adjust control and posture; B) Let the bull do its thing; C) Stop fighting; D) Ask the trainer for advice.</v>
      </c>
      <c r="D116" s="5" t="str">
        <f>IFERROR(__xludf.DUMMYFUNCTION("GOOGLETRANSLATE(J116, ""th"", ""en"")
"),"A) Adjust controls and gestures instantly.")</f>
        <v>A) Adjust controls and gestures instantly.</v>
      </c>
      <c r="E116" s="5" t="str">
        <f>IFERROR(__xludf.DUMMYFUNCTION("GOOGLETRANSLATE(K116, ""th"", ""en"")
"),"Posture adjustments help restore normal control of the cow.")</f>
        <v>Posture adjustments help restore normal control of the cow.</v>
      </c>
      <c r="G116" s="6">
        <v>115.0</v>
      </c>
      <c r="H116" s="7" t="s">
        <v>413</v>
      </c>
      <c r="I116" s="7" t="s">
        <v>414</v>
      </c>
      <c r="J116" s="7" t="s">
        <v>415</v>
      </c>
      <c r="K116" s="7" t="s">
        <v>416</v>
      </c>
    </row>
    <row r="117" ht="14.25" customHeight="1">
      <c r="A117" s="4">
        <v>116.0</v>
      </c>
      <c r="B117" s="5" t="str">
        <f>IFERROR(__xludf.DUMMYFUNCTION("GOOGLETRANSLATE(H117, ""th"", ""en"")
"),"Your team is starting to struggle, what should you do?")</f>
        <v>Your team is starting to struggle, what should you do?</v>
      </c>
      <c r="C117" s="5" t="str">
        <f>IFERROR(__xludf.DUMMYFUNCTION("GOOGLETRANSLATE(I117, ""th"", ""en"")
"),"A) Motivate and energize the team; B) Let the team act on its emotions; C) Stop fighting; D) Criticize the team.")</f>
        <v>A) Motivate and energize the team; B) Let the team act on its emotions; C) Stop fighting; D) Criticize the team.</v>
      </c>
      <c r="D117" s="5" t="str">
        <f>IFERROR(__xludf.DUMMYFUNCTION("GOOGLETRANSLATE(J117, ""th"", ""en"")
"),"A) Motivate and energize the team.")</f>
        <v>A) Motivate and energize the team.</v>
      </c>
      <c r="E117" s="5" t="str">
        <f>IFERROR(__xludf.DUMMYFUNCTION("GOOGLETRANSLATE(K117, ""th"", ""en"")
"),"Motivation helps the team regain focus.")</f>
        <v>Motivation helps the team regain focus.</v>
      </c>
      <c r="G117" s="6">
        <v>116.0</v>
      </c>
      <c r="H117" s="7" t="s">
        <v>417</v>
      </c>
      <c r="I117" s="7" t="s">
        <v>418</v>
      </c>
      <c r="J117" s="7" t="s">
        <v>419</v>
      </c>
      <c r="K117" s="7" t="s">
        <v>420</v>
      </c>
    </row>
    <row r="118" ht="14.25" customHeight="1">
      <c r="A118" s="4">
        <v>117.0</v>
      </c>
      <c r="B118" s="5" t="str">
        <f>IFERROR(__xludf.DUMMYFUNCTION("GOOGLETRANSLATE(H118, ""th"", ""en"")
"),"You feel like you have no control over the situation. What do you do?")</f>
        <v>You feel like you have no control over the situation. What do you do?</v>
      </c>
      <c r="C118" s="5" t="str">
        <f>IFERROR(__xludf.DUMMYFUNCTION("GOOGLETRANSLATE(I118, ""th"", ""en"")
"),"A) Adjust your strategy and refocus; B) Stop the fight; C) Ask your trainer for advice; D) Let the situation develop on its own.")</f>
        <v>A) Adjust your strategy and refocus; B) Stop the fight; C) Ask your trainer for advice; D) Let the situation develop on its own.</v>
      </c>
      <c r="D118" s="5" t="str">
        <f>IFERROR(__xludf.DUMMYFUNCTION("GOOGLETRANSLATE(J118, ""th"", ""en"")
"),"A) Adjust your strategy and refocus.")</f>
        <v>A) Adjust your strategy and refocus.</v>
      </c>
      <c r="E118" s="5" t="str">
        <f>IFERROR(__xludf.DUMMYFUNCTION("GOOGLETRANSLATE(K118, ""th"", ""en"")
"),"Adjusting your strategy helps you get back in control.")</f>
        <v>Adjusting your strategy helps you get back in control.</v>
      </c>
      <c r="G118" s="6">
        <v>117.0</v>
      </c>
      <c r="H118" s="7" t="s">
        <v>421</v>
      </c>
      <c r="I118" s="7" t="s">
        <v>422</v>
      </c>
      <c r="J118" s="7" t="s">
        <v>423</v>
      </c>
      <c r="K118" s="7" t="s">
        <v>424</v>
      </c>
    </row>
    <row r="119" ht="14.25" customHeight="1">
      <c r="A119" s="4">
        <v>118.0</v>
      </c>
      <c r="B119" s="5" t="str">
        <f>IFERROR(__xludf.DUMMYFUNCTION("GOOGLETRANSLATE(H119, ""th"", ""en"")
"),"Your team needs your advice at a crucial moment. What can you do?")</f>
        <v>Your team needs your advice at a crucial moment. What can you do?</v>
      </c>
      <c r="C119" s="5" t="str">
        <f>IFERROR(__xludf.DUMMYFUNCTION("GOOGLETRANSLATE(I119, ""th"", ""en"")
"),"A) Give advice and help adjust strategies; B) Let the team do its own thing; C) Stop fighting; D) Ask the coach for advice.")</f>
        <v>A) Give advice and help adjust strategies; B) Let the team do its own thing; C) Stop fighting; D) Ask the coach for advice.</v>
      </c>
      <c r="D119" s="5" t="str">
        <f>IFERROR(__xludf.DUMMYFUNCTION("GOOGLETRANSLATE(J119, ""th"", ""en"")
"),"A) Provide advice and help adjust strategies.")</f>
        <v>A) Provide advice and help adjust strategies.</v>
      </c>
      <c r="E119" s="5" t="str">
        <f>IFERROR(__xludf.DUMMYFUNCTION("GOOGLETRANSLATE(K119, ""th"", ""en"")
"),"Providing guidance helps the team perform better.")</f>
        <v>Providing guidance helps the team perform better.</v>
      </c>
      <c r="G119" s="6">
        <v>118.0</v>
      </c>
      <c r="H119" s="7" t="s">
        <v>425</v>
      </c>
      <c r="I119" s="7" t="s">
        <v>426</v>
      </c>
      <c r="J119" s="7" t="s">
        <v>427</v>
      </c>
      <c r="K119" s="7" t="s">
        <v>428</v>
      </c>
    </row>
    <row r="120" ht="14.25" customHeight="1">
      <c r="A120" s="4">
        <v>119.0</v>
      </c>
      <c r="B120" s="5" t="str">
        <f>IFERROR(__xludf.DUMMYFUNCTION("GOOGLETRANSLATE(H120, ""th"", ""en"")
"),"The battle is heating up and you need to make a quick decision. What will you do?")</f>
        <v>The battle is heating up and you need to make a quick decision. What will you do?</v>
      </c>
      <c r="C120" s="5" t="str">
        <f>IFERROR(__xludf.DUMMYFUNCTION("GOOGLETRANSLATE(I120, ""th"", ""en"")
"),"A) Immediately adjust your strategy and follow the plan; B) Stop the fight; C) Change your plan immediately; D) Ask your trainer for advice.")</f>
        <v>A) Immediately adjust your strategy and follow the plan; B) Stop the fight; C) Change your plan immediately; D) Ask your trainer for advice.</v>
      </c>
      <c r="D120" s="5" t="str">
        <f>IFERROR(__xludf.DUMMYFUNCTION("GOOGLETRANSLATE(J120, ""th"", ""en"")
"),"A) Adjust strategies immediately and follow the plan.")</f>
        <v>A) Adjust strategies immediately and follow the plan.</v>
      </c>
      <c r="E120" s="5" t="str">
        <f>IFERROR(__xludf.DUMMYFUNCTION("GOOGLETRANSLATE(K120, ""th"", ""en"")
"),"Following a plan gives you confidence in your decisions.")</f>
        <v>Following a plan gives you confidence in your decisions.</v>
      </c>
      <c r="G120" s="6">
        <v>119.0</v>
      </c>
      <c r="H120" s="7" t="s">
        <v>429</v>
      </c>
      <c r="I120" s="7" t="s">
        <v>430</v>
      </c>
      <c r="J120" s="7" t="s">
        <v>431</v>
      </c>
      <c r="K120" s="7" t="s">
        <v>364</v>
      </c>
    </row>
    <row r="121" ht="14.25" customHeight="1">
      <c r="A121" s="4">
        <v>120.0</v>
      </c>
      <c r="B121" s="5" t="str">
        <f>IFERROR(__xludf.DUMMYFUNCTION("GOOGLETRANSLATE(H121, ""th"", ""en"")
"),"You feel unsure of the strategy you are using. What should you do?")</f>
        <v>You feel unsure of the strategy you are using. What should you do?</v>
      </c>
      <c r="C121" s="5" t="str">
        <f>IFERROR(__xludf.DUMMYFUNCTION("GOOGLETRANSLATE(I121, ""th"", ""en"")
"),"A) Ask for advice from the trainer; B) Adjust the strategy immediately; C) Stop the fight; D) Follow the established strategy.")</f>
        <v>A) Ask for advice from the trainer; B) Adjust the strategy immediately; C) Stop the fight; D) Follow the established strategy.</v>
      </c>
      <c r="D121" s="5" t="str">
        <f>IFERROR(__xludf.DUMMYFUNCTION("GOOGLETRANSLATE(J121, ""th"", ""en"")
"),"A) Ask for advice from the trainer.")</f>
        <v>A) Ask for advice from the trainer.</v>
      </c>
      <c r="E121" s="5" t="str">
        <f>IFERROR(__xludf.DUMMYFUNCTION("GOOGLETRANSLATE(K121, ""th"", ""en"")
"),"Seeking advice from a coach can help you feel confident in your decision.")</f>
        <v>Seeking advice from a coach can help you feel confident in your decision.</v>
      </c>
      <c r="G121" s="6">
        <v>120.0</v>
      </c>
      <c r="H121" s="7" t="s">
        <v>432</v>
      </c>
      <c r="I121" s="7" t="s">
        <v>433</v>
      </c>
      <c r="J121" s="7" t="s">
        <v>284</v>
      </c>
      <c r="K121" s="7" t="s">
        <v>434</v>
      </c>
    </row>
    <row r="122" ht="14.25" customHeight="1">
      <c r="A122" s="4">
        <v>121.0</v>
      </c>
      <c r="B122" s="5" t="str">
        <f>IFERROR(__xludf.DUMMYFUNCTION("GOOGLETRANSLATE(H122, ""th"", ""en"")
"),"The fight is getting longer and you're starting to feel tired. What do you do?")</f>
        <v>The fight is getting longer and you're starting to feel tired. What do you do?</v>
      </c>
      <c r="C122" s="5" t="str">
        <f>IFERROR(__xludf.DUMMYFUNCTION("GOOGLETRANSLATE(I122, ""th"", ""en"")
"),"A) Ask the team to help switch the battle time; B) Stop the battle immediately; C) Increase the battle speed; D) Ask the trainer for advice.")</f>
        <v>A) Ask the team to help switch the battle time; B) Stop the battle immediately; C) Increase the battle speed; D) Ask the trainer for advice.</v>
      </c>
      <c r="D122" s="5" t="str">
        <f>IFERROR(__xludf.DUMMYFUNCTION("GOOGLETRANSLATE(J122, ""th"", ""en"")
"),"A) Ask the team to help switch the battle times.")</f>
        <v>A) Ask the team to help switch the battle times.</v>
      </c>
      <c r="E122" s="5" t="str">
        <f>IFERROR(__xludf.DUMMYFUNCTION("GOOGLETRANSLATE(K122, ""th"", ""en"")
"),"Having your team take turns in combat will help reduce fatigue.")</f>
        <v>Having your team take turns in combat will help reduce fatigue.</v>
      </c>
      <c r="G122" s="6">
        <v>121.0</v>
      </c>
      <c r="H122" s="7" t="s">
        <v>435</v>
      </c>
      <c r="I122" s="7" t="s">
        <v>436</v>
      </c>
      <c r="J122" s="7" t="s">
        <v>437</v>
      </c>
      <c r="K122" s="7" t="s">
        <v>438</v>
      </c>
    </row>
    <row r="123" ht="14.25" customHeight="1">
      <c r="A123" s="4">
        <v>122.0</v>
      </c>
      <c r="B123" s="5" t="str">
        <f>IFERROR(__xludf.DUMMYFUNCTION("GOOGLETRANSLATE(H123, ""th"", ""en"")
"),"Your teammate makes a mistake at a crucial moment. What do you do?")</f>
        <v>Your teammate makes a mistake at a crucial moment. What do you do?</v>
      </c>
      <c r="C123" s="5" t="str">
        <f>IFERROR(__xludf.DUMMYFUNCTION("GOOGLETRANSLATE(I123, ""th"", ""en"")
"),"A) Help him correct himself and encourage him; B) Reprimand him loudly; C) Stop the fighting; D) Let him handle it himself.")</f>
        <v>A) Help him correct himself and encourage him; B) Reprimand him loudly; C) Stop the fighting; D) Let him handle it himself.</v>
      </c>
      <c r="D123" s="5" t="str">
        <f>IFERROR(__xludf.DUMMYFUNCTION("GOOGLETRANSLATE(J123, ""th"", ""en"")
"),"A) Help him fix it and give him encouragement.")</f>
        <v>A) Help him fix it and give him encouragement.</v>
      </c>
      <c r="E123" s="5" t="str">
        <f>IFERROR(__xludf.DUMMYFUNCTION("GOOGLETRANSLATE(K123, ""th"", ""en"")
"),"Encouragement boosts confidence and reduces stress.")</f>
        <v>Encouragement boosts confidence and reduces stress.</v>
      </c>
      <c r="G123" s="6">
        <v>122.0</v>
      </c>
      <c r="H123" s="7" t="s">
        <v>439</v>
      </c>
      <c r="I123" s="7" t="s">
        <v>440</v>
      </c>
      <c r="J123" s="7" t="s">
        <v>441</v>
      </c>
      <c r="K123" s="7" t="s">
        <v>442</v>
      </c>
    </row>
    <row r="124" ht="14.25" customHeight="1">
      <c r="A124" s="4">
        <v>123.0</v>
      </c>
      <c r="B124" s="5" t="str">
        <f>IFERROR(__xludf.DUMMYFUNCTION("GOOGLETRANSLATE(H124, ""th"", ""en"")
"),"You notice that your teammates are starting to feel tired. What do you do?")</f>
        <v>You notice that your teammates are starting to feel tired. What do you do?</v>
      </c>
      <c r="C124" s="5" t="str">
        <f>IFERROR(__xludf.DUMMYFUNCTION("GOOGLETRANSLATE(I124, ""th"", ""en"")
"),"A) Encourage and motivate him; B) Let him do it himself; C) Stop fighting; D) Reprimand him loudly.")</f>
        <v>A) Encourage and motivate him; B) Let him do it himself; C) Stop fighting; D) Reprimand him loudly.</v>
      </c>
      <c r="D124" s="5" t="str">
        <f>IFERROR(__xludf.DUMMYFUNCTION("GOOGLETRANSLATE(J124, ""th"", ""en"")
"),"A) Encourage and motivate him.")</f>
        <v>A) Encourage and motivate him.</v>
      </c>
      <c r="E124" s="5" t="str">
        <f>IFERROR(__xludf.DUMMYFUNCTION("GOOGLETRANSLATE(K124, ""th"", ""en"")
"),"Encouragement helps boost energy and commitment among teammates.")</f>
        <v>Encouragement helps boost energy and commitment among teammates.</v>
      </c>
      <c r="G124" s="6">
        <v>123.0</v>
      </c>
      <c r="H124" s="7" t="s">
        <v>443</v>
      </c>
      <c r="I124" s="7" t="s">
        <v>444</v>
      </c>
      <c r="J124" s="7" t="s">
        <v>445</v>
      </c>
      <c r="K124" s="7" t="s">
        <v>446</v>
      </c>
    </row>
    <row r="125" ht="14.25" customHeight="1">
      <c r="A125" s="4">
        <v>124.0</v>
      </c>
      <c r="B125" s="5" t="str">
        <f>IFERROR(__xludf.DUMMYFUNCTION("GOOGLETRANSLATE(H125, ""th"", ""en"")
"),"You feel like you can't control your cows well, what do you do?")</f>
        <v>You feel like you can't control your cows well, what do you do?</v>
      </c>
      <c r="C125" s="5" t="str">
        <f>IFERROR(__xludf.DUMMYFUNCTION("GOOGLETRANSLATE(I125, ""th"", ""en"")
"),"A) Immediately adjust the bull's posture and control; B) Let the bull do whatever it wants; C) Stop fighting; D) Ask the trainer for advice.")</f>
        <v>A) Immediately adjust the bull's posture and control; B) Let the bull do whatever it wants; C) Stop fighting; D) Ask the trainer for advice.</v>
      </c>
      <c r="D125" s="5" t="str">
        <f>IFERROR(__xludf.DUMMYFUNCTION("GOOGLETRANSLATE(J125, ""th"", ""en"")
"),"A) Immediately adjust the posture and control of the cow.")</f>
        <v>A) Immediately adjust the posture and control of the cow.</v>
      </c>
      <c r="E125" s="5" t="str">
        <f>IFERROR(__xludf.DUMMYFUNCTION("GOOGLETRANSLATE(K125, ""th"", ""en"")
"),"Posture adjustments help you take better control of the situation.")</f>
        <v>Posture adjustments help you take better control of the situation.</v>
      </c>
      <c r="G125" s="6">
        <v>124.0</v>
      </c>
      <c r="H125" s="7" t="s">
        <v>447</v>
      </c>
      <c r="I125" s="7" t="s">
        <v>448</v>
      </c>
      <c r="J125" s="7" t="s">
        <v>390</v>
      </c>
      <c r="K125" s="7" t="s">
        <v>449</v>
      </c>
    </row>
    <row r="126" ht="14.25" customHeight="1">
      <c r="A126" s="4">
        <v>125.0</v>
      </c>
      <c r="B126" s="5" t="str">
        <f>IFERROR(__xludf.DUMMYFUNCTION("GOOGLETRANSLATE(H126, ""th"", ""en"")
"),"Your team is starting to not coordinate well. What should you do?")</f>
        <v>Your team is starting to not coordinate well. What should you do?</v>
      </c>
      <c r="C126" s="5" t="str">
        <f>IFERROR(__xludf.DUMMYFUNCTION("GOOGLETRANSLATE(I126, ""th"", ""en"")
"),"A) Help improve coordination and motivate the team; B) Let the team do its thing; C) Stop fighting; D) Blame the team.")</f>
        <v>A) Help improve coordination and motivate the team; B) Let the team do its thing; C) Stop fighting; D) Blame the team.</v>
      </c>
      <c r="D126" s="5" t="str">
        <f>IFERROR(__xludf.DUMMYFUNCTION("GOOGLETRANSLATE(J126, ""th"", ""en"")
"),"A) Help improve coordination and motivate the team.")</f>
        <v>A) Help improve coordination and motivate the team.</v>
      </c>
      <c r="E126" s="5" t="str">
        <f>IFERROR(__xludf.DUMMYFUNCTION("GOOGLETRANSLATE(K126, ""th"", ""en"")
"),"Helping the team coordinate will increase the effectiveness of the fight.")</f>
        <v>Helping the team coordinate will increase the effectiveness of the fight.</v>
      </c>
      <c r="G126" s="6">
        <v>125.0</v>
      </c>
      <c r="H126" s="7" t="s">
        <v>450</v>
      </c>
      <c r="I126" s="7" t="s">
        <v>451</v>
      </c>
      <c r="J126" s="7" t="s">
        <v>452</v>
      </c>
      <c r="K126" s="7" t="s">
        <v>453</v>
      </c>
    </row>
    <row r="127" ht="14.25" customHeight="1">
      <c r="A127" s="4">
        <v>126.0</v>
      </c>
      <c r="B127" s="5" t="str">
        <f>IFERROR(__xludf.DUMMYFUNCTION("GOOGLETRANSLATE(H127, ""th"", ""en"")
"),"The situation is getting tense and you need to make a quick decision. What will you do?")</f>
        <v>The situation is getting tense and you need to make a quick decision. What will you do?</v>
      </c>
      <c r="C127" s="5" t="str">
        <f>IFERROR(__xludf.DUMMYFUNCTION("GOOGLETRANSLATE(I127, ""th"", ""en"")
"),"A) Immediately adjust your strategy and follow the plan; B) Stop the fight; C) Immediately change your plan; D) Ask your trainer for advice.")</f>
        <v>A) Immediately adjust your strategy and follow the plan; B) Stop the fight; C) Immediately change your plan; D) Ask your trainer for advice.</v>
      </c>
      <c r="D127" s="5" t="str">
        <f>IFERROR(__xludf.DUMMYFUNCTION("GOOGLETRANSLATE(J127, ""th"", ""en"")
"),"A) Adjust strategies immediately and follow the plan.")</f>
        <v>A) Adjust strategies immediately and follow the plan.</v>
      </c>
      <c r="E127" s="5" t="str">
        <f>IFERROR(__xludf.DUMMYFUNCTION("GOOGLETRANSLATE(K127, ""th"", ""en"")
"),"Following a plan helps you make confident decisions.")</f>
        <v>Following a plan helps you make confident decisions.</v>
      </c>
      <c r="G127" s="6">
        <v>126.0</v>
      </c>
      <c r="H127" s="7" t="s">
        <v>454</v>
      </c>
      <c r="I127" s="7" t="s">
        <v>455</v>
      </c>
      <c r="J127" s="7" t="s">
        <v>431</v>
      </c>
      <c r="K127" s="7" t="s">
        <v>456</v>
      </c>
    </row>
    <row r="128" ht="14.25" customHeight="1">
      <c r="A128" s="4">
        <v>127.0</v>
      </c>
      <c r="B128" s="5" t="str">
        <f>IFERROR(__xludf.DUMMYFUNCTION("GOOGLETRANSLATE(H128, ""th"", ""en"")
"),"You feel like your team lacks confidence. What should you do?")</f>
        <v>You feel like your team lacks confidence. What should you do?</v>
      </c>
      <c r="C128" s="5" t="str">
        <f>IFERROR(__xludf.DUMMYFUNCTION("GOOGLETRANSLATE(I128, ""th"", ""en"")
"),"A) Give encouragement and boost confidence; B) Let the team act on their emotions; C) Stop fighting; D) Criticize the team.")</f>
        <v>A) Give encouragement and boost confidence; B) Let the team act on their emotions; C) Stop fighting; D) Criticize the team.</v>
      </c>
      <c r="D128" s="5" t="str">
        <f>IFERROR(__xludf.DUMMYFUNCTION("GOOGLETRANSLATE(J128, ""th"", ""en"")
"),"A) Provide encouragement and boost confidence.")</f>
        <v>A) Provide encouragement and boost confidence.</v>
      </c>
      <c r="E128" s="5" t="str">
        <f>IFERROR(__xludf.DUMMYFUNCTION("GOOGLETRANSLATE(K128, ""th"", ""en"")
"),"Encouragement helps build confidence and commitment in the team.")</f>
        <v>Encouragement helps build confidence and commitment in the team.</v>
      </c>
      <c r="G128" s="6">
        <v>127.0</v>
      </c>
      <c r="H128" s="7" t="s">
        <v>457</v>
      </c>
      <c r="I128" s="7" t="s">
        <v>458</v>
      </c>
      <c r="J128" s="7" t="s">
        <v>130</v>
      </c>
      <c r="K128" s="7" t="s">
        <v>459</v>
      </c>
    </row>
    <row r="129" ht="14.25" customHeight="1">
      <c r="A129" s="4">
        <v>128.0</v>
      </c>
      <c r="B129" s="5" t="str">
        <f>IFERROR(__xludf.DUMMYFUNCTION("GOOGLETRANSLATE(H129, ""th"", ""en"")
"),"Your cow control is starting to suffer, what should you do?")</f>
        <v>Your cow control is starting to suffer, what should you do?</v>
      </c>
      <c r="C129" s="5" t="str">
        <f>IFERROR(__xludf.DUMMYFUNCTION("GOOGLETRANSLATE(I129, ""th"", ""en"")
"),"A) Immediately adjust the bull's handling method; B) Let the bull do whatever it wants; C) Stop fighting; D) Ask the trainer for advice.")</f>
        <v>A) Immediately adjust the bull's handling method; B) Let the bull do whatever it wants; C) Stop fighting; D) Ask the trainer for advice.</v>
      </c>
      <c r="D129" s="5" t="str">
        <f>IFERROR(__xludf.DUMMYFUNCTION("GOOGLETRANSLATE(J129, ""th"", ""en"")
"),"A) Immediately adjust the cow control method.")</f>
        <v>A) Immediately adjust the cow control method.</v>
      </c>
      <c r="E129" s="5" t="str">
        <f>IFERROR(__xludf.DUMMYFUNCTION("GOOGLETRANSLATE(K129, ""th"", ""en"")
"),"Adjusting your control strategy will help you regain control of the situation.")</f>
        <v>Adjusting your control strategy will help you regain control of the situation.</v>
      </c>
      <c r="G129" s="6">
        <v>128.0</v>
      </c>
      <c r="H129" s="7" t="s">
        <v>460</v>
      </c>
      <c r="I129" s="7" t="s">
        <v>461</v>
      </c>
      <c r="J129" s="7" t="s">
        <v>462</v>
      </c>
      <c r="K129" s="7" t="s">
        <v>463</v>
      </c>
    </row>
    <row r="130" ht="14.25" customHeight="1">
      <c r="A130" s="4">
        <v>129.0</v>
      </c>
      <c r="B130" s="5" t="str">
        <f>IFERROR(__xludf.DUMMYFUNCTION("GOOGLETRANSLATE(H130, ""th"", ""en"")
"),"You see that your cow is starting to show signs of fatigue, what do you do?")</f>
        <v>You see that your cow is starting to show signs of fatigue, what do you do?</v>
      </c>
      <c r="C130" s="5" t="str">
        <f>IFERROR(__xludf.DUMMYFUNCTION("GOOGLETRANSLATE(I130, ""th"", ""en"")
"),"A) Give the cow time to rest and recover; B) Let the cow run its course; C) Stop fighting; D) Notify the handler.")</f>
        <v>A) Give the cow time to rest and recover; B) Let the cow run its course; C) Stop fighting; D) Notify the handler.</v>
      </c>
      <c r="D130" s="5" t="str">
        <f>IFERROR(__xludf.DUMMYFUNCTION("GOOGLETRANSLATE(J130, ""th"", ""en"")
"),"A) Give the cow time to rest and recover.")</f>
        <v>A) Give the cow time to rest and recover.</v>
      </c>
      <c r="E130" s="5" t="str">
        <f>IFERROR(__xludf.DUMMYFUNCTION("GOOGLETRANSLATE(K130, ""th"", ""en"")
"),"Taking breaks helps the cows regain their energy.")</f>
        <v>Taking breaks helps the cows regain their energy.</v>
      </c>
      <c r="G130" s="6">
        <v>129.0</v>
      </c>
      <c r="H130" s="7" t="s">
        <v>464</v>
      </c>
      <c r="I130" s="7" t="s">
        <v>465</v>
      </c>
      <c r="J130" s="7" t="s">
        <v>466</v>
      </c>
      <c r="K130" s="7" t="s">
        <v>467</v>
      </c>
    </row>
    <row r="131" ht="14.25" customHeight="1">
      <c r="A131" s="4">
        <v>130.0</v>
      </c>
      <c r="B131" s="5" t="str">
        <f>IFERROR(__xludf.DUMMYFUNCTION("GOOGLETRANSLATE(H131, ""th"", ""en"")
"),"Your teammates are starting to lose focus in the fight, what do you do?")</f>
        <v>Your teammates are starting to lose focus in the fight, what do you do?</v>
      </c>
      <c r="C131" s="5" t="str">
        <f>IFERROR(__xludf.DUMMYFUNCTION("GOOGLETRANSLATE(I131, ""th"", ""en"")
"),"A) Encourage him and help him regain focus; B) Let him do it himself; C) Stop the fighting; D) Reprimand him loudly.")</f>
        <v>A) Encourage him and help him regain focus; B) Let him do it himself; C) Stop the fighting; D) Reprimand him loudly.</v>
      </c>
      <c r="D131" s="5" t="str">
        <f>IFERROR(__xludf.DUMMYFUNCTION("GOOGLETRANSLATE(J131, ""th"", ""en"")
"),"A) Encourage him and help him regain focus.")</f>
        <v>A) Encourage him and help him regain focus.</v>
      </c>
      <c r="E131" s="5" t="str">
        <f>IFERROR(__xludf.DUMMYFUNCTION("GOOGLETRANSLATE(K131, ""th"", ""en"")
"),"Encouragement helps the team refocus on the game.")</f>
        <v>Encouragement helps the team refocus on the game.</v>
      </c>
      <c r="G131" s="6">
        <v>130.0</v>
      </c>
      <c r="H131" s="7" t="s">
        <v>468</v>
      </c>
      <c r="I131" s="7" t="s">
        <v>469</v>
      </c>
      <c r="J131" s="7" t="s">
        <v>470</v>
      </c>
      <c r="K131" s="7" t="s">
        <v>471</v>
      </c>
    </row>
    <row r="132" ht="14.25" customHeight="1">
      <c r="A132" s="4">
        <v>131.0</v>
      </c>
      <c r="B132" s="5" t="str">
        <f>IFERROR(__xludf.DUMMYFUNCTION("GOOGLETRANSLATE(H132, ""th"", ""en"")
"),"The situation is getting more difficult and you are feeling anxious. What should you do?")</f>
        <v>The situation is getting more difficult and you are feeling anxious. What should you do?</v>
      </c>
      <c r="C132" s="5" t="str">
        <f>IFERROR(__xludf.DUMMYFUNCTION("GOOGLETRANSLATE(I132, ""th"", ""en"")
"),"A) Refocus and stick to your plan; B) Stop fighting; C) Ask your trainer for advice; D) Change your plans immediately.")</f>
        <v>A) Refocus and stick to your plan; B) Stop fighting; C) Ask your trainer for advice; D) Change your plans immediately.</v>
      </c>
      <c r="D132" s="5" t="str">
        <f>IFERROR(__xludf.DUMMYFUNCTION("GOOGLETRANSLATE(J132, ""th"", ""en"")
"),"A) Refocus and stick to the plan.")</f>
        <v>A) Refocus and stick to the plan.</v>
      </c>
      <c r="E132" s="5" t="str">
        <f>IFERROR(__xludf.DUMMYFUNCTION("GOOGLETRANSLATE(K132, ""th"", ""en"")
"),"Refocusing gives you confidence to take action.")</f>
        <v>Refocusing gives you confidence to take action.</v>
      </c>
      <c r="G132" s="6">
        <v>131.0</v>
      </c>
      <c r="H132" s="7" t="s">
        <v>472</v>
      </c>
      <c r="I132" s="7" t="s">
        <v>473</v>
      </c>
      <c r="J132" s="7" t="s">
        <v>474</v>
      </c>
      <c r="K132" s="7" t="s">
        <v>475</v>
      </c>
    </row>
    <row r="133" ht="14.25" customHeight="1">
      <c r="A133" s="4">
        <v>132.0</v>
      </c>
      <c r="B133" s="5" t="str">
        <f>IFERROR(__xludf.DUMMYFUNCTION("GOOGLETRANSLATE(H133, ""th"", ""en"")
"),"The fight is dragging on and you feel discouraged. What do you do?")</f>
        <v>The fight is dragging on and you feel discouraged. What do you do?</v>
      </c>
      <c r="C133" s="5" t="str">
        <f>IFERROR(__xludf.DUMMYFUNCTION("GOOGLETRANSLATE(I133, ""th"", ""en"")
"),"A) Encourage yourself and your team; B) Stop fighting; C) Change your plans immediately; D) Ask your coach for advice.")</f>
        <v>A) Encourage yourself and your team; B) Stop fighting; C) Change your plans immediately; D) Ask your coach for advice.</v>
      </c>
      <c r="D133" s="5" t="str">
        <f>IFERROR(__xludf.DUMMYFUNCTION("GOOGLETRANSLATE(J133, ""th"", ""en"")
"),"A) Encourage yourself and your team.")</f>
        <v>A) Encourage yourself and your team.</v>
      </c>
      <c r="E133" s="5" t="str">
        <f>IFERROR(__xludf.DUMMYFUNCTION("GOOGLETRANSLATE(K133, ""th"", ""en"")
"),"Encouragement helps to build commitment and reduce discouragement.")</f>
        <v>Encouragement helps to build commitment and reduce discouragement.</v>
      </c>
      <c r="G133" s="6">
        <v>132.0</v>
      </c>
      <c r="H133" s="7" t="s">
        <v>476</v>
      </c>
      <c r="I133" s="7" t="s">
        <v>477</v>
      </c>
      <c r="J133" s="7" t="s">
        <v>478</v>
      </c>
      <c r="K133" s="7" t="s">
        <v>479</v>
      </c>
    </row>
    <row r="134" ht="14.25" customHeight="1">
      <c r="A134" s="4">
        <v>133.0</v>
      </c>
      <c r="B134" s="5" t="str">
        <f>IFERROR(__xludf.DUMMYFUNCTION("GOOGLETRANSLATE(H134, ""th"", ""en"")
"),"Your teammates make mistakes frequently. What should you do?")</f>
        <v>Your teammates make mistakes frequently. What should you do?</v>
      </c>
      <c r="C134" s="5" t="str">
        <f>IFERROR(__xludf.DUMMYFUNCTION("GOOGLETRANSLATE(I134, ""th"", ""en"")
"),"A) Help him find solutions and build his confidence; B) Let him do it himself; C) Stop fighting; D) Reprimand him loudly.")</f>
        <v>A) Help him find solutions and build his confidence; B) Let him do it himself; C) Stop fighting; D) Reprimand him loudly.</v>
      </c>
      <c r="D134" s="5" t="str">
        <f>IFERROR(__xludf.DUMMYFUNCTION("GOOGLETRANSLATE(J134, ""th"", ""en"")
"),"A) Help him find solutions and build his confidence.")</f>
        <v>A) Help him find solutions and build his confidence.</v>
      </c>
      <c r="E134" s="5" t="str">
        <f>IFERROR(__xludf.DUMMYFUNCTION("GOOGLETRANSLATE(K134, ""th"", ""en"")
"),"Helping teammates helps the team work better together.")</f>
        <v>Helping teammates helps the team work better together.</v>
      </c>
      <c r="G134" s="6">
        <v>133.0</v>
      </c>
      <c r="H134" s="7" t="s">
        <v>480</v>
      </c>
      <c r="I134" s="7" t="s">
        <v>481</v>
      </c>
      <c r="J134" s="7" t="s">
        <v>482</v>
      </c>
      <c r="K134" s="7" t="s">
        <v>483</v>
      </c>
    </row>
    <row r="135" ht="14.25" customHeight="1">
      <c r="A135" s="4">
        <v>134.0</v>
      </c>
      <c r="B135" s="5" t="str">
        <f>IFERROR(__xludf.DUMMYFUNCTION("GOOGLETRANSLATE(H135, ""th"", ""en"")
"),"You see that you have control of the situation. What do you do?")</f>
        <v>You see that you have control of the situation. What do you do?</v>
      </c>
      <c r="C135" s="5" t="str">
        <f>IFERROR(__xludf.DUMMYFUNCTION("GOOGLETRANSLATE(I135, ""th"", ""en"")
"),"A) Control the fight and follow the plan; B) Stop the fight; C) Change the plan immediately; D) Ask the trainer for advice.")</f>
        <v>A) Control the fight and follow the plan; B) Stop the fight; C) Change the plan immediately; D) Ask the trainer for advice.</v>
      </c>
      <c r="D135" s="5" t="str">
        <f>IFERROR(__xludf.DUMMYFUNCTION("GOOGLETRANSLATE(J135, ""th"", ""en"")
"),"A) Control the battle and follow the plan.")</f>
        <v>A) Control the battle and follow the plan.</v>
      </c>
      <c r="E135" s="5" t="str">
        <f>IFERROR(__xludf.DUMMYFUNCTION("GOOGLETRANSLATE(K135, ""th"", ""en"")
"),"Following the plan helps to control the situation smoothly.")</f>
        <v>Following the plan helps to control the situation smoothly.</v>
      </c>
      <c r="G135" s="6">
        <v>134.0</v>
      </c>
      <c r="H135" s="7" t="s">
        <v>484</v>
      </c>
      <c r="I135" s="7" t="s">
        <v>485</v>
      </c>
      <c r="J135" s="7" t="s">
        <v>486</v>
      </c>
      <c r="K135" s="7" t="s">
        <v>487</v>
      </c>
    </row>
    <row r="136" ht="14.25" customHeight="1">
      <c r="A136" s="4">
        <v>135.0</v>
      </c>
      <c r="B136" s="5" t="str">
        <f>IFERROR(__xludf.DUMMYFUNCTION("GOOGLETRANSLATE(H136, ""th"", ""en"")
"),"Cow control is getting harder, what do you do?")</f>
        <v>Cow control is getting harder, what do you do?</v>
      </c>
      <c r="C136" s="5" t="str">
        <f>IFERROR(__xludf.DUMMYFUNCTION("GOOGLETRANSLATE(I136, ""th"", ""en"")
"),"A) Immediately adjust posture and control; B) Let the bull do its thing; C) Stop fighting; D) Ask the trainer for advice.")</f>
        <v>A) Immediately adjust posture and control; B) Let the bull do its thing; C) Stop fighting; D) Ask the trainer for advice.</v>
      </c>
      <c r="D136" s="5" t="str">
        <f>IFERROR(__xludf.DUMMYFUNCTION("GOOGLETRANSLATE(J136, ""th"", ""en"")
"),"A) Immediate posture and control adjustments")</f>
        <v>A) Immediate posture and control adjustments</v>
      </c>
      <c r="E136" s="5" t="str">
        <f>IFERROR(__xludf.DUMMYFUNCTION("GOOGLETRANSLATE(K136, ""th"", ""en"")
"),"Adjusting your posture will help you control your cow better.")</f>
        <v>Adjusting your posture will help you control your cow better.</v>
      </c>
      <c r="G136" s="6">
        <v>135.0</v>
      </c>
      <c r="H136" s="7" t="s">
        <v>488</v>
      </c>
      <c r="I136" s="7" t="s">
        <v>489</v>
      </c>
      <c r="J136" s="7" t="s">
        <v>490</v>
      </c>
      <c r="K136" s="7" t="s">
        <v>491</v>
      </c>
    </row>
    <row r="137" ht="14.25" customHeight="1">
      <c r="A137" s="4">
        <v>136.0</v>
      </c>
      <c r="B137" s="5" t="str">
        <f>IFERROR(__xludf.DUMMYFUNCTION("GOOGLETRANSLATE(H137, ""th"", ""en"")
"),"Your team is starting to lose commitment. What should you do?")</f>
        <v>Your team is starting to lose commitment. What should you do?</v>
      </c>
      <c r="C137" s="5" t="str">
        <f>IFERROR(__xludf.DUMMYFUNCTION("GOOGLETRANSLATE(I137, ""th"", ""en"")
"),"A) Motivate and energize the team; B) Let the team act on its emotions; C) Stop fighting; D) Criticize the team.")</f>
        <v>A) Motivate and energize the team; B) Let the team act on its emotions; C) Stop fighting; D) Criticize the team.</v>
      </c>
      <c r="D137" s="5" t="str">
        <f>IFERROR(__xludf.DUMMYFUNCTION("GOOGLETRANSLATE(J137, ""th"", ""en"")
"),"A) Motivate and energize the team.")</f>
        <v>A) Motivate and energize the team.</v>
      </c>
      <c r="E137" s="5" t="str">
        <f>IFERROR(__xludf.DUMMYFUNCTION("GOOGLETRANSLATE(K137, ""th"", ""en"")
"),"Motivation will increase your determination and fighting spirit.")</f>
        <v>Motivation will increase your determination and fighting spirit.</v>
      </c>
      <c r="G137" s="6">
        <v>136.0</v>
      </c>
      <c r="H137" s="7" t="s">
        <v>492</v>
      </c>
      <c r="I137" s="7" t="s">
        <v>418</v>
      </c>
      <c r="J137" s="7" t="s">
        <v>419</v>
      </c>
      <c r="K137" s="7" t="s">
        <v>493</v>
      </c>
    </row>
    <row r="138" ht="14.25" customHeight="1">
      <c r="A138" s="4">
        <v>137.0</v>
      </c>
      <c r="B138" s="5" t="str">
        <f>IFERROR(__xludf.DUMMYFUNCTION("GOOGLETRANSLATE(H138, ""th"", ""en"")
"),"The situation is getting tense and you need to make a decision right away. What will you do?")</f>
        <v>The situation is getting tense and you need to make a decision right away. What will you do?</v>
      </c>
      <c r="C138" s="5" t="str">
        <f>IFERROR(__xludf.DUMMYFUNCTION("GOOGLETRANSLATE(I138, ""th"", ""en"")
"),"A) Adjust your strategy and stick to the plan; B) Stop the fight; C) Ask your trainer for advice; D) Change your plans immediately.")</f>
        <v>A) Adjust your strategy and stick to the plan; B) Stop the fight; C) Ask your trainer for advice; D) Change your plans immediately.</v>
      </c>
      <c r="D138" s="5" t="str">
        <f>IFERROR(__xludf.DUMMYFUNCTION("GOOGLETRANSLATE(J138, ""th"", ""en"")
"),"A) Adjust strategies and follow the plans.")</f>
        <v>A) Adjust strategies and follow the plans.</v>
      </c>
      <c r="E138" s="5" t="str">
        <f>IFERROR(__xludf.DUMMYFUNCTION("GOOGLETRANSLATE(K138, ""th"", ""en"")
"),"Following a plan allows you to make confident decisions.")</f>
        <v>Following a plan allows you to make confident decisions.</v>
      </c>
      <c r="G138" s="6">
        <v>137.0</v>
      </c>
      <c r="H138" s="7" t="s">
        <v>494</v>
      </c>
      <c r="I138" s="7" t="s">
        <v>495</v>
      </c>
      <c r="J138" s="7" t="s">
        <v>363</v>
      </c>
      <c r="K138" s="7" t="s">
        <v>496</v>
      </c>
    </row>
    <row r="139" ht="14.25" customHeight="1">
      <c r="A139" s="4">
        <v>138.0</v>
      </c>
      <c r="B139" s="5" t="str">
        <f>IFERROR(__xludf.DUMMYFUNCTION("GOOGLETRANSLATE(H139, ""th"", ""en"")
"),"You feel like your team isn't following the strategy you've laid out. What should you do?")</f>
        <v>You feel like your team isn't following the strategy you've laid out. What should you do?</v>
      </c>
      <c r="C139" s="5" t="str">
        <f>IFERROR(__xludf.DUMMYFUNCTION("GOOGLETRANSLATE(I139, ""th"", ""en"")
"),"A) Try to motivate the team to follow the strategy; B) Let the team do it themselves; C) Stop fighting; D) Blame the team.")</f>
        <v>A) Try to motivate the team to follow the strategy; B) Let the team do it themselves; C) Stop fighting; D) Blame the team.</v>
      </c>
      <c r="D139" s="5" t="str">
        <f>IFERROR(__xludf.DUMMYFUNCTION("GOOGLETRANSLATE(J139, ""th"", ""en"")
"),"A) Try to motivate the team to follow the strategy.")</f>
        <v>A) Try to motivate the team to follow the strategy.</v>
      </c>
      <c r="E139" s="5" t="str">
        <f>IFERROR(__xludf.DUMMYFUNCTION("GOOGLETRANSLATE(K139, ""th"", ""en"")
"),"Motivating the team to follow through on their strategy helps them get back on track.")</f>
        <v>Motivating the team to follow through on their strategy helps them get back on track.</v>
      </c>
      <c r="G139" s="6">
        <v>138.0</v>
      </c>
      <c r="H139" s="7" t="s">
        <v>497</v>
      </c>
      <c r="I139" s="7" t="s">
        <v>498</v>
      </c>
      <c r="J139" s="7" t="s">
        <v>499</v>
      </c>
      <c r="K139" s="7" t="s">
        <v>500</v>
      </c>
    </row>
    <row r="140" ht="14.25" customHeight="1">
      <c r="A140" s="4">
        <v>139.0</v>
      </c>
      <c r="B140" s="5" t="str">
        <f>IFERROR(__xludf.DUMMYFUNCTION("GOOGLETRANSLATE(H140, ""th"", ""en"")
"),"You notice that your cow control is starting to have problems. What should you do?")</f>
        <v>You notice that your cow control is starting to have problems. What should you do?</v>
      </c>
      <c r="C140" s="5" t="str">
        <f>IFERROR(__xludf.DUMMYFUNCTION("GOOGLETRANSLATE(I140, ""th"", ""en"")
"),"A) Immediately adjust posture and control; B) Let the bull do its thing; C) Stop fighting; D) Ask the trainer for advice.")</f>
        <v>A) Immediately adjust posture and control; B) Let the bull do its thing; C) Stop fighting; D) Ask the trainer for advice.</v>
      </c>
      <c r="D140" s="5" t="str">
        <f>IFERROR(__xludf.DUMMYFUNCTION("GOOGLETRANSLATE(J140, ""th"", ""en"")
"),"A) Immediate posture and control adjustments")</f>
        <v>A) Immediate posture and control adjustments</v>
      </c>
      <c r="E140" s="5" t="str">
        <f>IFERROR(__xludf.DUMMYFUNCTION("GOOGLETRANSLATE(K140, ""th"", ""en"")
"),"Adjusting your posture gives you better control over the situation.")</f>
        <v>Adjusting your posture gives you better control over the situation.</v>
      </c>
      <c r="G140" s="6">
        <v>139.0</v>
      </c>
      <c r="H140" s="7" t="s">
        <v>501</v>
      </c>
      <c r="I140" s="7" t="s">
        <v>489</v>
      </c>
      <c r="J140" s="7" t="s">
        <v>490</v>
      </c>
      <c r="K140" s="7" t="s">
        <v>502</v>
      </c>
    </row>
    <row r="141" ht="14.25" customHeight="1">
      <c r="A141" s="4">
        <v>140.0</v>
      </c>
      <c r="B141" s="5" t="str">
        <f>IFERROR(__xludf.DUMMYFUNCTION("GOOGLETRANSLATE(H141, ""th"", ""en"")
"),"Your teammates are starting to get stressed and lose focus. What do you do?")</f>
        <v>Your teammates are starting to get stressed and lose focus. What do you do?</v>
      </c>
      <c r="C141" s="5" t="str">
        <f>IFERROR(__xludf.DUMMYFUNCTION("GOOGLETRANSLATE(I141, ""th"", ""en"")
"),"A) Encourage him and help him regain focus; B) Let him do it himself; C) Stop the fighting; D) Reprimand him loudly.")</f>
        <v>A) Encourage him and help him regain focus; B) Let him do it himself; C) Stop the fighting; D) Reprimand him loudly.</v>
      </c>
      <c r="D141" s="5" t="str">
        <f>IFERROR(__xludf.DUMMYFUNCTION("GOOGLETRANSLATE(J141, ""th"", ""en"")
"),"A) Encourage him and help him regain focus.")</f>
        <v>A) Encourage him and help him regain focus.</v>
      </c>
      <c r="E141" s="5" t="str">
        <f>IFERROR(__xludf.DUMMYFUNCTION("GOOGLETRANSLATE(K141, ""th"", ""en"")
"),"Encouragement helps increase focus and reduce stress in teams.")</f>
        <v>Encouragement helps increase focus and reduce stress in teams.</v>
      </c>
      <c r="G141" s="6">
        <v>140.0</v>
      </c>
      <c r="H141" s="7" t="s">
        <v>503</v>
      </c>
      <c r="I141" s="7" t="s">
        <v>469</v>
      </c>
      <c r="J141" s="7" t="s">
        <v>470</v>
      </c>
      <c r="K141" s="7" t="s">
        <v>504</v>
      </c>
    </row>
    <row r="142" ht="14.25" customHeight="1">
      <c r="A142" s="4">
        <v>141.0</v>
      </c>
      <c r="B142" s="5" t="str">
        <f>IFERROR(__xludf.DUMMYFUNCTION("GOOGLETRANSLATE(H142, ""th"", ""en"")
"),"Your team is starting to lose focus, what do you do?")</f>
        <v>Your team is starting to lose focus, what do you do?</v>
      </c>
      <c r="C142" s="5" t="str">
        <f>IFERROR(__xludf.DUMMYFUNCTION("GOOGLETRANSLATE(I142, ""th"", ""en"")
"),"A) Stimulate the team to refocus; B) Let the team act on their emotions; C) Stop the fighting; D) Blame the team.")</f>
        <v>A) Stimulate the team to refocus; B) Let the team act on their emotions; C) Stop the fighting; D) Blame the team.</v>
      </c>
      <c r="D142" s="5" t="str">
        <f>IFERROR(__xludf.DUMMYFUNCTION("GOOGLETRANSLATE(J142, ""th"", ""en"")
"),"A) Stimulate the team to refocus.")</f>
        <v>A) Stimulate the team to refocus.</v>
      </c>
      <c r="E142" s="5" t="str">
        <f>IFERROR(__xludf.DUMMYFUNCTION("GOOGLETRANSLATE(K142, ""th"", ""en"")
"),"Encouraging team focus helps to make the fight more effective.")</f>
        <v>Encouraging team focus helps to make the fight more effective.</v>
      </c>
      <c r="G142" s="6">
        <v>141.0</v>
      </c>
      <c r="H142" s="7" t="s">
        <v>505</v>
      </c>
      <c r="I142" s="7" t="s">
        <v>506</v>
      </c>
      <c r="J142" s="7" t="s">
        <v>507</v>
      </c>
      <c r="K142" s="7" t="s">
        <v>508</v>
      </c>
    </row>
    <row r="143" ht="14.25" customHeight="1">
      <c r="A143" s="4">
        <v>142.0</v>
      </c>
      <c r="B143" s="5" t="str">
        <f>IFERROR(__xludf.DUMMYFUNCTION("GOOGLETRANSLATE(H143, ""th"", ""en"")
"),"You feel like your cows are not very active, what should you do?")</f>
        <v>You feel like your cows are not very active, what should you do?</v>
      </c>
      <c r="C143" s="5" t="str">
        <f>IFERROR(__xludf.DUMMYFUNCTION("GOOGLETRANSLATE(I143, ""th"", ""en"")
"),"A) Stimulate the bull to regain energy; B) Let the bull run its course; C) Stop fighting; D) Ask the trainer for advice.")</f>
        <v>A) Stimulate the bull to regain energy; B) Let the bull run its course; C) Stop fighting; D) Ask the trainer for advice.</v>
      </c>
      <c r="D143" s="5" t="str">
        <f>IFERROR(__xludf.DUMMYFUNCTION("GOOGLETRANSLATE(J143, ""th"", ""en"")
"),"A) Stimulate the cows to regain their energy.")</f>
        <v>A) Stimulate the cows to regain their energy.</v>
      </c>
      <c r="E143" s="5" t="str">
        <f>IFERROR(__xludf.DUMMYFUNCTION("GOOGLETRANSLATE(K143, ""th"", ""en"")
"),"Stimulating the bull helps it regain its fighting power.")</f>
        <v>Stimulating the bull helps it regain its fighting power.</v>
      </c>
      <c r="G143" s="6">
        <v>142.0</v>
      </c>
      <c r="H143" s="7" t="s">
        <v>509</v>
      </c>
      <c r="I143" s="7" t="s">
        <v>510</v>
      </c>
      <c r="J143" s="7" t="s">
        <v>511</v>
      </c>
      <c r="K143" s="7" t="s">
        <v>512</v>
      </c>
    </row>
    <row r="144" ht="14.25" customHeight="1">
      <c r="A144" s="4">
        <v>143.0</v>
      </c>
      <c r="B144" s="5" t="str">
        <f>IFERROR(__xludf.DUMMYFUNCTION("GOOGLETRANSLATE(H144, ""th"", ""en"")
"),"Things are getting worse and you're feeling anxious. What do you do?")</f>
        <v>Things are getting worse and you're feeling anxious. What do you do?</v>
      </c>
      <c r="C144" s="5" t="str">
        <f>IFERROR(__xludf.DUMMYFUNCTION("GOOGLETRANSLATE(I144, ""th"", ""en"")
"),"A) Concentrate and refocus; B) Stop fighting; C) Ask your trainer for advice; D) Change your strategy immediately.")</f>
        <v>A) Concentrate and refocus; B) Stop fighting; C) Ask your trainer for advice; D) Change your strategy immediately.</v>
      </c>
      <c r="D144" s="5" t="str">
        <f>IFERROR(__xludf.DUMMYFUNCTION("GOOGLETRANSLATE(J144, ""th"", ""en"")
"),"A) Concentrate and refocus.")</f>
        <v>A) Concentrate and refocus.</v>
      </c>
      <c r="E144" s="5" t="str">
        <f>IFERROR(__xludf.DUMMYFUNCTION("GOOGLETRANSLATE(K144, ""th"", ""en"")
"),"Focusing will help you make better decisions.")</f>
        <v>Focusing will help you make better decisions.</v>
      </c>
      <c r="G144" s="6">
        <v>143.0</v>
      </c>
      <c r="H144" s="7" t="s">
        <v>513</v>
      </c>
      <c r="I144" s="7" t="s">
        <v>514</v>
      </c>
      <c r="J144" s="7" t="s">
        <v>515</v>
      </c>
      <c r="K144" s="7" t="s">
        <v>516</v>
      </c>
    </row>
    <row r="145" ht="14.25" customHeight="1">
      <c r="A145" s="4">
        <v>144.0</v>
      </c>
      <c r="B145" s="5" t="str">
        <f>IFERROR(__xludf.DUMMYFUNCTION("GOOGLETRANSLATE(H145, ""th"", ""en"")
"),"You see your teammates making mistakes frequently, what do you do?")</f>
        <v>You see your teammates making mistakes frequently, what do you do?</v>
      </c>
      <c r="C145" s="5" t="str">
        <f>IFERROR(__xludf.DUMMYFUNCTION("GOOGLETRANSLATE(I145, ""th"", ""en"")
"),"A) Give him advice and encourage him; B) Let him do it himself; C) Stop the fighting; D) Reprimand him loudly.")</f>
        <v>A) Give him advice and encourage him; B) Let him do it himself; C) Stop the fighting; D) Reprimand him loudly.</v>
      </c>
      <c r="D145" s="5" t="str">
        <f>IFERROR(__xludf.DUMMYFUNCTION("GOOGLETRANSLATE(J145, ""th"", ""en"")
"),"A) Give him advice and motivate him.")</f>
        <v>A) Give him advice and motivate him.</v>
      </c>
      <c r="E145" s="5" t="str">
        <f>IFERROR(__xludf.DUMMYFUNCTION("GOOGLETRANSLATE(K145, ""th"", ""en"")
"),"Helping your teammates will give them more confidence.")</f>
        <v>Helping your teammates will give them more confidence.</v>
      </c>
      <c r="G145" s="6">
        <v>144.0</v>
      </c>
      <c r="H145" s="7" t="s">
        <v>517</v>
      </c>
      <c r="I145" s="7" t="s">
        <v>518</v>
      </c>
      <c r="J145" s="7" t="s">
        <v>519</v>
      </c>
      <c r="K145" s="7" t="s">
        <v>520</v>
      </c>
    </row>
    <row r="146" ht="14.25" customHeight="1">
      <c r="A146" s="4">
        <v>145.0</v>
      </c>
      <c r="B146" s="5" t="str">
        <f>IFERROR(__xludf.DUMMYFUNCTION("GOOGLETRANSLATE(H146, ""th"", ""en"")
"),"Your cow control is not as good as it should be. What should you do?")</f>
        <v>Your cow control is not as good as it should be. What should you do?</v>
      </c>
      <c r="C146" s="5" t="str">
        <f>IFERROR(__xludf.DUMMYFUNCTION("GOOGLETRANSLATE(I146, ""th"", ""en"")
"),"A) Adjust posture and control techniques; B) Let the bull run wild; C) Stop fighting; D) Ask the trainer for advice.")</f>
        <v>A) Adjust posture and control techniques; B) Let the bull run wild; C) Stop fighting; D) Ask the trainer for advice.</v>
      </c>
      <c r="D146" s="5" t="str">
        <f>IFERROR(__xludf.DUMMYFUNCTION("GOOGLETRANSLATE(J146, ""th"", ""en"")
"),"A) Adjust posture and control techniques.")</f>
        <v>A) Adjust posture and control techniques.</v>
      </c>
      <c r="E146" s="5" t="str">
        <f>IFERROR(__xludf.DUMMYFUNCTION("GOOGLETRANSLATE(K146, ""th"", ""en"")
"),"Posture adjustments help you better control your cow.")</f>
        <v>Posture adjustments help you better control your cow.</v>
      </c>
      <c r="G146" s="6">
        <v>145.0</v>
      </c>
      <c r="H146" s="7" t="s">
        <v>521</v>
      </c>
      <c r="I146" s="7" t="s">
        <v>522</v>
      </c>
      <c r="J146" s="7" t="s">
        <v>523</v>
      </c>
      <c r="K146" s="7" t="s">
        <v>524</v>
      </c>
    </row>
    <row r="147" ht="14.25" customHeight="1">
      <c r="A147" s="4">
        <v>146.0</v>
      </c>
      <c r="B147" s="5" t="str">
        <f>IFERROR(__xludf.DUMMYFUNCTION("GOOGLETRANSLATE(H147, ""th"", ""en"")
"),"Your teammate is showing signs of stress. What should you do?")</f>
        <v>Your teammate is showing signs of stress. What should you do?</v>
      </c>
      <c r="C147" s="5" t="str">
        <f>IFERROR(__xludf.DUMMYFUNCTION("GOOGLETRANSLATE(I147, ""th"", ""en"")
"),"A) Encourage him and help him relax; B) Let him do it himself; C) Stop fighting; D) Reprimand him loudly.")</f>
        <v>A) Encourage him and help him relax; B) Let him do it himself; C) Stop fighting; D) Reprimand him loudly.</v>
      </c>
      <c r="D147" s="5" t="str">
        <f>IFERROR(__xludf.DUMMYFUNCTION("GOOGLETRANSLATE(J147, ""th"", ""en"")
"),"A) Encourage him and help him relax.")</f>
        <v>A) Encourage him and help him relax.</v>
      </c>
      <c r="E147" s="5" t="str">
        <f>IFERROR(__xludf.DUMMYFUNCTION("GOOGLETRANSLATE(K147, ""th"", ""en"")
"),"Encouragement can help reduce stress in teammates.")</f>
        <v>Encouragement can help reduce stress in teammates.</v>
      </c>
      <c r="G147" s="6">
        <v>146.0</v>
      </c>
      <c r="H147" s="7" t="s">
        <v>525</v>
      </c>
      <c r="I147" s="7" t="s">
        <v>526</v>
      </c>
      <c r="J147" s="7" t="s">
        <v>527</v>
      </c>
      <c r="K147" s="7" t="s">
        <v>528</v>
      </c>
    </row>
    <row r="148" ht="14.25" customHeight="1">
      <c r="A148" s="4">
        <v>147.0</v>
      </c>
      <c r="B148" s="5" t="str">
        <f>IFERROR(__xludf.DUMMYFUNCTION("GOOGLETRANSLATE(H148, ""th"", ""en"")
"),"The situation on the field is becoming tense. What will you do?")</f>
        <v>The situation on the field is becoming tense. What will you do?</v>
      </c>
      <c r="C148" s="5" t="str">
        <f>IFERROR(__xludf.DUMMYFUNCTION("GOOGLETRANSLATE(I148, ""th"", ""en"")
"),"A) Stay focused and stick to your plan; B) Stop fighting; C) Change your strategy immediately; D) Ask your trainer for advice.")</f>
        <v>A) Stay focused and stick to your plan; B) Stop fighting; C) Change your strategy immediately; D) Ask your trainer for advice.</v>
      </c>
      <c r="D148" s="5" t="str">
        <f>IFERROR(__xludf.DUMMYFUNCTION("GOOGLETRANSLATE(J148, ""th"", ""en"")
"),"A) Stay focused and follow the plan.")</f>
        <v>A) Stay focused and follow the plan.</v>
      </c>
      <c r="E148" s="5" t="str">
        <f>IFERROR(__xludf.DUMMYFUNCTION("GOOGLETRANSLATE(K148, ""th"", ""en"")
"),"Focusing helps you make more informed decisions.")</f>
        <v>Focusing helps you make more informed decisions.</v>
      </c>
      <c r="G148" s="6">
        <v>147.0</v>
      </c>
      <c r="H148" s="7" t="s">
        <v>529</v>
      </c>
      <c r="I148" s="7" t="s">
        <v>530</v>
      </c>
      <c r="J148" s="7" t="s">
        <v>531</v>
      </c>
      <c r="K148" s="7" t="s">
        <v>532</v>
      </c>
    </row>
    <row r="149" ht="14.25" customHeight="1">
      <c r="A149" s="4">
        <v>148.0</v>
      </c>
      <c r="B149" s="5" t="str">
        <f>IFERROR(__xludf.DUMMYFUNCTION("GOOGLETRANSLATE(H149, ""th"", ""en"")
"),"You feel like you can control your cows better now, what do you do?")</f>
        <v>You feel like you can control your cows better now, what do you do?</v>
      </c>
      <c r="C149" s="5" t="str">
        <f>IFERROR(__xludf.DUMMYFUNCTION("GOOGLETRANSLATE(I149, ""th"", ""en"")
"),"A) Gain confidence and stick to the plan; B) Stop fighting; C) Ask your trainer for advice; D) Change your plan immediately.")</f>
        <v>A) Gain confidence and stick to the plan; B) Stop fighting; C) Ask your trainer for advice; D) Change your plan immediately.</v>
      </c>
      <c r="D149" s="5" t="str">
        <f>IFERROR(__xludf.DUMMYFUNCTION("GOOGLETRANSLATE(J149, ""th"", ""en"")
"),"A) Increase confidence and follow the plan.")</f>
        <v>A) Increase confidence and follow the plan.</v>
      </c>
      <c r="E149" s="5" t="str">
        <f>IFERROR(__xludf.DUMMYFUNCTION("GOOGLETRANSLATE(K149, ""th"", ""en"")
"),"Following a plan will help you stay in control of the situation.")</f>
        <v>Following a plan will help you stay in control of the situation.</v>
      </c>
      <c r="G149" s="6">
        <v>148.0</v>
      </c>
      <c r="H149" s="7" t="s">
        <v>533</v>
      </c>
      <c r="I149" s="7" t="s">
        <v>534</v>
      </c>
      <c r="J149" s="7" t="s">
        <v>535</v>
      </c>
      <c r="K149" s="7" t="s">
        <v>536</v>
      </c>
    </row>
    <row r="150" ht="14.25" customHeight="1">
      <c r="A150" s="4">
        <v>149.0</v>
      </c>
      <c r="B150" s="5" t="str">
        <f>IFERROR(__xludf.DUMMYFUNCTION("GOOGLETRANSLATE(H150, ""th"", ""en"")
"),"Your team is starting to lose commitment. What should you do?")</f>
        <v>Your team is starting to lose commitment. What should you do?</v>
      </c>
      <c r="C150" s="5" t="str">
        <f>IFERROR(__xludf.DUMMYFUNCTION("GOOGLETRANSLATE(I150, ""th"", ""en"")
"),"A) Motivate the team and empower them; B) Let the team act on their emotions; C) Stop fighting; D) Blame the team.")</f>
        <v>A) Motivate the team and empower them; B) Let the team act on their emotions; C) Stop fighting; D) Blame the team.</v>
      </c>
      <c r="D150" s="5" t="str">
        <f>IFERROR(__xludf.DUMMYFUNCTION("GOOGLETRANSLATE(J150, ""th"", ""en"")
"),"A) Motivate the team and empower them.")</f>
        <v>A) Motivate the team and empower them.</v>
      </c>
      <c r="E150" s="5" t="str">
        <f>IFERROR(__xludf.DUMMYFUNCTION("GOOGLETRANSLATE(K150, ""th"", ""en"")
"),"Stimulation will increase your energy and determination to fight.")</f>
        <v>Stimulation will increase your energy and determination to fight.</v>
      </c>
      <c r="G150" s="6">
        <v>149.0</v>
      </c>
      <c r="H150" s="7" t="s">
        <v>492</v>
      </c>
      <c r="I150" s="7" t="s">
        <v>537</v>
      </c>
      <c r="J150" s="7" t="s">
        <v>538</v>
      </c>
      <c r="K150" s="7" t="s">
        <v>539</v>
      </c>
    </row>
    <row r="151" ht="14.25" customHeight="1">
      <c r="A151" s="4">
        <v>150.0</v>
      </c>
      <c r="B151" s="5" t="str">
        <f>IFERROR(__xludf.DUMMYFUNCTION("GOOGLETRANSLATE(H151, ""th"", ""en"")
"),"The fight is getting tougher and you're feeling exhausted. What do you do?")</f>
        <v>The fight is getting tougher and you're feeling exhausted. What do you do?</v>
      </c>
      <c r="C151" s="5" t="str">
        <f>IFERROR(__xludf.DUMMYFUNCTION("GOOGLETRANSLATE(I151, ""th"", ""en"")
"),"A) Ask your teammates to switch times; B) Stop the fight; C) Adjust your strategy immediately; D) Ask your coach for advice.")</f>
        <v>A) Ask your teammates to switch times; B) Stop the fight; C) Adjust your strategy immediately; D) Ask your coach for advice.</v>
      </c>
      <c r="D151" s="5" t="str">
        <f>IFERROR(__xludf.DUMMYFUNCTION("GOOGLETRANSLATE(J151, ""th"", ""en"")
"),"A) Ask your teammates to switch times.")</f>
        <v>A) Ask your teammates to switch times.</v>
      </c>
      <c r="E151" s="5" t="str">
        <f>IFERROR(__xludf.DUMMYFUNCTION("GOOGLETRANSLATE(K151, ""th"", ""en"")
"),"Having your team take turns helping you reduce fatigue.")</f>
        <v>Having your team take turns helping you reduce fatigue.</v>
      </c>
      <c r="G151" s="6">
        <v>150.0</v>
      </c>
      <c r="H151" s="7" t="s">
        <v>540</v>
      </c>
      <c r="I151" s="7" t="s">
        <v>541</v>
      </c>
      <c r="J151" s="7" t="s">
        <v>542</v>
      </c>
      <c r="K151" s="7" t="s">
        <v>543</v>
      </c>
    </row>
    <row r="152" ht="14.25" customHeight="1">
      <c r="A152" s="4">
        <v>151.0</v>
      </c>
      <c r="B152" s="5" t="str">
        <f>IFERROR(__xludf.DUMMYFUNCTION("GOOGLETRANSLATE(H152, ""th"", ""en"")
"),"The situation is getting tense. What will you do?")</f>
        <v>The situation is getting tense. What will you do?</v>
      </c>
      <c r="C152" s="5" t="str">
        <f>IFERROR(__xludf.DUMMYFUNCTION("GOOGLETRANSLATE(I152, ""th"", ""en"")
"),"A) Control yourself and stay focused; B) Stop fighting; C) Change your tactics immediately; D) Ask your trainer for advice.")</f>
        <v>A) Control yourself and stay focused; B) Stop fighting; C) Change your tactics immediately; D) Ask your trainer for advice.</v>
      </c>
      <c r="D152" s="5" t="str">
        <f>IFERROR(__xludf.DUMMYFUNCTION("GOOGLETRANSLATE(J152, ""th"", ""en"")
"),"A) Control yourself and focus.")</f>
        <v>A) Control yourself and focus.</v>
      </c>
      <c r="E152" s="5" t="str">
        <f>IFERROR(__xludf.DUMMYFUNCTION("GOOGLETRANSLATE(K152, ""th"", ""en"")
"),"Staying focused helps you cope better with situations.")</f>
        <v>Staying focused helps you cope better with situations.</v>
      </c>
      <c r="G152" s="6">
        <v>151.0</v>
      </c>
      <c r="H152" s="7" t="s">
        <v>544</v>
      </c>
      <c r="I152" s="7" t="s">
        <v>545</v>
      </c>
      <c r="J152" s="7" t="s">
        <v>546</v>
      </c>
      <c r="K152" s="7" t="s">
        <v>547</v>
      </c>
    </row>
    <row r="153" ht="14.25" customHeight="1">
      <c r="A153" s="4">
        <v>152.0</v>
      </c>
      <c r="B153" s="5" t="str">
        <f>IFERROR(__xludf.DUMMYFUNCTION("GOOGLETRANSLATE(H153, ""th"", ""en"")
"),"You notice that your team is starting to lose focus, what do you do?")</f>
        <v>You notice that your team is starting to lose focus, what do you do?</v>
      </c>
      <c r="C153" s="5" t="str">
        <f>IFERROR(__xludf.DUMMYFUNCTION("GOOGLETRANSLATE(I153, ""th"", ""en"")
"),"A) Motivate the team and give encouragement; B) Let the team follow its emotions; C) Stop fighting; D) Criticize the team.")</f>
        <v>A) Motivate the team and give encouragement; B) Let the team follow its emotions; C) Stop fighting; D) Criticize the team.</v>
      </c>
      <c r="D153" s="5" t="str">
        <f>IFERROR(__xludf.DUMMYFUNCTION("GOOGLETRANSLATE(J153, ""th"", ""en"")
"),"A) Motivate and encourage the team.")</f>
        <v>A) Motivate and encourage the team.</v>
      </c>
      <c r="E153" s="5" t="str">
        <f>IFERROR(__xludf.DUMMYFUNCTION("GOOGLETRANSLATE(K153, ""th"", ""en"")
"),"Motivating the team helps them refocus.")</f>
        <v>Motivating the team helps them refocus.</v>
      </c>
      <c r="G153" s="6">
        <v>152.0</v>
      </c>
      <c r="H153" s="7" t="s">
        <v>548</v>
      </c>
      <c r="I153" s="7" t="s">
        <v>549</v>
      </c>
      <c r="J153" s="7" t="s">
        <v>550</v>
      </c>
      <c r="K153" s="7" t="s">
        <v>551</v>
      </c>
    </row>
    <row r="154" ht="14.25" customHeight="1">
      <c r="A154" s="4">
        <v>153.0</v>
      </c>
      <c r="B154" s="5" t="str">
        <f>IFERROR(__xludf.DUMMYFUNCTION("GOOGLETRANSLATE(H154, ""th"", ""en"")
"),"You feel like you can't control your cow well, what should you do?")</f>
        <v>You feel like you can't control your cow well, what should you do?</v>
      </c>
      <c r="C154" s="5" t="str">
        <f>IFERROR(__xludf.DUMMYFUNCTION("GOOGLETRANSLATE(I154, ""th"", ""en"")
"),"A) Immediately adjust posture and control technique; B) Let the bull run its course; C) Stop fighting; D) Ask the trainer for advice.")</f>
        <v>A) Immediately adjust posture and control technique; B) Let the bull run its course; C) Stop fighting; D) Ask the trainer for advice.</v>
      </c>
      <c r="D154" s="5" t="str">
        <f>IFERROR(__xludf.DUMMYFUNCTION("GOOGLETRANSLATE(J154, ""th"", ""en"")
"),"A) Immediately adjust posture and control techniques.")</f>
        <v>A) Immediately adjust posture and control techniques.</v>
      </c>
      <c r="E154" s="5" t="str">
        <f>IFERROR(__xludf.DUMMYFUNCTION("GOOGLETRANSLATE(K154, ""th"", ""en"")
"),"Posture adjustments help you better control your cow.")</f>
        <v>Posture adjustments help you better control your cow.</v>
      </c>
      <c r="G154" s="6">
        <v>153.0</v>
      </c>
      <c r="H154" s="7" t="s">
        <v>552</v>
      </c>
      <c r="I154" s="7" t="s">
        <v>553</v>
      </c>
      <c r="J154" s="7" t="s">
        <v>554</v>
      </c>
      <c r="K154" s="7" t="s">
        <v>555</v>
      </c>
    </row>
    <row r="155" ht="14.25" customHeight="1">
      <c r="A155" s="4">
        <v>154.0</v>
      </c>
      <c r="B155" s="5" t="str">
        <f>IFERROR(__xludf.DUMMYFUNCTION("GOOGLETRANSLATE(H155, ""th"", ""en"")
"),"Your team is starting to lose focus in the fight. What should you do?")</f>
        <v>Your team is starting to lose focus in the fight. What should you do?</v>
      </c>
      <c r="C155" s="5" t="str">
        <f>IFERROR(__xludf.DUMMYFUNCTION("GOOGLETRANSLATE(I155, ""th"", ""en"")
"),"A) Motivate and encourage the team; B) Let the team act on its emotions; C) Stop fighting; D) Criticize the team.")</f>
        <v>A) Motivate and encourage the team; B) Let the team act on its emotions; C) Stop fighting; D) Criticize the team.</v>
      </c>
      <c r="D155" s="5" t="str">
        <f>IFERROR(__xludf.DUMMYFUNCTION("GOOGLETRANSLATE(J155, ""th"", ""en"")
"),"A) Motivate and encourage the team.")</f>
        <v>A) Motivate and encourage the team.</v>
      </c>
      <c r="E155" s="5" t="str">
        <f>IFERROR(__xludf.DUMMYFUNCTION("GOOGLETRANSLATE(K155, ""th"", ""en"")
"),"Encouragement helps increase focus and commitment in the team.")</f>
        <v>Encouragement helps increase focus and commitment in the team.</v>
      </c>
      <c r="G155" s="6">
        <v>154.0</v>
      </c>
      <c r="H155" s="7" t="s">
        <v>556</v>
      </c>
      <c r="I155" s="7" t="s">
        <v>557</v>
      </c>
      <c r="J155" s="7" t="s">
        <v>558</v>
      </c>
      <c r="K155" s="7" t="s">
        <v>559</v>
      </c>
    </row>
    <row r="156" ht="14.25" customHeight="1">
      <c r="A156" s="4">
        <v>155.0</v>
      </c>
      <c r="B156" s="5" t="str">
        <f>IFERROR(__xludf.DUMMYFUNCTION("GOOGLETRANSLATE(H156, ""th"", ""en"")
"),"You feel like it's getting harder to control your cows, what should you do?")</f>
        <v>You feel like it's getting harder to control your cows, what should you do?</v>
      </c>
      <c r="C156" s="5" t="str">
        <f>IFERROR(__xludf.DUMMYFUNCTION("GOOGLETRANSLATE(I156, ""th"", ""en"")
"),"A) Adjust posture and control; B) Let the bull run wild; C) Stop fighting; D) Ask the trainer for advice.")</f>
        <v>A) Adjust posture and control; B) Let the bull run wild; C) Stop fighting; D) Ask the trainer for advice.</v>
      </c>
      <c r="D156" s="5" t="str">
        <f>IFERROR(__xludf.DUMMYFUNCTION("GOOGLETRANSLATE(J156, ""th"", ""en"")
"),"A) Adjust posture and control.")</f>
        <v>A) Adjust posture and control.</v>
      </c>
      <c r="E156" s="5" t="str">
        <f>IFERROR(__xludf.DUMMYFUNCTION("GOOGLETRANSLATE(K156, ""th"", ""en"")
"),"Adjusting your posture will help you take better control of the situation.")</f>
        <v>Adjusting your posture will help you take better control of the situation.</v>
      </c>
      <c r="G156" s="6">
        <v>155.0</v>
      </c>
      <c r="H156" s="7" t="s">
        <v>560</v>
      </c>
      <c r="I156" s="7" t="s">
        <v>561</v>
      </c>
      <c r="J156" s="7" t="s">
        <v>562</v>
      </c>
      <c r="K156" s="7" t="s">
        <v>563</v>
      </c>
    </row>
    <row r="157" ht="14.25" customHeight="1">
      <c r="A157" s="4">
        <v>156.0</v>
      </c>
      <c r="B157" s="5" t="str">
        <f>IFERROR(__xludf.DUMMYFUNCTION("GOOGLETRANSLATE(H157, ""th"", ""en"")
"),"Your teammates are starting to show signs of stress. What do you do?")</f>
        <v>Your teammates are starting to show signs of stress. What do you do?</v>
      </c>
      <c r="C157" s="5" t="str">
        <f>IFERROR(__xludf.DUMMYFUNCTION("GOOGLETRANSLATE(I157, ""th"", ""en"")
"),"A) Encourage him and help him relax; B) Let him do it himself; C) Stop the fighting; D) Reprimand him loudly.")</f>
        <v>A) Encourage him and help him relax; B) Let him do it himself; C) Stop the fighting; D) Reprimand him loudly.</v>
      </c>
      <c r="D157" s="5" t="str">
        <f>IFERROR(__xludf.DUMMYFUNCTION("GOOGLETRANSLATE(J157, ""th"", ""en"")
"),"A) Encourage him and help him relax.")</f>
        <v>A) Encourage him and help him relax.</v>
      </c>
      <c r="E157" s="5" t="str">
        <f>IFERROR(__xludf.DUMMYFUNCTION("GOOGLETRANSLATE(K157, ""th"", ""en"")
"),"Encouragement can help reduce stress in teammates.")</f>
        <v>Encouragement can help reduce stress in teammates.</v>
      </c>
      <c r="G157" s="6">
        <v>156.0</v>
      </c>
      <c r="H157" s="7" t="s">
        <v>564</v>
      </c>
      <c r="I157" s="7" t="s">
        <v>565</v>
      </c>
      <c r="J157" s="7" t="s">
        <v>566</v>
      </c>
      <c r="K157" s="7" t="s">
        <v>528</v>
      </c>
    </row>
    <row r="158" ht="14.25" customHeight="1">
      <c r="A158" s="4">
        <v>157.0</v>
      </c>
      <c r="B158" s="5" t="str">
        <f>IFERROR(__xludf.DUMMYFUNCTION("GOOGLETRANSLATE(H158, ""th"", ""en"")
"),"You feel like your team is losing confidence. What should you do?")</f>
        <v>You feel like your team is losing confidence. What should you do?</v>
      </c>
      <c r="C158" s="5" t="str">
        <f>IFERROR(__xludf.DUMMYFUNCTION("GOOGLETRANSLATE(I158, ""th"", ""en"")
"),"A) Encourage and boost the team's confidence; B) Let the team act on its emotions; C) Stop fighting; D) Criticize the team.")</f>
        <v>A) Encourage and boost the team's confidence; B) Let the team act on its emotions; C) Stop fighting; D) Criticize the team.</v>
      </c>
      <c r="D158" s="5" t="str">
        <f>IFERROR(__xludf.DUMMYFUNCTION("GOOGLETRANSLATE(J158, ""th"", ""en"")
"),"A) Encourage and boost the team's confidence.")</f>
        <v>A) Encourage and boost the team's confidence.</v>
      </c>
      <c r="E158" s="5" t="str">
        <f>IFERROR(__xludf.DUMMYFUNCTION("GOOGLETRANSLATE(K158, ""th"", ""en"")
"),"Encouragement helps the team to be more confident.")</f>
        <v>Encouragement helps the team to be more confident.</v>
      </c>
      <c r="G158" s="6">
        <v>157.0</v>
      </c>
      <c r="H158" s="7" t="s">
        <v>567</v>
      </c>
      <c r="I158" s="7" t="s">
        <v>568</v>
      </c>
      <c r="J158" s="7" t="s">
        <v>569</v>
      </c>
      <c r="K158" s="7" t="s">
        <v>570</v>
      </c>
    </row>
    <row r="159" ht="14.25" customHeight="1">
      <c r="A159" s="4">
        <v>158.0</v>
      </c>
      <c r="B159" s="5" t="str">
        <f>IFERROR(__xludf.DUMMYFUNCTION("GOOGLETRANSLATE(H159, ""th"", ""en"")
"),"You feel like the game is going in a bad direction, what do you do?")</f>
        <v>You feel like the game is going in a bad direction, what do you do?</v>
      </c>
      <c r="C159" s="5" t="str">
        <f>IFERROR(__xludf.DUMMYFUNCTION("GOOGLETRANSLATE(I159, ""th"", ""en"")
"),"A) Adjust strategy immediately; B) Stop fighting; C) Change plans immediately; D) Ask the trainer for advice.")</f>
        <v>A) Adjust strategy immediately; B) Stop fighting; C) Change plans immediately; D) Ask the trainer for advice.</v>
      </c>
      <c r="D159" s="5" t="str">
        <f>IFERROR(__xludf.DUMMYFUNCTION("GOOGLETRANSLATE(J159, ""th"", ""en"")
"),"A) Adjust strategies immediately.")</f>
        <v>A) Adjust strategies immediately.</v>
      </c>
      <c r="E159" s="5" t="str">
        <f>IFERROR(__xludf.DUMMYFUNCTION("GOOGLETRANSLATE(K159, ""th"", ""en"")
"),"Adjusting your strategy allows you to resolve situations faster.")</f>
        <v>Adjusting your strategy allows you to resolve situations faster.</v>
      </c>
      <c r="G159" s="6">
        <v>158.0</v>
      </c>
      <c r="H159" s="7" t="s">
        <v>571</v>
      </c>
      <c r="I159" s="7" t="s">
        <v>572</v>
      </c>
      <c r="J159" s="7" t="s">
        <v>103</v>
      </c>
      <c r="K159" s="7" t="s">
        <v>573</v>
      </c>
    </row>
    <row r="160" ht="14.25" customHeight="1">
      <c r="A160" s="4">
        <v>159.0</v>
      </c>
      <c r="B160" s="5" t="str">
        <f>IFERROR(__xludf.DUMMYFUNCTION("GOOGLETRANSLATE(H160, ""th"", ""en"")
"),"Your cow control is starting to suffer, what should you do?")</f>
        <v>Your cow control is starting to suffer, what should you do?</v>
      </c>
      <c r="C160" s="5" t="str">
        <f>IFERROR(__xludf.DUMMYFUNCTION("GOOGLETRANSLATE(I160, ""th"", ""en"")
"),"A) Adjust the control method and control technique; B) Let the bull run its course; C) Stop fighting; D) Ask the trainer for advice.")</f>
        <v>A) Adjust the control method and control technique; B) Let the bull run its course; C) Stop fighting; D) Ask the trainer for advice.</v>
      </c>
      <c r="D160" s="5" t="str">
        <f>IFERROR(__xludf.DUMMYFUNCTION("GOOGLETRANSLATE(J160, ""th"", ""en"")
"),"A) Adjust control methods and control techniques.")</f>
        <v>A) Adjust control methods and control techniques.</v>
      </c>
      <c r="E160" s="5" t="str">
        <f>IFERROR(__xludf.DUMMYFUNCTION("GOOGLETRANSLATE(K160, ""th"", ""en"")
"),"Adjusting your control methods can give you an advantage in battle.")</f>
        <v>Adjusting your control methods can give you an advantage in battle.</v>
      </c>
      <c r="G160" s="6">
        <v>159.0</v>
      </c>
      <c r="H160" s="7" t="s">
        <v>460</v>
      </c>
      <c r="I160" s="7" t="s">
        <v>574</v>
      </c>
      <c r="J160" s="7" t="s">
        <v>575</v>
      </c>
      <c r="K160" s="7" t="s">
        <v>576</v>
      </c>
    </row>
    <row r="161" ht="14.25" customHeight="1">
      <c r="A161" s="4">
        <v>160.0</v>
      </c>
      <c r="B161" s="5" t="str">
        <f>IFERROR(__xludf.DUMMYFUNCTION("GOOGLETRANSLATE(H161, ""th"", ""en"")
"),"Things are getting difficult and you're feeling anxious. What do you do?")</f>
        <v>Things are getting difficult and you're feeling anxious. What do you do?</v>
      </c>
      <c r="C161" s="5" t="str">
        <f>IFERROR(__xludf.DUMMYFUNCTION("GOOGLETRANSLATE(I161, ""th"", ""en"")
"),"A) Stay focused and manage your stress; B) Stop fighting; C) Change your plans immediately; D) Ask your trainer for advice.")</f>
        <v>A) Stay focused and manage your stress; B) Stop fighting; C) Change your plans immediately; D) Ask your trainer for advice.</v>
      </c>
      <c r="D161" s="5" t="str">
        <f>IFERROR(__xludf.DUMMYFUNCTION("GOOGLETRANSLATE(J161, ""th"", ""en"")
"),"A) Focus and manage stress.")</f>
        <v>A) Focus and manage stress.</v>
      </c>
      <c r="E161" s="5" t="str">
        <f>IFERROR(__xludf.DUMMYFUNCTION("GOOGLETRANSLATE(K161, ""th"", ""en"")
"),"Managing stress helps you think more effectively in difficult situations.")</f>
        <v>Managing stress helps you think more effectively in difficult situations.</v>
      </c>
      <c r="G161" s="6">
        <v>160.0</v>
      </c>
      <c r="H161" s="7" t="s">
        <v>577</v>
      </c>
      <c r="I161" s="7" t="s">
        <v>578</v>
      </c>
      <c r="J161" s="7" t="s">
        <v>579</v>
      </c>
      <c r="K161" s="7" t="s">
        <v>580</v>
      </c>
    </row>
    <row r="162" ht="14.25" customHeight="1">
      <c r="A162" s="4">
        <v>161.0</v>
      </c>
      <c r="B162" s="5" t="str">
        <f>IFERROR(__xludf.DUMMYFUNCTION("GOOGLETRANSLATE(H162, ""th"", ""en"")
"),"You feel like your cow is losing confidence, what should you do?")</f>
        <v>You feel like your cow is losing confidence, what should you do?</v>
      </c>
      <c r="C162" s="5" t="str">
        <f>IFERROR(__xludf.DUMMYFUNCTION("GOOGLETRANSLATE(I162, ""th"", ""en"")
"),"A) Stimulate and build confidence in the bull; B) Let the bull run its course; C) Stop fighting; D) Ask the trainer for advice.")</f>
        <v>A) Stimulate and build confidence in the bull; B) Let the bull run its course; C) Stop fighting; D) Ask the trainer for advice.</v>
      </c>
      <c r="D162" s="5" t="str">
        <f>IFERROR(__xludf.DUMMYFUNCTION("GOOGLETRANSLATE(J162, ""th"", ""en"")
"),"A) Stimulate and build confidence in the cows.")</f>
        <v>A) Stimulate and build confidence in the cows.</v>
      </c>
      <c r="E162" s="5" t="str">
        <f>IFERROR(__xludf.DUMMYFUNCTION("GOOGLETRANSLATE(K162, ""th"", ""en"")
"),"Boosting the cow's confidence will improve its fighting performance.")</f>
        <v>Boosting the cow's confidence will improve its fighting performance.</v>
      </c>
      <c r="G162" s="6">
        <v>161.0</v>
      </c>
      <c r="H162" s="7" t="s">
        <v>581</v>
      </c>
      <c r="I162" s="7" t="s">
        <v>582</v>
      </c>
      <c r="J162" s="7" t="s">
        <v>583</v>
      </c>
      <c r="K162" s="7" t="s">
        <v>584</v>
      </c>
    </row>
    <row r="163" ht="14.25" customHeight="1">
      <c r="A163" s="4">
        <v>162.0</v>
      </c>
      <c r="B163" s="5" t="str">
        <f>IFERROR(__xludf.DUMMYFUNCTION("GOOGLETRANSLATE(H163, ""th"", ""en"")
"),"The situation is getting tense and you are feeling exhausted. What should you do?")</f>
        <v>The situation is getting tense and you are feeling exhausted. What should you do?</v>
      </c>
      <c r="C163" s="5" t="str">
        <f>IFERROR(__xludf.DUMMYFUNCTION("GOOGLETRANSLATE(I163, ""th"", ""en"")
"),"A) Ask your teammates to switch times; B) Stop the fight; C) Ask your coach for advice; D) Adjust your strategy immediately.")</f>
        <v>A) Ask your teammates to switch times; B) Stop the fight; C) Ask your coach for advice; D) Adjust your strategy immediately.</v>
      </c>
      <c r="D163" s="5" t="str">
        <f>IFERROR(__xludf.DUMMYFUNCTION("GOOGLETRANSLATE(J163, ""th"", ""en"")
"),"A) Ask your teammates to switch times.")</f>
        <v>A) Ask your teammates to switch times.</v>
      </c>
      <c r="E163" s="5" t="str">
        <f>IFERROR(__xludf.DUMMYFUNCTION("GOOGLETRANSLATE(K163, ""th"", ""en"")
"),"Alternating time will help reduce fatigue and give you new energy.")</f>
        <v>Alternating time will help reduce fatigue and give you new energy.</v>
      </c>
      <c r="G163" s="6">
        <v>162.0</v>
      </c>
      <c r="H163" s="7" t="s">
        <v>585</v>
      </c>
      <c r="I163" s="7" t="s">
        <v>586</v>
      </c>
      <c r="J163" s="7" t="s">
        <v>542</v>
      </c>
      <c r="K163" s="7" t="s">
        <v>587</v>
      </c>
    </row>
    <row r="164" ht="14.25" customHeight="1">
      <c r="A164" s="4">
        <v>163.0</v>
      </c>
      <c r="B164" s="5" t="str">
        <f>IFERROR(__xludf.DUMMYFUNCTION("GOOGLETRANSLATE(H164, ""th"", ""en"")
"),"You see a teammate facing a problem, what do you do?")</f>
        <v>You see a teammate facing a problem, what do you do?</v>
      </c>
      <c r="C164" s="5" t="str">
        <f>IFERROR(__xludf.DUMMYFUNCTION("GOOGLETRANSLATE(I164, ""th"", ""en"")
"),"A) Give him encouragement and advice; B) Let him do it himself; C) Stop the fighting; D) Reprimand him loudly.")</f>
        <v>A) Give him encouragement and advice; B) Let him do it himself; C) Stop the fighting; D) Reprimand him loudly.</v>
      </c>
      <c r="D164" s="5" t="str">
        <f>IFERROR(__xludf.DUMMYFUNCTION("GOOGLETRANSLATE(J164, ""th"", ""en"")
"),"A) Provide encouragement and advice.")</f>
        <v>A) Provide encouragement and advice.</v>
      </c>
      <c r="E164" s="5" t="str">
        <f>IFERROR(__xludf.DUMMYFUNCTION("GOOGLETRANSLATE(K164, ""th"", ""en"")
"),"Encouragement will help you build confidence and strength.")</f>
        <v>Encouragement will help you build confidence and strength.</v>
      </c>
      <c r="G164" s="6">
        <v>163.0</v>
      </c>
      <c r="H164" s="7" t="s">
        <v>588</v>
      </c>
      <c r="I164" s="7" t="s">
        <v>589</v>
      </c>
      <c r="J164" s="7" t="s">
        <v>590</v>
      </c>
      <c r="K164" s="7" t="s">
        <v>591</v>
      </c>
    </row>
    <row r="165" ht="14.25" customHeight="1">
      <c r="A165" s="4">
        <v>164.0</v>
      </c>
      <c r="B165" s="5" t="str">
        <f>IFERROR(__xludf.DUMMYFUNCTION("GOOGLETRANSLATE(H165, ""th"", ""en"")
"),"You see that your cow is starting to show signs of injury, what do you do?")</f>
        <v>You see that your cow is starting to show signs of injury, what do you do?</v>
      </c>
      <c r="C165" s="5" t="str">
        <f>IFERROR(__xludf.DUMMYFUNCTION("GOOGLETRANSLATE(I165, ""th"", ""en"")
"),"A) Stop fighting and take care of the bull; B) Let the bull run its course; C) Ask the trainer for advice; D) Keep trying.")</f>
        <v>A) Stop fighting and take care of the bull; B) Let the bull run its course; C) Ask the trainer for advice; D) Keep trying.</v>
      </c>
      <c r="D165" s="5" t="str">
        <f>IFERROR(__xludf.DUMMYFUNCTION("GOOGLETRANSLATE(J165, ""th"", ""en"")
"),"A) Stop fighting and take care of the cows.")</f>
        <v>A) Stop fighting and take care of the cows.</v>
      </c>
      <c r="E165" s="5" t="str">
        <f>IFERROR(__xludf.DUMMYFUNCTION("GOOGLETRANSLATE(K165, ""th"", ""en"")
"),"Taking good care of your cow helps avoid serious injuries.")</f>
        <v>Taking good care of your cow helps avoid serious injuries.</v>
      </c>
      <c r="G165" s="6">
        <v>164.0</v>
      </c>
      <c r="H165" s="7" t="s">
        <v>592</v>
      </c>
      <c r="I165" s="7" t="s">
        <v>593</v>
      </c>
      <c r="J165" s="7" t="s">
        <v>594</v>
      </c>
      <c r="K165" s="7" t="s">
        <v>595</v>
      </c>
    </row>
    <row r="166" ht="14.25" customHeight="1">
      <c r="A166" s="4">
        <v>165.0</v>
      </c>
      <c r="B166" s="5" t="str">
        <f>IFERROR(__xludf.DUMMYFUNCTION("GOOGLETRANSLATE(H166, ""th"", ""en"")
"),"You feel like it's getting harder to control your cows, what should you do?")</f>
        <v>You feel like it's getting harder to control your cows, what should you do?</v>
      </c>
      <c r="C166" s="5" t="str">
        <f>IFERROR(__xludf.DUMMYFUNCTION("GOOGLETRANSLATE(I166, ""th"", ""en"")
"),"A) Immediately adjust posture and control technique; B) Let the bull run its course; C) Stop fighting; D) Ask the trainer for advice.")</f>
        <v>A) Immediately adjust posture and control technique; B) Let the bull run its course; C) Stop fighting; D) Ask the trainer for advice.</v>
      </c>
      <c r="D166" s="5" t="str">
        <f>IFERROR(__xludf.DUMMYFUNCTION("GOOGLETRANSLATE(J166, ""th"", ""en"")
"),"A) Immediately adjust posture and control techniques.")</f>
        <v>A) Immediately adjust posture and control techniques.</v>
      </c>
      <c r="E166" s="5" t="str">
        <f>IFERROR(__xludf.DUMMYFUNCTION("GOOGLETRANSLATE(K166, ""th"", ""en"")
"),"Adjusting your posture gives you better control over the situation.")</f>
        <v>Adjusting your posture gives you better control over the situation.</v>
      </c>
      <c r="G166" s="6">
        <v>165.0</v>
      </c>
      <c r="H166" s="7" t="s">
        <v>560</v>
      </c>
      <c r="I166" s="7" t="s">
        <v>553</v>
      </c>
      <c r="J166" s="7" t="s">
        <v>554</v>
      </c>
      <c r="K166" s="7" t="s">
        <v>502</v>
      </c>
    </row>
    <row r="167" ht="14.25" customHeight="1">
      <c r="A167" s="4">
        <v>166.0</v>
      </c>
      <c r="B167" s="5" t="str">
        <f>IFERROR(__xludf.DUMMYFUNCTION("GOOGLETRANSLATE(H167, ""th"", ""en"")
"),"Your team is starting to show signs of stress. What should you do?")</f>
        <v>Your team is starting to show signs of stress. What should you do?</v>
      </c>
      <c r="C167" s="5" t="str">
        <f>IFERROR(__xludf.DUMMYFUNCTION("GOOGLETRANSLATE(I167, ""th"", ""en"")
"),"A) Encourage him and help him relax; B) Let him do it himself; C) Stop the fighting; D) Reprimand him loudly.")</f>
        <v>A) Encourage him and help him relax; B) Let him do it himself; C) Stop the fighting; D) Reprimand him loudly.</v>
      </c>
      <c r="D167" s="5" t="str">
        <f>IFERROR(__xludf.DUMMYFUNCTION("GOOGLETRANSLATE(J167, ""th"", ""en"")
"),"A) Encourage him and help him relax.")</f>
        <v>A) Encourage him and help him relax.</v>
      </c>
      <c r="E167" s="5" t="str">
        <f>IFERROR(__xludf.DUMMYFUNCTION("GOOGLETRANSLATE(K167, ""th"", ""en"")
"),"Encouragement can reduce stress and increase concentration.")</f>
        <v>Encouragement can reduce stress and increase concentration.</v>
      </c>
      <c r="G167" s="6">
        <v>166.0</v>
      </c>
      <c r="H167" s="7" t="s">
        <v>596</v>
      </c>
      <c r="I167" s="7" t="s">
        <v>565</v>
      </c>
      <c r="J167" s="7" t="s">
        <v>566</v>
      </c>
      <c r="K167" s="7" t="s">
        <v>597</v>
      </c>
    </row>
    <row r="168" ht="14.25" customHeight="1">
      <c r="A168" s="4">
        <v>167.0</v>
      </c>
      <c r="B168" s="5" t="str">
        <f>IFERROR(__xludf.DUMMYFUNCTION("GOOGLETRANSLATE(H168, ""th"", ""en"")
"),"The fight is getting harder and you're feeling anxious. What do you do?")</f>
        <v>The fight is getting harder and you're feeling anxious. What do you do?</v>
      </c>
      <c r="C168" s="5" t="str">
        <f>IFERROR(__xludf.DUMMYFUNCTION("GOOGLETRANSLATE(I168, ""th"", ""en"")
"),"A) Stay focused and manage your stress; B) Stop fighting; C) Change your plans immediately; D) Ask your trainer for advice.")</f>
        <v>A) Stay focused and manage your stress; B) Stop fighting; C) Change your plans immediately; D) Ask your trainer for advice.</v>
      </c>
      <c r="D168" s="5" t="str">
        <f>IFERROR(__xludf.DUMMYFUNCTION("GOOGLETRANSLATE(J168, ""th"", ""en"")
"),"A) Focus and manage stress.")</f>
        <v>A) Focus and manage stress.</v>
      </c>
      <c r="E168" s="5" t="str">
        <f>IFERROR(__xludf.DUMMYFUNCTION("GOOGLETRANSLATE(K168, ""th"", ""en"")
"),"Staying focused helps you cope better with situations.")</f>
        <v>Staying focused helps you cope better with situations.</v>
      </c>
      <c r="G168" s="6">
        <v>167.0</v>
      </c>
      <c r="H168" s="7" t="s">
        <v>598</v>
      </c>
      <c r="I168" s="7" t="s">
        <v>578</v>
      </c>
      <c r="J168" s="7" t="s">
        <v>579</v>
      </c>
      <c r="K168" s="7" t="s">
        <v>547</v>
      </c>
    </row>
    <row r="169" ht="14.25" customHeight="1">
      <c r="A169" s="4">
        <v>168.0</v>
      </c>
      <c r="B169" s="5" t="str">
        <f>IFERROR(__xludf.DUMMYFUNCTION("GOOGLETRANSLATE(H169, ""th"", ""en"")
"),"The situation is getting worse. What should you do?")</f>
        <v>The situation is getting worse. What should you do?</v>
      </c>
      <c r="C169" s="5" t="str">
        <f>IFERROR(__xludf.DUMMYFUNCTION("GOOGLETRANSLATE(I169, ""th"", ""en"")
"),"A) Adjust your strategy and control techniques; B) Stop the fight; C) Change your plans immediately; D) Ask your trainer for advice.")</f>
        <v>A) Adjust your strategy and control techniques; B) Stop the fight; C) Change your plans immediately; D) Ask your trainer for advice.</v>
      </c>
      <c r="D169" s="5" t="str">
        <f>IFERROR(__xludf.DUMMYFUNCTION("GOOGLETRANSLATE(J169, ""th"", ""en"")
"),"A) Adjust control strategies and techniques.")</f>
        <v>A) Adjust control strategies and techniques.</v>
      </c>
      <c r="E169" s="5" t="str">
        <f>IFERROR(__xludf.DUMMYFUNCTION("GOOGLETRANSLATE(K169, ""th"", ""en"")
"),"Strategic adjustments allow you to adapt and cope with situations.")</f>
        <v>Strategic adjustments allow you to adapt and cope with situations.</v>
      </c>
      <c r="G169" s="6">
        <v>168.0</v>
      </c>
      <c r="H169" s="7" t="s">
        <v>599</v>
      </c>
      <c r="I169" s="7" t="s">
        <v>600</v>
      </c>
      <c r="J169" s="7" t="s">
        <v>601</v>
      </c>
      <c r="K169" s="7" t="s">
        <v>602</v>
      </c>
    </row>
    <row r="170" ht="14.25" customHeight="1">
      <c r="A170" s="4">
        <v>169.0</v>
      </c>
      <c r="B170" s="5" t="str">
        <f>IFERROR(__xludf.DUMMYFUNCTION("GOOGLETRANSLATE(H170, ""th"", ""en"")
"),"You feel like your teammates are losing focus, what should you do?")</f>
        <v>You feel like your teammates are losing focus, what should you do?</v>
      </c>
      <c r="C170" s="5" t="str">
        <f>IFERROR(__xludf.DUMMYFUNCTION("GOOGLETRANSLATE(I170, ""th"", ""en"")
"),"A) Encourage and motivate the team; B) Let him act on his emotions; C) Stop the fighting; D) Reprimand him loudly.")</f>
        <v>A) Encourage and motivate the team; B) Let him act on his emotions; C) Stop the fighting; D) Reprimand him loudly.</v>
      </c>
      <c r="D170" s="5" t="str">
        <f>IFERROR(__xludf.DUMMYFUNCTION("GOOGLETRANSLATE(J170, ""th"", ""en"")
"),"A) Encourage and motivate the team.")</f>
        <v>A) Encourage and motivate the team.</v>
      </c>
      <c r="E170" s="5" t="str">
        <f>IFERROR(__xludf.DUMMYFUNCTION("GOOGLETRANSLATE(K170, ""th"", ""en"")
"),"Encouragement and motivation will help increase focus and energy in the team.")</f>
        <v>Encouragement and motivation will help increase focus and energy in the team.</v>
      </c>
      <c r="G170" s="6">
        <v>169.0</v>
      </c>
      <c r="H170" s="7" t="s">
        <v>603</v>
      </c>
      <c r="I170" s="7" t="s">
        <v>604</v>
      </c>
      <c r="J170" s="7" t="s">
        <v>605</v>
      </c>
      <c r="K170" s="7" t="s">
        <v>606</v>
      </c>
    </row>
    <row r="171" ht="14.25" customHeight="1">
      <c r="A171" s="4">
        <v>170.0</v>
      </c>
      <c r="B171" s="5" t="str">
        <f>IFERROR(__xludf.DUMMYFUNCTION("GOOGLETRANSLATE(H171, ""th"", ""en"")
"),"You see that your cows are starting to show signs of fatigue, what do you do?")</f>
        <v>You see that your cows are starting to show signs of fatigue, what do you do?</v>
      </c>
      <c r="C171" s="5" t="str">
        <f>IFERROR(__xludf.DUMMYFUNCTION("GOOGLETRANSLATE(I171, ""th"", ""en"")
"),"A) Immediately adjust posture and control; B) Let the bull run its course; C) Stop fighting; D) Ask the trainer for advice.")</f>
        <v>A) Immediately adjust posture and control; B) Let the bull run its course; C) Stop fighting; D) Ask the trainer for advice.</v>
      </c>
      <c r="D171" s="5" t="str">
        <f>IFERROR(__xludf.DUMMYFUNCTION("GOOGLETRANSLATE(J171, ""th"", ""en"")
"),"A) Immediate posture and control adjustments")</f>
        <v>A) Immediate posture and control adjustments</v>
      </c>
      <c r="E171" s="5" t="str">
        <f>IFERROR(__xludf.DUMMYFUNCTION("GOOGLETRANSLATE(K171, ""th"", ""en"")
"),"Adjusting your posture will help you take better control of the situation.")</f>
        <v>Adjusting your posture will help you take better control of the situation.</v>
      </c>
      <c r="G171" s="6">
        <v>170.0</v>
      </c>
      <c r="H171" s="7" t="s">
        <v>607</v>
      </c>
      <c r="I171" s="7" t="s">
        <v>608</v>
      </c>
      <c r="J171" s="7" t="s">
        <v>490</v>
      </c>
      <c r="K171" s="7" t="s">
        <v>563</v>
      </c>
    </row>
    <row r="172" ht="14.25" customHeight="1">
      <c r="A172" s="4">
        <v>171.0</v>
      </c>
      <c r="B172" s="5" t="str">
        <f>IFERROR(__xludf.DUMMYFUNCTION("GOOGLETRANSLATE(H172, ""th"", ""en"")
"),"Your team is starting to lose commitment. What should you do?")</f>
        <v>Your team is starting to lose commitment. What should you do?</v>
      </c>
      <c r="C172" s="5" t="str">
        <f>IFERROR(__xludf.DUMMYFUNCTION("GOOGLETRANSLATE(I172, ""th"", ""en"")
"),"A) Stimulate the team to refocus; B) Let the team act on their emotions; C) Stop the fighting; D) Blame the team.")</f>
        <v>A) Stimulate the team to refocus; B) Let the team act on their emotions; C) Stop the fighting; D) Blame the team.</v>
      </c>
      <c r="D172" s="5" t="str">
        <f>IFERROR(__xludf.DUMMYFUNCTION("GOOGLETRANSLATE(J172, ""th"", ""en"")
"),"A) Stimulate the team to refocus.")</f>
        <v>A) Stimulate the team to refocus.</v>
      </c>
      <c r="E172" s="5" t="str">
        <f>IFERROR(__xludf.DUMMYFUNCTION("GOOGLETRANSLATE(K172, ""th"", ""en"")
"),"Motivation will increase energy and commitment in the team.")</f>
        <v>Motivation will increase energy and commitment in the team.</v>
      </c>
      <c r="G172" s="6">
        <v>171.0</v>
      </c>
      <c r="H172" s="7" t="s">
        <v>492</v>
      </c>
      <c r="I172" s="7" t="s">
        <v>506</v>
      </c>
      <c r="J172" s="7" t="s">
        <v>507</v>
      </c>
      <c r="K172" s="7" t="s">
        <v>609</v>
      </c>
    </row>
    <row r="173" ht="14.25" customHeight="1">
      <c r="A173" s="4">
        <v>172.0</v>
      </c>
      <c r="B173" s="5" t="str">
        <f>IFERROR(__xludf.DUMMYFUNCTION("GOOGLETRANSLATE(H173, ""th"", ""en"")
"),"You feel your cow is starting to feel restless, what should you do?")</f>
        <v>You feel your cow is starting to feel restless, what should you do?</v>
      </c>
      <c r="C173" s="5" t="str">
        <f>IFERROR(__xludf.DUMMYFUNCTION("GOOGLETRANSLATE(I173, ""th"", ""en"")
"),"A) Adjust posture and control techniques; B) Let the bull run wild; C) Stop fighting; D) Ask the trainer for advice.")</f>
        <v>A) Adjust posture and control techniques; B) Let the bull run wild; C) Stop fighting; D) Ask the trainer for advice.</v>
      </c>
      <c r="D173" s="5" t="str">
        <f>IFERROR(__xludf.DUMMYFUNCTION("GOOGLETRANSLATE(J173, ""th"", ""en"")
"),"A) Adjust posture and control techniques.")</f>
        <v>A) Adjust posture and control techniques.</v>
      </c>
      <c r="E173" s="5" t="str">
        <f>IFERROR(__xludf.DUMMYFUNCTION("GOOGLETRANSLATE(K173, ""th"", ""en"")
"),"Adjusting the posture will help the bull stay focused and ready for battle.")</f>
        <v>Adjusting the posture will help the bull stay focused and ready for battle.</v>
      </c>
      <c r="G173" s="6">
        <v>172.0</v>
      </c>
      <c r="H173" s="7" t="s">
        <v>610</v>
      </c>
      <c r="I173" s="7" t="s">
        <v>522</v>
      </c>
      <c r="J173" s="7" t="s">
        <v>523</v>
      </c>
      <c r="K173" s="7" t="s">
        <v>611</v>
      </c>
    </row>
    <row r="174" ht="14.25" customHeight="1">
      <c r="A174" s="4">
        <v>173.0</v>
      </c>
      <c r="B174" s="5" t="str">
        <f>IFERROR(__xludf.DUMMYFUNCTION("GOOGLETRANSLATE(H174, ""th"", ""en"")
"),"You see your teammates starting to get stressed and lose focus, what do you do?")</f>
        <v>You see your teammates starting to get stressed and lose focus, what do you do?</v>
      </c>
      <c r="C174" s="5" t="str">
        <f>IFERROR(__xludf.DUMMYFUNCTION("GOOGLETRANSLATE(I174, ""th"", ""en"")
"),"A) Encourage him and help him regain focus; B) Let him do it himself; C) Stop the fighting; D) Reprimand him loudly.")</f>
        <v>A) Encourage him and help him regain focus; B) Let him do it himself; C) Stop the fighting; D) Reprimand him loudly.</v>
      </c>
      <c r="D174" s="5" t="str">
        <f>IFERROR(__xludf.DUMMYFUNCTION("GOOGLETRANSLATE(J174, ""th"", ""en"")
"),"A) Encourage him and help him regain focus.")</f>
        <v>A) Encourage him and help him regain focus.</v>
      </c>
      <c r="E174" s="5" t="str">
        <f>IFERROR(__xludf.DUMMYFUNCTION("GOOGLETRANSLATE(K174, ""th"", ""en"")
"),"Encouragement can reduce stress and increase concentration.")</f>
        <v>Encouragement can reduce stress and increase concentration.</v>
      </c>
      <c r="G174" s="6">
        <v>173.0</v>
      </c>
      <c r="H174" s="7" t="s">
        <v>612</v>
      </c>
      <c r="I174" s="7" t="s">
        <v>469</v>
      </c>
      <c r="J174" s="7" t="s">
        <v>470</v>
      </c>
      <c r="K174" s="7" t="s">
        <v>597</v>
      </c>
    </row>
    <row r="175" ht="14.25" customHeight="1">
      <c r="A175" s="4">
        <v>174.0</v>
      </c>
      <c r="B175" s="5" t="str">
        <f>IFERROR(__xludf.DUMMYFUNCTION("GOOGLETRANSLATE(H175, ""th"", ""en"")
"),"The situation is getting tense and you feel unsure. What should you do?")</f>
        <v>The situation is getting tense and you feel unsure. What should you do?</v>
      </c>
      <c r="C175" s="5" t="str">
        <f>IFERROR(__xludf.DUMMYFUNCTION("GOOGLETRANSLATE(I175, ""th"", ""en"")
"),"A) Stay focused and stick to your plan; B) Stop fighting; C) Change your plans immediately; D) Ask your trainer for advice.")</f>
        <v>A) Stay focused and stick to your plan; B) Stop fighting; C) Change your plans immediately; D) Ask your trainer for advice.</v>
      </c>
      <c r="D175" s="5" t="str">
        <f>IFERROR(__xludf.DUMMYFUNCTION("GOOGLETRANSLATE(J175, ""th"", ""en"")
"),"A) Stay focused and follow the plan.")</f>
        <v>A) Stay focused and follow the plan.</v>
      </c>
      <c r="E175" s="5" t="str">
        <f>IFERROR(__xludf.DUMMYFUNCTION("GOOGLETRANSLATE(K175, ""th"", ""en"")
"),"Following a plan will give you confidence and help you cope better with situations.")</f>
        <v>Following a plan will give you confidence and help you cope better with situations.</v>
      </c>
      <c r="G175" s="6">
        <v>174.0</v>
      </c>
      <c r="H175" s="7" t="s">
        <v>613</v>
      </c>
      <c r="I175" s="7" t="s">
        <v>614</v>
      </c>
      <c r="J175" s="7" t="s">
        <v>531</v>
      </c>
      <c r="K175" s="7" t="s">
        <v>615</v>
      </c>
    </row>
    <row r="176" ht="14.25" customHeight="1">
      <c r="A176" s="4">
        <v>175.0</v>
      </c>
      <c r="B176" s="5" t="str">
        <f>IFERROR(__xludf.DUMMYFUNCTION("GOOGLETRANSLATE(H176, ""th"", ""en"")
"),"You see your teammate making a mistake, what do you do?")</f>
        <v>You see your teammate making a mistake, what do you do?</v>
      </c>
      <c r="C176" s="5" t="str">
        <f>IFERROR(__xludf.DUMMYFUNCTION("GOOGLETRANSLATE(I176, ""th"", ""en"")
"),"A) Help him and give him advice; B) Let him do it himself; C) Stop fighting; D) Reprimand him loudly.")</f>
        <v>A) Help him and give him advice; B) Let him do it himself; C) Stop fighting; D) Reprimand him loudly.</v>
      </c>
      <c r="D176" s="5" t="str">
        <f>IFERROR(__xludf.DUMMYFUNCTION("GOOGLETRANSLATE(J176, ""th"", ""en"")
"),"A) Help him and give him advice.")</f>
        <v>A) Help him and give him advice.</v>
      </c>
      <c r="E176" s="5" t="str">
        <f>IFERROR(__xludf.DUMMYFUNCTION("GOOGLETRANSLATE(K176, ""th"", ""en"")
"),"Helping your teammates will give them the confidence to come back and do well.")</f>
        <v>Helping your teammates will give them the confidence to come back and do well.</v>
      </c>
      <c r="G176" s="6">
        <v>175.0</v>
      </c>
      <c r="H176" s="7" t="s">
        <v>616</v>
      </c>
      <c r="I176" s="7" t="s">
        <v>617</v>
      </c>
      <c r="J176" s="7" t="s">
        <v>618</v>
      </c>
      <c r="K176" s="7" t="s">
        <v>619</v>
      </c>
    </row>
    <row r="177" ht="14.25" customHeight="1">
      <c r="A177" s="4">
        <v>176.0</v>
      </c>
      <c r="B177" s="5" t="str">
        <f>IFERROR(__xludf.DUMMYFUNCTION("GOOGLETRANSLATE(H177, ""th"", ""en"")
"),"The situation is getting worse and you are starting to worry. What do you do?")</f>
        <v>The situation is getting worse and you are starting to worry. What do you do?</v>
      </c>
      <c r="C177" s="5" t="str">
        <f>IFERROR(__xludf.DUMMYFUNCTION("GOOGLETRANSLATE(I177, ""th"", ""en"")
"),"A) Concentrate and look for a way out; B) Stop fighting; C) Change plans immediately; D) Ask your trainer for advice.")</f>
        <v>A) Concentrate and look for a way out; B) Stop fighting; C) Change plans immediately; D) Ask your trainer for advice.</v>
      </c>
      <c r="D177" s="5" t="str">
        <f>IFERROR(__xludf.DUMMYFUNCTION("GOOGLETRANSLATE(J177, ""th"", ""en"")
"),"A) Stay focused and look for a solution.")</f>
        <v>A) Stay focused and look for a solution.</v>
      </c>
      <c r="E177" s="5" t="str">
        <f>IFERROR(__xludf.DUMMYFUNCTION("GOOGLETRANSLATE(K177, ""th"", ""en"")
"),"Concentration will help you see solutions and solve problems better.")</f>
        <v>Concentration will help you see solutions and solve problems better.</v>
      </c>
      <c r="G177" s="6">
        <v>176.0</v>
      </c>
      <c r="H177" s="7" t="s">
        <v>620</v>
      </c>
      <c r="I177" s="7" t="s">
        <v>621</v>
      </c>
      <c r="J177" s="7" t="s">
        <v>622</v>
      </c>
      <c r="K177" s="7" t="s">
        <v>623</v>
      </c>
    </row>
    <row r="178" ht="14.25" customHeight="1">
      <c r="A178" s="4">
        <v>177.0</v>
      </c>
      <c r="B178" s="5" t="str">
        <f>IFERROR(__xludf.DUMMYFUNCTION("GOOGLETRANSLATE(H178, ""th"", ""en"")
"),"Your team is starting to lose coordination. What should you do?")</f>
        <v>Your team is starting to lose coordination. What should you do?</v>
      </c>
      <c r="C178" s="5" t="str">
        <f>IFERROR(__xludf.DUMMYFUNCTION("GOOGLETRANSLATE(I178, ""th"", ""en"")
"),"A) Motivate the team and help coordinate; B) Let the team follow its emotions; C) Stop fighting; D) Criticize the team.")</f>
        <v>A) Motivate the team and help coordinate; B) Let the team follow its emotions; C) Stop fighting; D) Criticize the team.</v>
      </c>
      <c r="D178" s="5" t="str">
        <f>IFERROR(__xludf.DUMMYFUNCTION("GOOGLETRANSLATE(J178, ""th"", ""en"")
"),"A) Motivate the team and help coordinate.")</f>
        <v>A) Motivate the team and help coordinate.</v>
      </c>
      <c r="E178" s="5" t="str">
        <f>IFERROR(__xludf.DUMMYFUNCTION("GOOGLETRANSLATE(K178, ""th"", ""en"")
"),"Coordination helps teams work efficiently.")</f>
        <v>Coordination helps teams work efficiently.</v>
      </c>
      <c r="G178" s="6">
        <v>177.0</v>
      </c>
      <c r="H178" s="7" t="s">
        <v>624</v>
      </c>
      <c r="I178" s="7" t="s">
        <v>625</v>
      </c>
      <c r="J178" s="7" t="s">
        <v>626</v>
      </c>
      <c r="K178" s="7" t="s">
        <v>627</v>
      </c>
    </row>
    <row r="179" ht="14.25" customHeight="1">
      <c r="A179" s="4">
        <v>178.0</v>
      </c>
      <c r="B179" s="5" t="str">
        <f>IFERROR(__xludf.DUMMYFUNCTION("GOOGLETRANSLATE(H179, ""th"", ""en"")
"),"You feel like it's getting harder to control your cows, what should you do?")</f>
        <v>You feel like it's getting harder to control your cows, what should you do?</v>
      </c>
      <c r="C179" s="5" t="str">
        <f>IFERROR(__xludf.DUMMYFUNCTION("GOOGLETRANSLATE(I179, ""th"", ""en"")
"),"A) Immediately adjust posture and control; B) Let the bull run its course; C) Stop fighting; D) Ask the trainer for advice.")</f>
        <v>A) Immediately adjust posture and control; B) Let the bull run its course; C) Stop fighting; D) Ask the trainer for advice.</v>
      </c>
      <c r="D179" s="5" t="str">
        <f>IFERROR(__xludf.DUMMYFUNCTION("GOOGLETRANSLATE(J179, ""th"", ""en"")
"),"A) Immediate posture and control adjustments")</f>
        <v>A) Immediate posture and control adjustments</v>
      </c>
      <c r="E179" s="5" t="str">
        <f>IFERROR(__xludf.DUMMYFUNCTION("GOOGLETRANSLATE(K179, ""th"", ""en"")
"),"Adjusting your posture will help you control your cow better.")</f>
        <v>Adjusting your posture will help you control your cow better.</v>
      </c>
      <c r="G179" s="6">
        <v>178.0</v>
      </c>
      <c r="H179" s="7" t="s">
        <v>628</v>
      </c>
      <c r="I179" s="7" t="s">
        <v>608</v>
      </c>
      <c r="J179" s="7" t="s">
        <v>490</v>
      </c>
      <c r="K179" s="7" t="s">
        <v>491</v>
      </c>
    </row>
    <row r="180" ht="14.25" customHeight="1">
      <c r="A180" s="4">
        <v>179.0</v>
      </c>
      <c r="B180" s="5" t="str">
        <f>IFERROR(__xludf.DUMMYFUNCTION("GOOGLETRANSLATE(H180, ""th"", ""en"")
"),"Your teammates are starting to express concern about the situation. What will you do?")</f>
        <v>Your teammates are starting to express concern about the situation. What will you do?</v>
      </c>
      <c r="C180" s="5" t="str">
        <f>IFERROR(__xludf.DUMMYFUNCTION("GOOGLETRANSLATE(I180, ""th"", ""en"")
"),"A) Encourage him and help him relax; B) Let him do it himself; C) Stop the fighting; D) Reprimand him loudly.")</f>
        <v>A) Encourage him and help him relax; B) Let him do it himself; C) Stop the fighting; D) Reprimand him loudly.</v>
      </c>
      <c r="D180" s="5" t="str">
        <f>IFERROR(__xludf.DUMMYFUNCTION("GOOGLETRANSLATE(J180, ""th"", ""en"")
"),"A) Encourage him and help him relax.")</f>
        <v>A) Encourage him and help him relax.</v>
      </c>
      <c r="E180" s="5" t="str">
        <f>IFERROR(__xludf.DUMMYFUNCTION("GOOGLETRANSLATE(K180, ""th"", ""en"")
"),"Encouragement can reduce anxiety and boost team energy.")</f>
        <v>Encouragement can reduce anxiety and boost team energy.</v>
      </c>
      <c r="G180" s="6">
        <v>179.0</v>
      </c>
      <c r="H180" s="7" t="s">
        <v>629</v>
      </c>
      <c r="I180" s="7" t="s">
        <v>565</v>
      </c>
      <c r="J180" s="7" t="s">
        <v>566</v>
      </c>
      <c r="K180" s="7" t="s">
        <v>630</v>
      </c>
    </row>
    <row r="181" ht="14.25" customHeight="1">
      <c r="A181" s="4">
        <v>180.0</v>
      </c>
      <c r="B181" s="5" t="str">
        <f>IFERROR(__xludf.DUMMYFUNCTION("GOOGLETRANSLATE(H181, ""th"", ""en"")
"),"You feel like your teammates are becoming unwilling to fight, what should you do?")</f>
        <v>You feel like your teammates are becoming unwilling to fight, what should you do?</v>
      </c>
      <c r="C181" s="5" t="str">
        <f>IFERROR(__xludf.DUMMYFUNCTION("GOOGLETRANSLATE(I181, ""th"", ""en"")
"),"A) Encourage and motivate him; B) Let him act on his emotions; C) Stop the fighting; D) Reprimand him loudly.")</f>
        <v>A) Encourage and motivate him; B) Let him act on his emotions; C) Stop the fighting; D) Reprimand him loudly.</v>
      </c>
      <c r="D181" s="5" t="str">
        <f>IFERROR(__xludf.DUMMYFUNCTION("GOOGLETRANSLATE(J181, ""th"", ""en"")
"),"A) Encourage and motivate him.")</f>
        <v>A) Encourage and motivate him.</v>
      </c>
      <c r="E181" s="5" t="str">
        <f>IFERROR(__xludf.DUMMYFUNCTION("GOOGLETRANSLATE(K181, ""th"", ""en"")
"),"Motivation and encouragement will help increase team commitment.")</f>
        <v>Motivation and encouragement will help increase team commitment.</v>
      </c>
      <c r="G181" s="6">
        <v>180.0</v>
      </c>
      <c r="H181" s="7" t="s">
        <v>631</v>
      </c>
      <c r="I181" s="7" t="s">
        <v>632</v>
      </c>
      <c r="J181" s="7" t="s">
        <v>445</v>
      </c>
      <c r="K181" s="7" t="s">
        <v>633</v>
      </c>
    </row>
    <row r="182" ht="14.25" customHeight="1">
      <c r="A182" s="4">
        <v>181.0</v>
      </c>
      <c r="B182" s="5" t="str">
        <f>IFERROR(__xludf.DUMMYFUNCTION("GOOGLETRANSLATE(H182, ""th"", ""en"")
"),"You feel your bull's speed decrease during the fight, what do you do?")</f>
        <v>You feel your bull's speed decrease during the fight, what do you do?</v>
      </c>
      <c r="C182" s="5" t="str">
        <f>IFERROR(__xludf.DUMMYFUNCTION("GOOGLETRANSLATE(I182, ""th"", ""en"")
"),"A) Stimulate and increase the bull's speed; B) Let the bull follow its mood; C) Stop fighting; D) Ask the trainer for advice.")</f>
        <v>A) Stimulate and increase the bull's speed; B) Let the bull follow its mood; C) Stop fighting; D) Ask the trainer for advice.</v>
      </c>
      <c r="D182" s="5" t="str">
        <f>IFERROR(__xludf.DUMMYFUNCTION("GOOGLETRANSLATE(J182, ""th"", ""en"")
"),"A) Stimulate and increase the speed of the cow.")</f>
        <v>A) Stimulate and increase the speed of the cow.</v>
      </c>
      <c r="E182" s="5" t="str">
        <f>IFERROR(__xludf.DUMMYFUNCTION("GOOGLETRANSLATE(K182, ""th"", ""en"")
"),"Stimulation increases power and combat speed.")</f>
        <v>Stimulation increases power and combat speed.</v>
      </c>
      <c r="G182" s="6">
        <v>181.0</v>
      </c>
      <c r="H182" s="7" t="s">
        <v>634</v>
      </c>
      <c r="I182" s="7" t="s">
        <v>635</v>
      </c>
      <c r="J182" s="7" t="s">
        <v>636</v>
      </c>
      <c r="K182" s="7" t="s">
        <v>637</v>
      </c>
    </row>
    <row r="183" ht="14.25" customHeight="1">
      <c r="A183" s="4">
        <v>182.0</v>
      </c>
      <c r="B183" s="5" t="str">
        <f>IFERROR(__xludf.DUMMYFUNCTION("GOOGLETRANSLATE(H183, ""th"", ""en"")
"),"Things are starting to go wrong, what do you do?")</f>
        <v>Things are starting to go wrong, what do you do?</v>
      </c>
      <c r="C183" s="5" t="str">
        <f>IFERROR(__xludf.DUMMYFUNCTION("GOOGLETRANSLATE(I183, ""th"", ""en"")
"),"A) Adjust your strategy and find a solution; B) Stop the fight; C) Change your plans immediately; D) Ask your trainer for advice.")</f>
        <v>A) Adjust your strategy and find a solution; B) Stop the fight; C) Change your plans immediately; D) Ask your trainer for advice.</v>
      </c>
      <c r="D183" s="5" t="str">
        <f>IFERROR(__xludf.DUMMYFUNCTION("GOOGLETRANSLATE(J183, ""th"", ""en"")
"),"A) Adjust strategies and find solutions.")</f>
        <v>A) Adjust strategies and find solutions.</v>
      </c>
      <c r="E183" s="5" t="str">
        <f>IFERROR(__xludf.DUMMYFUNCTION("GOOGLETRANSLATE(K183, ""th"", ""en"")
"),"Strategic adjustments allow you to cope with unexpected situations.")</f>
        <v>Strategic adjustments allow you to cope with unexpected situations.</v>
      </c>
      <c r="G183" s="6">
        <v>182.0</v>
      </c>
      <c r="H183" s="7" t="s">
        <v>638</v>
      </c>
      <c r="I183" s="7" t="s">
        <v>639</v>
      </c>
      <c r="J183" s="7" t="s">
        <v>640</v>
      </c>
      <c r="K183" s="7" t="s">
        <v>641</v>
      </c>
    </row>
    <row r="184" ht="14.25" customHeight="1">
      <c r="A184" s="4">
        <v>183.0</v>
      </c>
      <c r="B184" s="5" t="str">
        <f>IFERROR(__xludf.DUMMYFUNCTION("GOOGLETRANSLATE(H184, ""th"", ""en"")
"),"You see that your cows are starting to disobey you, what do you do?")</f>
        <v>You see that your cows are starting to disobey you, what do you do?</v>
      </c>
      <c r="C184" s="5" t="str">
        <f>IFERROR(__xludf.DUMMYFUNCTION("GOOGLETRANSLATE(I184, ""th"", ""en"")
"),"A) Adjust posture and control techniques; B) Let the bull run wild; C) Stop fighting; D) Ask the trainer for advice.")</f>
        <v>A) Adjust posture and control techniques; B) Let the bull run wild; C) Stop fighting; D) Ask the trainer for advice.</v>
      </c>
      <c r="D184" s="5" t="str">
        <f>IFERROR(__xludf.DUMMYFUNCTION("GOOGLETRANSLATE(J184, ""th"", ""en"")
"),"A) Adjust posture and control techniques.")</f>
        <v>A) Adjust posture and control techniques.</v>
      </c>
      <c r="E184" s="5" t="str">
        <f>IFERROR(__xludf.DUMMYFUNCTION("GOOGLETRANSLATE(K184, ""th"", ""en"")
"),"Adjusting your posture will help you control your cow better.")</f>
        <v>Adjusting your posture will help you control your cow better.</v>
      </c>
      <c r="G184" s="6">
        <v>183.0</v>
      </c>
      <c r="H184" s="7" t="s">
        <v>642</v>
      </c>
      <c r="I184" s="7" t="s">
        <v>522</v>
      </c>
      <c r="J184" s="7" t="s">
        <v>523</v>
      </c>
      <c r="K184" s="7" t="s">
        <v>491</v>
      </c>
    </row>
    <row r="185" ht="14.25" customHeight="1">
      <c r="A185" s="4">
        <v>184.0</v>
      </c>
      <c r="B185" s="5" t="str">
        <f>IFERROR(__xludf.DUMMYFUNCTION("GOOGLETRANSLATE(H185, ""th"", ""en"")
"),"You feel like your teammates are losing motivation, what should you do?")</f>
        <v>You feel like your teammates are losing motivation, what should you do?</v>
      </c>
      <c r="C185" s="5" t="str">
        <f>IFERROR(__xludf.DUMMYFUNCTION("GOOGLETRANSLATE(I185, ""th"", ""en"")
"),"A) Encourage and motivate the team; B) Let him act on his emotions; C) Stop the fighting; D) Reprimand him loudly.")</f>
        <v>A) Encourage and motivate the team; B) Let him act on his emotions; C) Stop the fighting; D) Reprimand him loudly.</v>
      </c>
      <c r="D185" s="5" t="str">
        <f>IFERROR(__xludf.DUMMYFUNCTION("GOOGLETRANSLATE(J185, ""th"", ""en"")
"),"A) Encourage and motivate the team.")</f>
        <v>A) Encourage and motivate the team.</v>
      </c>
      <c r="E185" s="5" t="str">
        <f>IFERROR(__xludf.DUMMYFUNCTION("GOOGLETRANSLATE(K185, ""th"", ""en"")
"),"Encouragement will help energize the team and bring them back to focus.")</f>
        <v>Encouragement will help energize the team and bring them back to focus.</v>
      </c>
      <c r="G185" s="6">
        <v>184.0</v>
      </c>
      <c r="H185" s="7" t="s">
        <v>643</v>
      </c>
      <c r="I185" s="7" t="s">
        <v>604</v>
      </c>
      <c r="J185" s="7" t="s">
        <v>605</v>
      </c>
      <c r="K185" s="7" t="s">
        <v>644</v>
      </c>
    </row>
    <row r="186" ht="14.25" customHeight="1">
      <c r="A186" s="4">
        <v>185.0</v>
      </c>
      <c r="B186" s="5" t="str">
        <f>IFERROR(__xludf.DUMMYFUNCTION("GOOGLETRANSLATE(H186, ""th"", ""en"")
"),"Your team is starting to lose communication. What should you do?")</f>
        <v>Your team is starting to lose communication. What should you do?</v>
      </c>
      <c r="C186" s="5" t="str">
        <f>IFERROR(__xludf.DUMMYFUNCTION("GOOGLETRANSLATE(I186, ""th"", ""en"")
"),"A) Encourage the team to communicate more; B) Let the team act on their emotions; C) Stop fighting; D) Blame the team.")</f>
        <v>A) Encourage the team to communicate more; B) Let the team act on their emotions; C) Stop fighting; D) Blame the team.</v>
      </c>
      <c r="D186" s="5" t="str">
        <f>IFERROR(__xludf.DUMMYFUNCTION("GOOGLETRANSLATE(J186, ""th"", ""en"")
"),"A) Encourage the team to communicate more.")</f>
        <v>A) Encourage the team to communicate more.</v>
      </c>
      <c r="E186" s="5" t="str">
        <f>IFERROR(__xludf.DUMMYFUNCTION("GOOGLETRANSLATE(K186, ""th"", ""en"")
"),"Good communication helps teams coordinate better.")</f>
        <v>Good communication helps teams coordinate better.</v>
      </c>
      <c r="G186" s="6">
        <v>185.0</v>
      </c>
      <c r="H186" s="7" t="s">
        <v>645</v>
      </c>
      <c r="I186" s="7" t="s">
        <v>646</v>
      </c>
      <c r="J186" s="7" t="s">
        <v>647</v>
      </c>
      <c r="K186" s="7" t="s">
        <v>648</v>
      </c>
    </row>
    <row r="187" ht="14.25" customHeight="1">
      <c r="A187" s="4">
        <v>186.0</v>
      </c>
      <c r="B187" s="5" t="str">
        <f>IFERROR(__xludf.DUMMYFUNCTION("GOOGLETRANSLATE(H187, ""th"", ""en"")
"),"You see your teammates starting to show signs of anxiety, what do you do?")</f>
        <v>You see your teammates starting to show signs of anxiety, what do you do?</v>
      </c>
      <c r="C187" s="5" t="str">
        <f>IFERROR(__xludf.DUMMYFUNCTION("GOOGLETRANSLATE(I187, ""th"", ""en"")
"),"A) Encourage him and help him relax; B) Let him do it himself; C) Stop the fighting; D) Reprimand him loudly.")</f>
        <v>A) Encourage him and help him relax; B) Let him do it himself; C) Stop the fighting; D) Reprimand him loudly.</v>
      </c>
      <c r="D187" s="5" t="str">
        <f>IFERROR(__xludf.DUMMYFUNCTION("GOOGLETRANSLATE(J187, ""th"", ""en"")
"),"A) Encourage him and help him relax.")</f>
        <v>A) Encourage him and help him relax.</v>
      </c>
      <c r="E187" s="5" t="str">
        <f>IFERROR(__xludf.DUMMYFUNCTION("GOOGLETRANSLATE(K187, ""th"", ""en"")
"),"Helping your teammates relax can help reduce anxiety.")</f>
        <v>Helping your teammates relax can help reduce anxiety.</v>
      </c>
      <c r="G187" s="6">
        <v>186.0</v>
      </c>
      <c r="H187" s="7" t="s">
        <v>649</v>
      </c>
      <c r="I187" s="7" t="s">
        <v>565</v>
      </c>
      <c r="J187" s="7" t="s">
        <v>566</v>
      </c>
      <c r="K187" s="7" t="s">
        <v>650</v>
      </c>
    </row>
    <row r="188" ht="14.25" customHeight="1">
      <c r="A188" s="4">
        <v>187.0</v>
      </c>
      <c r="B188" s="5" t="str">
        <f>IFERROR(__xludf.DUMMYFUNCTION("GOOGLETRANSLATE(H188, ""th"", ""en"")
"),"You feel like it's getting harder to control your cows, what should you do?")</f>
        <v>You feel like it's getting harder to control your cows, what should you do?</v>
      </c>
      <c r="C188" s="5" t="str">
        <f>IFERROR(__xludf.DUMMYFUNCTION("GOOGLETRANSLATE(I188, ""th"", ""en"")
"),"A) Adjust posture and control techniques; B) Let the bull run wild; C) Stop fighting; D) Ask the trainer for advice.")</f>
        <v>A) Adjust posture and control techniques; B) Let the bull run wild; C) Stop fighting; D) Ask the trainer for advice.</v>
      </c>
      <c r="D188" s="5" t="str">
        <f>IFERROR(__xludf.DUMMYFUNCTION("GOOGLETRANSLATE(J188, ""th"", ""en"")
"),"A) Adjust posture and control techniques.")</f>
        <v>A) Adjust posture and control techniques.</v>
      </c>
      <c r="E188" s="5" t="str">
        <f>IFERROR(__xludf.DUMMYFUNCTION("GOOGLETRANSLATE(K188, ""th"", ""en"")
"),"Adjusting your posture will help you control your cow better.")</f>
        <v>Adjusting your posture will help you control your cow better.</v>
      </c>
      <c r="G188" s="6">
        <v>187.0</v>
      </c>
      <c r="H188" s="7" t="s">
        <v>628</v>
      </c>
      <c r="I188" s="7" t="s">
        <v>522</v>
      </c>
      <c r="J188" s="7" t="s">
        <v>523</v>
      </c>
      <c r="K188" s="7" t="s">
        <v>651</v>
      </c>
    </row>
    <row r="189" ht="14.25" customHeight="1">
      <c r="A189" s="4">
        <v>188.0</v>
      </c>
      <c r="B189" s="5" t="str">
        <f>IFERROR(__xludf.DUMMYFUNCTION("GOOGLETRANSLATE(H189, ""th"", ""en"")
"),"Things are getting difficult and you're feeling anxious. What do you do?")</f>
        <v>Things are getting difficult and you're feeling anxious. What do you do?</v>
      </c>
      <c r="C189" s="5" t="str">
        <f>IFERROR(__xludf.DUMMYFUNCTION("GOOGLETRANSLATE(I189, ""th"", ""en"")
"),"A) Concentrate and find a solution; B) Stop fighting; C) Change plans immediately; D) Ask your trainer for advice.")</f>
        <v>A) Concentrate and find a solution; B) Stop fighting; C) Change plans immediately; D) Ask your trainer for advice.</v>
      </c>
      <c r="D189" s="5" t="str">
        <f>IFERROR(__xludf.DUMMYFUNCTION("GOOGLETRANSLATE(J189, ""th"", ""en"")
"),"A) Focus and find a solution.")</f>
        <v>A) Focus and find a solution.</v>
      </c>
      <c r="E189" s="5" t="str">
        <f>IFERROR(__xludf.DUMMYFUNCTION("GOOGLETRANSLATE(K189, ""th"", ""en"")
"),"Concentration helps you think of a solution.")</f>
        <v>Concentration helps you think of a solution.</v>
      </c>
      <c r="G189" s="6">
        <v>188.0</v>
      </c>
      <c r="H189" s="7" t="s">
        <v>652</v>
      </c>
      <c r="I189" s="7" t="s">
        <v>653</v>
      </c>
      <c r="J189" s="7" t="s">
        <v>654</v>
      </c>
      <c r="K189" s="7" t="s">
        <v>655</v>
      </c>
    </row>
    <row r="190" ht="14.25" customHeight="1">
      <c r="A190" s="4">
        <v>189.0</v>
      </c>
      <c r="B190" s="5" t="str">
        <f>IFERROR(__xludf.DUMMYFUNCTION("GOOGLETRANSLATE(H190, ""th"", ""en"")
"),"You see your teammates starting to get stressed out from the pressure, what do you do?")</f>
        <v>You see your teammates starting to get stressed out from the pressure, what do you do?</v>
      </c>
      <c r="C190" s="5" t="str">
        <f>IFERROR(__xludf.DUMMYFUNCTION("GOOGLETRANSLATE(I190, ""th"", ""en"")
"),"A) Encourage him and help him relax; B) Let him do it himself; C) Stop the fighting; D) Reprimand him loudly.")</f>
        <v>A) Encourage him and help him relax; B) Let him do it himself; C) Stop the fighting; D) Reprimand him loudly.</v>
      </c>
      <c r="D190" s="5" t="str">
        <f>IFERROR(__xludf.DUMMYFUNCTION("GOOGLETRANSLATE(J190, ""th"", ""en"")
"),"A) Encourage him and help him relax.")</f>
        <v>A) Encourage him and help him relax.</v>
      </c>
      <c r="E190" s="5" t="str">
        <f>IFERROR(__xludf.DUMMYFUNCTION("GOOGLETRANSLATE(K190, ""th"", ""en"")
"),"Encouragement can reduce stress and increase confidence.")</f>
        <v>Encouragement can reduce stress and increase confidence.</v>
      </c>
      <c r="G190" s="6">
        <v>189.0</v>
      </c>
      <c r="H190" s="7" t="s">
        <v>656</v>
      </c>
      <c r="I190" s="7" t="s">
        <v>565</v>
      </c>
      <c r="J190" s="7" t="s">
        <v>566</v>
      </c>
      <c r="K190" s="7" t="s">
        <v>657</v>
      </c>
    </row>
    <row r="191" ht="14.25" customHeight="1">
      <c r="A191" s="4">
        <v>190.0</v>
      </c>
      <c r="B191" s="5" t="str">
        <f>IFERROR(__xludf.DUMMYFUNCTION("GOOGLETRANSLATE(H191, ""th"", ""en"")
"),"Things are getting tough and you're starting to feel tired. What do you do?")</f>
        <v>Things are getting tough and you're starting to feel tired. What do you do?</v>
      </c>
      <c r="C191" s="5" t="str">
        <f>IFERROR(__xludf.DUMMYFUNCTION("GOOGLETRANSLATE(I191, ""th"", ""en"")
"),"A) Ask your teammates to switch times; B) Stop the fight; C) Ask your coach for advice; D) Adjust your strategy immediately.")</f>
        <v>A) Ask your teammates to switch times; B) Stop the fight; C) Ask your coach for advice; D) Adjust your strategy immediately.</v>
      </c>
      <c r="D191" s="5" t="str">
        <f>IFERROR(__xludf.DUMMYFUNCTION("GOOGLETRANSLATE(J191, ""th"", ""en"")
"),"A) Ask your teammates to switch times.")</f>
        <v>A) Ask your teammates to switch times.</v>
      </c>
      <c r="E191" s="5" t="str">
        <f>IFERROR(__xludf.DUMMYFUNCTION("GOOGLETRANSLATE(K191, ""th"", ""en"")
"),"Alternating time will help reduce fatigue and increase energy.")</f>
        <v>Alternating time will help reduce fatigue and increase energy.</v>
      </c>
      <c r="G191" s="6">
        <v>190.0</v>
      </c>
      <c r="H191" s="7" t="s">
        <v>658</v>
      </c>
      <c r="I191" s="7" t="s">
        <v>586</v>
      </c>
      <c r="J191" s="7" t="s">
        <v>542</v>
      </c>
      <c r="K191" s="7" t="s">
        <v>659</v>
      </c>
    </row>
    <row r="192" ht="14.25" customHeight="1">
      <c r="A192" s="4">
        <v>191.0</v>
      </c>
      <c r="B192" s="5" t="str">
        <f>IFERROR(__xludf.DUMMYFUNCTION("GOOGLETRANSLATE(H192, ""th"", ""en"")
"),"You feel like your cows are getting tired, what do you do?")</f>
        <v>You feel like your cows are getting tired, what do you do?</v>
      </c>
      <c r="C192" s="5" t="str">
        <f>IFERROR(__xludf.DUMMYFUNCTION("GOOGLETRANSLATE(I192, ""th"", ""en"")
"),"A) Stimulate and encourage the bull; B) Let the bull follow its mood; C) Stop fighting; D) Ask the trainer for advice.")</f>
        <v>A) Stimulate and encourage the bull; B) Let the bull follow its mood; C) Stop fighting; D) Ask the trainer for advice.</v>
      </c>
      <c r="D192" s="5" t="str">
        <f>IFERROR(__xludf.DUMMYFUNCTION("GOOGLETRANSLATE(J192, ""th"", ""en"")
"),"A) Stimulate and encourage the cows.")</f>
        <v>A) Stimulate and encourage the cows.</v>
      </c>
      <c r="E192" s="5" t="str">
        <f>IFERROR(__xludf.DUMMYFUNCTION("GOOGLETRANSLATE(K192, ""th"", ""en"")
"),"The stimulation will give the cow the strength to continue fighting.")</f>
        <v>The stimulation will give the cow the strength to continue fighting.</v>
      </c>
      <c r="G192" s="6">
        <v>191.0</v>
      </c>
      <c r="H192" s="7" t="s">
        <v>660</v>
      </c>
      <c r="I192" s="7" t="s">
        <v>661</v>
      </c>
      <c r="J192" s="7" t="s">
        <v>662</v>
      </c>
      <c r="K192" s="7" t="s">
        <v>663</v>
      </c>
    </row>
    <row r="193" ht="14.25" customHeight="1">
      <c r="A193" s="4">
        <v>192.0</v>
      </c>
      <c r="B193" s="5" t="str">
        <f>IFERROR(__xludf.DUMMYFUNCTION("GOOGLETRANSLATE(H193, ""th"", ""en"")
"),"Your teammates are starting to lose focus, what do you do?")</f>
        <v>Your teammates are starting to lose focus, what do you do?</v>
      </c>
      <c r="C193" s="5" t="str">
        <f>IFERROR(__xludf.DUMMYFUNCTION("GOOGLETRANSLATE(I193, ""th"", ""en"")
"),"A) Encourage him and help him focus; B) Let him act on his emotions; C) Stop the fighting; D) Reprimand him loudly.")</f>
        <v>A) Encourage him and help him focus; B) Let him act on his emotions; C) Stop the fighting; D) Reprimand him loudly.</v>
      </c>
      <c r="D193" s="5" t="str">
        <f>IFERROR(__xludf.DUMMYFUNCTION("GOOGLETRANSLATE(J193, ""th"", ""en"")
"),"A) Encourage him and help him focus.")</f>
        <v>A) Encourage him and help him focus.</v>
      </c>
      <c r="E193" s="5" t="str">
        <f>IFERROR(__xludf.DUMMYFUNCTION("GOOGLETRANSLATE(K193, ""th"", ""en"")
"),"Giving encouragement will help your teammates focus.")</f>
        <v>Giving encouragement will help your teammates focus.</v>
      </c>
      <c r="G193" s="6">
        <v>192.0</v>
      </c>
      <c r="H193" s="7" t="s">
        <v>664</v>
      </c>
      <c r="I193" s="7" t="s">
        <v>665</v>
      </c>
      <c r="J193" s="7" t="s">
        <v>666</v>
      </c>
      <c r="K193" s="7" t="s">
        <v>667</v>
      </c>
    </row>
    <row r="194" ht="14.25" customHeight="1">
      <c r="A194" s="4">
        <v>193.0</v>
      </c>
      <c r="B194" s="5" t="str">
        <f>IFERROR(__xludf.DUMMYFUNCTION("GOOGLETRANSLATE(H194, ""th"", ""en"")
"),"The situation is getting tense and you're starting to feel anxious. What do you do?")</f>
        <v>The situation is getting tense and you're starting to feel anxious. What do you do?</v>
      </c>
      <c r="C194" s="5" t="str">
        <f>IFERROR(__xludf.DUMMYFUNCTION("GOOGLETRANSLATE(I194, ""th"", ""en"")
"),"A) Stay focused and stick to your plan; B) Stop fighting; C) Change your plans immediately; D) Ask your trainer for advice.")</f>
        <v>A) Stay focused and stick to your plan; B) Stop fighting; C) Change your plans immediately; D) Ask your trainer for advice.</v>
      </c>
      <c r="D194" s="5" t="str">
        <f>IFERROR(__xludf.DUMMYFUNCTION("GOOGLETRANSLATE(J194, ""th"", ""en"")
"),"A) Stay focused and follow the plan.")</f>
        <v>A) Stay focused and follow the plan.</v>
      </c>
      <c r="E194" s="5" t="str">
        <f>IFERROR(__xludf.DUMMYFUNCTION("GOOGLETRANSLATE(K194, ""th"", ""en"")
"),"Staying focused will help you stay on track.")</f>
        <v>Staying focused will help you stay on track.</v>
      </c>
      <c r="G194" s="6">
        <v>193.0</v>
      </c>
      <c r="H194" s="7" t="s">
        <v>668</v>
      </c>
      <c r="I194" s="7" t="s">
        <v>614</v>
      </c>
      <c r="J194" s="7" t="s">
        <v>531</v>
      </c>
      <c r="K194" s="7" t="s">
        <v>669</v>
      </c>
    </row>
    <row r="195" ht="14.25" customHeight="1">
      <c r="A195" s="4">
        <v>194.0</v>
      </c>
      <c r="B195" s="5" t="str">
        <f>IFERROR(__xludf.DUMMYFUNCTION("GOOGLETRANSLATE(H195, ""th"", ""en"")
"),"You see your teammates facing difficulties, what do you do?")</f>
        <v>You see your teammates facing difficulties, what do you do?</v>
      </c>
      <c r="C195" s="5" t="str">
        <f>IFERROR(__xludf.DUMMYFUNCTION("GOOGLETRANSLATE(I195, ""th"", ""en"")
"),"A) Encourage him and help him solve the problem; B) Let him do it himself; C) Stop the fighting; D) Reprimand him loudly.")</f>
        <v>A) Encourage him and help him solve the problem; B) Let him do it himself; C) Stop the fighting; D) Reprimand him loudly.</v>
      </c>
      <c r="D195" s="5" t="str">
        <f>IFERROR(__xludf.DUMMYFUNCTION("GOOGLETRANSLATE(J195, ""th"", ""en"")
"),"A) Encourage him and help him solve his problems.")</f>
        <v>A) Encourage him and help him solve his problems.</v>
      </c>
      <c r="E195" s="5" t="str">
        <f>IFERROR(__xludf.DUMMYFUNCTION("GOOGLETRANSLATE(K195, ""th"", ""en"")
"),"Helping your teammates will help them resolve the situation.")</f>
        <v>Helping your teammates will help them resolve the situation.</v>
      </c>
      <c r="G195" s="6">
        <v>194.0</v>
      </c>
      <c r="H195" s="7" t="s">
        <v>670</v>
      </c>
      <c r="I195" s="7" t="s">
        <v>671</v>
      </c>
      <c r="J195" s="7" t="s">
        <v>672</v>
      </c>
      <c r="K195" s="7" t="s">
        <v>673</v>
      </c>
    </row>
    <row r="196" ht="14.25" customHeight="1">
      <c r="A196" s="4">
        <v>195.0</v>
      </c>
      <c r="B196" s="5" t="str">
        <f>IFERROR(__xludf.DUMMYFUNCTION("GOOGLETRANSLATE(H196, ""th"", ""en"")
"),"You feel that the cow's movement speed has decreased, what should you do?")</f>
        <v>You feel that the cow's movement speed has decreased, what should you do?</v>
      </c>
      <c r="C196" s="5" t="str">
        <f>IFERROR(__xludf.DUMMYFUNCTION("GOOGLETRANSLATE(I196, ""th"", ""en"")
"),"A) Stimulate the bull to move faster; B) Let the bull follow its mood; C) Stop fighting; D) Ask the trainer for advice.")</f>
        <v>A) Stimulate the bull to move faster; B) Let the bull follow its mood; C) Stop fighting; D) Ask the trainer for advice.</v>
      </c>
      <c r="D196" s="5" t="str">
        <f>IFERROR(__xludf.DUMMYFUNCTION("GOOGLETRANSLATE(J196, ""th"", ""en"")
"),"A) Stimulate the cow to move faster.")</f>
        <v>A) Stimulate the cow to move faster.</v>
      </c>
      <c r="E196" s="5" t="str">
        <f>IFERROR(__xludf.DUMMYFUNCTION("GOOGLETRANSLATE(K196, ""th"", ""en"")
"),"Stimulation will increase the speed of movement.")</f>
        <v>Stimulation will increase the speed of movement.</v>
      </c>
      <c r="G196" s="6">
        <v>195.0</v>
      </c>
      <c r="H196" s="7" t="s">
        <v>674</v>
      </c>
      <c r="I196" s="7" t="s">
        <v>675</v>
      </c>
      <c r="J196" s="7" t="s">
        <v>676</v>
      </c>
      <c r="K196" s="7" t="s">
        <v>677</v>
      </c>
    </row>
    <row r="197" ht="14.25" customHeight="1">
      <c r="A197" s="4">
        <v>196.0</v>
      </c>
      <c r="B197" s="5" t="str">
        <f>IFERROR(__xludf.DUMMYFUNCTION("GOOGLETRANSLATE(H197, ""th"", ""en"")
"),"The situation is getting worse and you are starting to feel stressed. What do you do?")</f>
        <v>The situation is getting worse and you are starting to feel stressed. What do you do?</v>
      </c>
      <c r="C197" s="5" t="str">
        <f>IFERROR(__xludf.DUMMYFUNCTION("GOOGLETRANSLATE(I197, ""th"", ""en"")
"),"A) Concentrate and find a solution; B) Stop fighting; C) Change plans immediately; D) Ask your trainer for advice.")</f>
        <v>A) Concentrate and find a solution; B) Stop fighting; C) Change plans immediately; D) Ask your trainer for advice.</v>
      </c>
      <c r="D197" s="5" t="str">
        <f>IFERROR(__xludf.DUMMYFUNCTION("GOOGLETRANSLATE(J197, ""th"", ""en"")
"),"A) Focus and find a solution.")</f>
        <v>A) Focus and find a solution.</v>
      </c>
      <c r="E197" s="5" t="str">
        <f>IFERROR(__xludf.DUMMYFUNCTION("GOOGLETRANSLATE(K197, ""th"", ""en"")
"),"Concentration helps you think more effectively.")</f>
        <v>Concentration helps you think more effectively.</v>
      </c>
      <c r="G197" s="6">
        <v>196.0</v>
      </c>
      <c r="H197" s="7" t="s">
        <v>678</v>
      </c>
      <c r="I197" s="7" t="s">
        <v>653</v>
      </c>
      <c r="J197" s="7" t="s">
        <v>654</v>
      </c>
      <c r="K197" s="7" t="s">
        <v>679</v>
      </c>
    </row>
    <row r="198" ht="14.25" customHeight="1">
      <c r="A198" s="4">
        <v>197.0</v>
      </c>
      <c r="B198" s="5" t="str">
        <f>IFERROR(__xludf.DUMMYFUNCTION("GOOGLETRANSLATE(H198, ""th"", ""en"")
"),"You see your teammates starting to make mistakes in battle, what do you do?")</f>
        <v>You see your teammates starting to make mistakes in battle, what do you do?</v>
      </c>
      <c r="C198" s="5" t="str">
        <f>IFERROR(__xludf.DUMMYFUNCTION("GOOGLETRANSLATE(I198, ""th"", ""en"")
"),"A) Encourage and help him; B) Let him do it himself; C) Stop fighting; D) Reprimand him loudly.")</f>
        <v>A) Encourage and help him; B) Let him do it himself; C) Stop fighting; D) Reprimand him loudly.</v>
      </c>
      <c r="D198" s="5" t="str">
        <f>IFERROR(__xludf.DUMMYFUNCTION("GOOGLETRANSLATE(J198, ""th"", ""en"")
"),"A) Encourage and help him.")</f>
        <v>A) Encourage and help him.</v>
      </c>
      <c r="E198" s="5" t="str">
        <f>IFERROR(__xludf.DUMMYFUNCTION("GOOGLETRANSLATE(K198, ""th"", ""en"")
"),"Giving encouragement will help boost your teammates' confidence.")</f>
        <v>Giving encouragement will help boost your teammates' confidence.</v>
      </c>
      <c r="G198" s="6">
        <v>197.0</v>
      </c>
      <c r="H198" s="7" t="s">
        <v>680</v>
      </c>
      <c r="I198" s="7" t="s">
        <v>681</v>
      </c>
      <c r="J198" s="7" t="s">
        <v>682</v>
      </c>
      <c r="K198" s="7" t="s">
        <v>683</v>
      </c>
    </row>
    <row r="199" ht="14.25" customHeight="1">
      <c r="A199" s="4">
        <v>198.0</v>
      </c>
      <c r="B199" s="5" t="str">
        <f>IFERROR(__xludf.DUMMYFUNCTION("GOOGLETRANSLATE(H199, ""th"", ""en"")
"),"You feel like your teammates are getting discouraged, what do you do?")</f>
        <v>You feel like your teammates are getting discouraged, what do you do?</v>
      </c>
      <c r="C199" s="5" t="str">
        <f>IFERROR(__xludf.DUMMYFUNCTION("GOOGLETRANSLATE(I199, ""th"", ""en"")
"),"A) Encourage and motivate him; B) Let him act on his emotions; C) Stop the fighting; D) Reprimand him loudly.")</f>
        <v>A) Encourage and motivate him; B) Let him act on his emotions; C) Stop the fighting; D) Reprimand him loudly.</v>
      </c>
      <c r="D199" s="5" t="str">
        <f>IFERROR(__xludf.DUMMYFUNCTION("GOOGLETRANSLATE(J199, ""th"", ""en"")
"),"A) Encourage and motivate him.")</f>
        <v>A) Encourage and motivate him.</v>
      </c>
      <c r="E199" s="5" t="str">
        <f>IFERROR(__xludf.DUMMYFUNCTION("GOOGLETRANSLATE(K199, ""th"", ""en"")
"),"Motivation and encouragement will help energize the team.")</f>
        <v>Motivation and encouragement will help energize the team.</v>
      </c>
      <c r="G199" s="6">
        <v>198.0</v>
      </c>
      <c r="H199" s="7" t="s">
        <v>684</v>
      </c>
      <c r="I199" s="7" t="s">
        <v>632</v>
      </c>
      <c r="J199" s="7" t="s">
        <v>445</v>
      </c>
      <c r="K199" s="7" t="s">
        <v>685</v>
      </c>
    </row>
    <row r="200" ht="14.25" customHeight="1">
      <c r="A200" s="4">
        <v>199.0</v>
      </c>
      <c r="B200" s="5" t="str">
        <f>IFERROR(__xludf.DUMMYFUNCTION("GOOGLETRANSLATE(H200, ""th"", ""en"")
"),"Things are getting tough and you're feeling exhausted. What do you do?")</f>
        <v>Things are getting tough and you're feeling exhausted. What do you do?</v>
      </c>
      <c r="C200" s="5" t="str">
        <f>IFERROR(__xludf.DUMMYFUNCTION("GOOGLETRANSLATE(I200, ""th"", ""en"")
"),"A) Ask your teammates to switch times; B) Stop the fight; C) Ask your coach for advice; D) Adjust your strategy immediately.")</f>
        <v>A) Ask your teammates to switch times; B) Stop the fight; C) Ask your coach for advice; D) Adjust your strategy immediately.</v>
      </c>
      <c r="D200" s="5" t="str">
        <f>IFERROR(__xludf.DUMMYFUNCTION("GOOGLETRANSLATE(J200, ""th"", ""en"")
"),"A) Ask your teammates to switch times.")</f>
        <v>A) Ask your teammates to switch times.</v>
      </c>
      <c r="E200" s="5" t="str">
        <f>IFERROR(__xludf.DUMMYFUNCTION("GOOGLETRANSLATE(K200, ""th"", ""en"")
"),"Alternating time with teammates will reduce fatigue.")</f>
        <v>Alternating time with teammates will reduce fatigue.</v>
      </c>
      <c r="G200" s="6">
        <v>199.0</v>
      </c>
      <c r="H200" s="7" t="s">
        <v>686</v>
      </c>
      <c r="I200" s="7" t="s">
        <v>586</v>
      </c>
      <c r="J200" s="7" t="s">
        <v>542</v>
      </c>
      <c r="K200" s="7" t="s">
        <v>687</v>
      </c>
    </row>
    <row r="201" ht="14.25" customHeight="1">
      <c r="A201" s="4">
        <v>200.0</v>
      </c>
      <c r="B201" s="5" t="str">
        <f>IFERROR(__xludf.DUMMYFUNCTION("GOOGLETRANSLATE(H201, ""th"", ""en"")
"),"You see that your cow is starting to show signs of injury, what do you do?")</f>
        <v>You see that your cow is starting to show signs of injury, what do you do?</v>
      </c>
      <c r="C201" s="5" t="str">
        <f>IFERROR(__xludf.DUMMYFUNCTION("GOOGLETRANSLATE(I201, ""th"", ""en"")
"),"A) Stop fighting and take care of the bull; B) Let the bull run its course; C) Ask the trainer for advice; D) Continue as normal.")</f>
        <v>A) Stop fighting and take care of the bull; B) Let the bull run its course; C) Ask the trainer for advice; D) Continue as normal.</v>
      </c>
      <c r="D201" s="5" t="str">
        <f>IFERROR(__xludf.DUMMYFUNCTION("GOOGLETRANSLATE(J201, ""th"", ""en"")
"),"A) Stop fighting and take care of the cows.")</f>
        <v>A) Stop fighting and take care of the cows.</v>
      </c>
      <c r="E201" s="5" t="str">
        <f>IFERROR(__xludf.DUMMYFUNCTION("GOOGLETRANSLATE(K201, ""th"", ""en"")
"),"Proper care of your cow will help prevent serious injuries.")</f>
        <v>Proper care of your cow will help prevent serious injuries.</v>
      </c>
      <c r="G201" s="6">
        <v>200.0</v>
      </c>
      <c r="H201" s="7" t="s">
        <v>592</v>
      </c>
      <c r="I201" s="7" t="s">
        <v>688</v>
      </c>
      <c r="J201" s="7" t="s">
        <v>594</v>
      </c>
      <c r="K201" s="7" t="s">
        <v>689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>
      <c r="A208" s="8" t="s">
        <v>690</v>
      </c>
    </row>
    <row r="209" ht="14.25" customHeight="1">
      <c r="A209" s="9" t="s">
        <v>1</v>
      </c>
      <c r="B209" s="9" t="s">
        <v>691</v>
      </c>
      <c r="C209" s="9" t="s">
        <v>692</v>
      </c>
      <c r="D209" s="9" t="s">
        <v>693</v>
      </c>
      <c r="E209" s="9" t="s">
        <v>694</v>
      </c>
      <c r="F209" s="9" t="s">
        <v>695</v>
      </c>
      <c r="G209" s="9" t="s">
        <v>696</v>
      </c>
      <c r="H209" s="9" t="s">
        <v>697</v>
      </c>
      <c r="I209" s="9" t="s">
        <v>698</v>
      </c>
      <c r="J209" s="9" t="s">
        <v>699</v>
      </c>
      <c r="K209" s="9"/>
      <c r="L209" s="9" t="s">
        <v>700</v>
      </c>
      <c r="M209" s="9" t="s">
        <v>701</v>
      </c>
      <c r="N209" s="9" t="s">
        <v>702</v>
      </c>
    </row>
    <row r="210" ht="14.25" customHeight="1">
      <c r="A210" s="10" t="s">
        <v>703</v>
      </c>
      <c r="D210" s="10" t="s">
        <v>704</v>
      </c>
      <c r="E210" s="11"/>
      <c r="F210" s="10" t="s">
        <v>705</v>
      </c>
      <c r="G210" s="11"/>
      <c r="H210" s="10" t="s">
        <v>706</v>
      </c>
      <c r="I210" s="11"/>
      <c r="J210" s="10" t="s">
        <v>707</v>
      </c>
      <c r="K210" s="11"/>
      <c r="L210" s="11"/>
      <c r="M210" s="10" t="s">
        <v>704</v>
      </c>
      <c r="N210" s="11"/>
    </row>
    <row r="211" ht="14.25" customHeight="1">
      <c r="A211" s="10" t="s">
        <v>708</v>
      </c>
      <c r="D211" s="10" t="s">
        <v>709</v>
      </c>
      <c r="F211" s="10" t="s">
        <v>710</v>
      </c>
      <c r="H211" s="10" t="s">
        <v>711</v>
      </c>
      <c r="J211" s="10" t="s">
        <v>712</v>
      </c>
      <c r="M211" s="10" t="s">
        <v>710</v>
      </c>
    </row>
    <row r="212" ht="14.25" customHeight="1">
      <c r="A212" s="10" t="s">
        <v>713</v>
      </c>
      <c r="C212" s="11"/>
      <c r="D212" s="10" t="s">
        <v>714</v>
      </c>
      <c r="F212" s="10" t="s">
        <v>715</v>
      </c>
      <c r="G212" s="11"/>
      <c r="H212" s="10" t="s">
        <v>716</v>
      </c>
      <c r="I212" s="11"/>
      <c r="J212" s="10" t="s">
        <v>717</v>
      </c>
      <c r="M212" s="10" t="s">
        <v>714</v>
      </c>
    </row>
    <row r="213" ht="14.25" customHeight="1">
      <c r="A213" s="10" t="s">
        <v>718</v>
      </c>
      <c r="D213" s="10" t="s">
        <v>719</v>
      </c>
      <c r="F213" s="10" t="s">
        <v>714</v>
      </c>
      <c r="H213" s="10" t="s">
        <v>720</v>
      </c>
      <c r="J213" s="10" t="s">
        <v>721</v>
      </c>
      <c r="M213" s="10" t="s">
        <v>714</v>
      </c>
    </row>
    <row r="214" ht="14.25" customHeight="1">
      <c r="A214" s="10" t="s">
        <v>722</v>
      </c>
      <c r="C214" s="11"/>
      <c r="D214" s="10" t="s">
        <v>723</v>
      </c>
      <c r="F214" s="10" t="s">
        <v>724</v>
      </c>
      <c r="G214" s="11"/>
      <c r="H214" s="10" t="s">
        <v>725</v>
      </c>
      <c r="J214" s="10" t="s">
        <v>726</v>
      </c>
      <c r="M214" s="10" t="s">
        <v>725</v>
      </c>
    </row>
    <row r="215" ht="14.25" customHeight="1">
      <c r="A215" s="10" t="s">
        <v>727</v>
      </c>
      <c r="D215" s="10" t="s">
        <v>728</v>
      </c>
      <c r="F215" s="10" t="s">
        <v>729</v>
      </c>
      <c r="H215" s="10" t="s">
        <v>730</v>
      </c>
      <c r="J215" s="10" t="s">
        <v>731</v>
      </c>
      <c r="M215" s="10" t="s">
        <v>729</v>
      </c>
    </row>
    <row r="216" ht="14.25" customHeight="1">
      <c r="A216" s="10" t="s">
        <v>732</v>
      </c>
      <c r="D216" s="10" t="s">
        <v>733</v>
      </c>
      <c r="F216" s="10" t="s">
        <v>734</v>
      </c>
      <c r="H216" s="10" t="s">
        <v>735</v>
      </c>
      <c r="J216" s="10" t="s">
        <v>736</v>
      </c>
      <c r="M216" s="10" t="s">
        <v>733</v>
      </c>
    </row>
    <row r="217" ht="14.25" customHeight="1">
      <c r="A217" s="10" t="s">
        <v>737</v>
      </c>
      <c r="D217" s="10" t="s">
        <v>738</v>
      </c>
      <c r="E217" s="11"/>
      <c r="F217" s="10" t="s">
        <v>739</v>
      </c>
      <c r="G217" s="11"/>
      <c r="H217" s="10" t="s">
        <v>740</v>
      </c>
      <c r="I217" s="11"/>
      <c r="J217" s="10" t="s">
        <v>741</v>
      </c>
      <c r="K217" s="11"/>
      <c r="L217" s="11"/>
      <c r="M217" s="10" t="s">
        <v>740</v>
      </c>
      <c r="N217" s="11"/>
    </row>
    <row r="218" ht="14.25" customHeight="1">
      <c r="A218" s="10" t="s">
        <v>742</v>
      </c>
      <c r="D218" s="10" t="s">
        <v>743</v>
      </c>
      <c r="F218" s="10" t="s">
        <v>744</v>
      </c>
      <c r="H218" s="10" t="s">
        <v>745</v>
      </c>
      <c r="J218" s="10" t="s">
        <v>746</v>
      </c>
      <c r="K218" s="11"/>
      <c r="L218" s="11"/>
      <c r="M218" s="10" t="s">
        <v>745</v>
      </c>
    </row>
    <row r="219" ht="14.25" customHeight="1">
      <c r="A219" s="10" t="s">
        <v>747</v>
      </c>
      <c r="C219" s="11"/>
      <c r="D219" s="10" t="s">
        <v>748</v>
      </c>
      <c r="E219" s="11"/>
      <c r="F219" s="10" t="s">
        <v>749</v>
      </c>
      <c r="G219" s="11"/>
      <c r="H219" s="10" t="s">
        <v>750</v>
      </c>
      <c r="J219" s="10" t="s">
        <v>714</v>
      </c>
      <c r="M219" s="10" t="s">
        <v>750</v>
      </c>
    </row>
    <row r="220" ht="14.25" customHeight="1">
      <c r="A220" s="10" t="s">
        <v>751</v>
      </c>
      <c r="D220" s="10" t="s">
        <v>752</v>
      </c>
      <c r="F220" s="10" t="s">
        <v>753</v>
      </c>
      <c r="G220" s="11"/>
      <c r="H220" s="10" t="s">
        <v>754</v>
      </c>
      <c r="J220" s="10" t="s">
        <v>755</v>
      </c>
      <c r="K220" s="11"/>
      <c r="L220" s="11"/>
      <c r="M220" s="10" t="s">
        <v>754</v>
      </c>
    </row>
    <row r="221" ht="14.25" customHeight="1">
      <c r="A221" s="10" t="s">
        <v>756</v>
      </c>
      <c r="D221" s="10" t="s">
        <v>757</v>
      </c>
      <c r="F221" s="10" t="s">
        <v>758</v>
      </c>
      <c r="H221" s="10" t="s">
        <v>759</v>
      </c>
      <c r="J221" s="10" t="s">
        <v>760</v>
      </c>
      <c r="M221" s="10" t="s">
        <v>759</v>
      </c>
    </row>
    <row r="222" ht="14.25" customHeight="1">
      <c r="A222" s="10" t="s">
        <v>761</v>
      </c>
      <c r="D222" s="10" t="s">
        <v>762</v>
      </c>
      <c r="E222" s="11"/>
      <c r="F222" s="10" t="s">
        <v>763</v>
      </c>
      <c r="G222" s="11"/>
      <c r="H222" s="10" t="s">
        <v>764</v>
      </c>
      <c r="J222" s="10" t="s">
        <v>765</v>
      </c>
      <c r="M222" s="10" t="s">
        <v>764</v>
      </c>
    </row>
    <row r="223" ht="14.25" customHeight="1">
      <c r="A223" s="10" t="s">
        <v>766</v>
      </c>
      <c r="D223" s="10" t="s">
        <v>767</v>
      </c>
      <c r="F223" s="10" t="s">
        <v>768</v>
      </c>
      <c r="G223" s="11"/>
      <c r="H223" s="10" t="s">
        <v>769</v>
      </c>
      <c r="J223" s="10" t="s">
        <v>770</v>
      </c>
      <c r="M223" s="10" t="s">
        <v>769</v>
      </c>
    </row>
    <row r="224" ht="14.25" customHeight="1">
      <c r="A224" s="10" t="s">
        <v>771</v>
      </c>
      <c r="D224" s="10" t="s">
        <v>772</v>
      </c>
      <c r="F224" s="10" t="s">
        <v>773</v>
      </c>
      <c r="H224" s="10" t="s">
        <v>774</v>
      </c>
      <c r="J224" s="10" t="s">
        <v>775</v>
      </c>
      <c r="K224" s="11"/>
      <c r="L224" s="11"/>
      <c r="M224" s="10" t="s">
        <v>774</v>
      </c>
    </row>
    <row r="225" ht="14.25" customHeight="1">
      <c r="A225" s="10" t="s">
        <v>776</v>
      </c>
      <c r="D225" s="10" t="s">
        <v>777</v>
      </c>
      <c r="E225" s="11"/>
      <c r="F225" s="10" t="s">
        <v>778</v>
      </c>
      <c r="H225" s="10" t="s">
        <v>779</v>
      </c>
      <c r="J225" s="10" t="s">
        <v>780</v>
      </c>
      <c r="M225" s="10" t="s">
        <v>779</v>
      </c>
    </row>
    <row r="226" ht="14.25" customHeight="1">
      <c r="A226" s="10" t="s">
        <v>781</v>
      </c>
      <c r="D226" s="10" t="s">
        <v>782</v>
      </c>
      <c r="E226" s="11"/>
      <c r="F226" s="10" t="s">
        <v>783</v>
      </c>
      <c r="G226" s="11"/>
      <c r="H226" s="10" t="s">
        <v>784</v>
      </c>
      <c r="I226" s="11"/>
      <c r="J226" s="10" t="s">
        <v>785</v>
      </c>
      <c r="K226" s="11"/>
      <c r="L226" s="11"/>
      <c r="M226" s="10" t="s">
        <v>783</v>
      </c>
      <c r="N226" s="11"/>
    </row>
    <row r="227" ht="14.25" customHeight="1">
      <c r="A227" s="10" t="s">
        <v>786</v>
      </c>
      <c r="D227" s="10" t="s">
        <v>787</v>
      </c>
      <c r="E227" s="11"/>
      <c r="F227" s="10" t="s">
        <v>788</v>
      </c>
      <c r="H227" s="10" t="s">
        <v>789</v>
      </c>
      <c r="J227" s="10" t="s">
        <v>775</v>
      </c>
      <c r="K227" s="11"/>
      <c r="L227" s="11"/>
      <c r="M227" s="10" t="s">
        <v>788</v>
      </c>
    </row>
    <row r="228" ht="14.25" customHeight="1">
      <c r="A228" s="10" t="s">
        <v>790</v>
      </c>
      <c r="D228" s="10" t="s">
        <v>748</v>
      </c>
      <c r="E228" s="11"/>
      <c r="F228" s="10" t="s">
        <v>791</v>
      </c>
      <c r="H228" s="10" t="s">
        <v>714</v>
      </c>
      <c r="J228" s="10" t="s">
        <v>792</v>
      </c>
      <c r="M228" s="10" t="s">
        <v>791</v>
      </c>
    </row>
    <row r="229" ht="14.25" customHeight="1">
      <c r="A229" s="10" t="s">
        <v>793</v>
      </c>
      <c r="D229" s="10" t="s">
        <v>794</v>
      </c>
      <c r="F229" s="10" t="s">
        <v>795</v>
      </c>
      <c r="H229" s="10" t="s">
        <v>796</v>
      </c>
      <c r="J229" s="10" t="s">
        <v>797</v>
      </c>
      <c r="K229" s="11"/>
      <c r="L229" s="11"/>
      <c r="M229" s="10" t="s">
        <v>797</v>
      </c>
      <c r="N229" s="11"/>
    </row>
    <row r="230" ht="14.25" customHeight="1">
      <c r="A230" s="10" t="s">
        <v>798</v>
      </c>
      <c r="D230" s="10" t="s">
        <v>799</v>
      </c>
      <c r="E230" s="11"/>
      <c r="F230" s="10" t="s">
        <v>800</v>
      </c>
      <c r="G230" s="11"/>
      <c r="H230" s="10" t="s">
        <v>706</v>
      </c>
      <c r="I230" s="11"/>
      <c r="J230" s="10" t="s">
        <v>707</v>
      </c>
      <c r="K230" s="11"/>
      <c r="L230" s="11"/>
      <c r="M230" s="10" t="s">
        <v>800</v>
      </c>
      <c r="N230" s="11"/>
    </row>
    <row r="231" ht="14.25" customHeight="1">
      <c r="A231" s="10" t="s">
        <v>801</v>
      </c>
      <c r="C231" s="11"/>
      <c r="D231" s="10" t="s">
        <v>802</v>
      </c>
      <c r="F231" s="10" t="s">
        <v>803</v>
      </c>
      <c r="G231" s="11"/>
      <c r="H231" s="10" t="s">
        <v>804</v>
      </c>
      <c r="J231" s="10" t="s">
        <v>805</v>
      </c>
      <c r="M231" s="10" t="s">
        <v>802</v>
      </c>
    </row>
    <row r="232" ht="14.25" customHeight="1">
      <c r="A232" s="10" t="s">
        <v>806</v>
      </c>
      <c r="C232" s="11"/>
      <c r="D232" s="10" t="s">
        <v>777</v>
      </c>
      <c r="E232" s="11"/>
      <c r="F232" s="10" t="s">
        <v>803</v>
      </c>
      <c r="G232" s="11"/>
      <c r="H232" s="10" t="s">
        <v>714</v>
      </c>
      <c r="J232" s="10" t="s">
        <v>807</v>
      </c>
      <c r="M232" s="10" t="s">
        <v>714</v>
      </c>
    </row>
    <row r="233" ht="14.25" customHeight="1">
      <c r="A233" s="10" t="s">
        <v>808</v>
      </c>
      <c r="D233" s="10" t="s">
        <v>803</v>
      </c>
      <c r="E233" s="11"/>
      <c r="F233" s="10" t="s">
        <v>809</v>
      </c>
      <c r="G233" s="11"/>
      <c r="H233" s="10" t="s">
        <v>810</v>
      </c>
      <c r="J233" s="10" t="s">
        <v>811</v>
      </c>
      <c r="M233" s="10" t="s">
        <v>810</v>
      </c>
    </row>
    <row r="234" ht="14.25" customHeight="1">
      <c r="A234" s="10" t="s">
        <v>812</v>
      </c>
      <c r="D234" s="10" t="s">
        <v>803</v>
      </c>
      <c r="E234" s="11"/>
      <c r="F234" s="10" t="s">
        <v>809</v>
      </c>
      <c r="G234" s="11"/>
      <c r="H234" s="10" t="s">
        <v>804</v>
      </c>
      <c r="J234" s="10" t="s">
        <v>805</v>
      </c>
      <c r="M234" s="10" t="s">
        <v>803</v>
      </c>
      <c r="N234" s="11"/>
    </row>
    <row r="235" ht="14.25" customHeight="1">
      <c r="A235" s="10" t="s">
        <v>813</v>
      </c>
      <c r="D235" s="10" t="s">
        <v>704</v>
      </c>
      <c r="E235" s="11"/>
      <c r="F235" s="10" t="s">
        <v>705</v>
      </c>
      <c r="G235" s="11"/>
      <c r="H235" s="10" t="s">
        <v>814</v>
      </c>
      <c r="I235" s="11"/>
      <c r="J235" s="10" t="s">
        <v>706</v>
      </c>
      <c r="K235" s="11"/>
      <c r="L235" s="11"/>
      <c r="M235" s="10" t="s">
        <v>704</v>
      </c>
      <c r="N235" s="11"/>
    </row>
    <row r="236" ht="14.25" customHeight="1">
      <c r="A236" s="10" t="s">
        <v>815</v>
      </c>
      <c r="D236" s="10" t="s">
        <v>803</v>
      </c>
      <c r="E236" s="11"/>
      <c r="F236" s="10" t="s">
        <v>809</v>
      </c>
      <c r="G236" s="11"/>
      <c r="H236" s="10" t="s">
        <v>816</v>
      </c>
      <c r="J236" s="10" t="s">
        <v>817</v>
      </c>
      <c r="K236" s="11"/>
      <c r="L236" s="11"/>
      <c r="M236" s="10" t="s">
        <v>809</v>
      </c>
      <c r="N236" s="11"/>
    </row>
    <row r="237" ht="14.25" customHeight="1">
      <c r="A237" s="10" t="s">
        <v>713</v>
      </c>
      <c r="C237" s="11"/>
      <c r="D237" s="10" t="s">
        <v>777</v>
      </c>
      <c r="E237" s="11"/>
      <c r="F237" s="10" t="s">
        <v>715</v>
      </c>
      <c r="G237" s="11"/>
      <c r="H237" s="10" t="s">
        <v>716</v>
      </c>
      <c r="I237" s="11"/>
      <c r="J237" s="10" t="s">
        <v>818</v>
      </c>
      <c r="M237" s="10" t="s">
        <v>818</v>
      </c>
    </row>
    <row r="238" ht="14.25" customHeight="1">
      <c r="A238" s="10" t="s">
        <v>819</v>
      </c>
      <c r="C238" s="11"/>
      <c r="D238" s="10" t="s">
        <v>777</v>
      </c>
      <c r="E238" s="11"/>
      <c r="F238" s="10" t="s">
        <v>719</v>
      </c>
      <c r="H238" s="10" t="s">
        <v>820</v>
      </c>
      <c r="I238" s="11"/>
      <c r="J238" s="10" t="s">
        <v>720</v>
      </c>
      <c r="M238" s="10" t="s">
        <v>820</v>
      </c>
      <c r="N238" s="11"/>
    </row>
    <row r="239" ht="14.25" customHeight="1">
      <c r="A239" s="10" t="s">
        <v>821</v>
      </c>
      <c r="D239" s="10" t="s">
        <v>724</v>
      </c>
      <c r="E239" s="11"/>
      <c r="F239" s="10" t="s">
        <v>822</v>
      </c>
      <c r="H239" s="10" t="s">
        <v>823</v>
      </c>
      <c r="I239" s="11"/>
      <c r="J239" s="10" t="s">
        <v>824</v>
      </c>
      <c r="K239" s="11"/>
      <c r="L239" s="11"/>
      <c r="M239" s="10" t="s">
        <v>822</v>
      </c>
    </row>
    <row r="240" ht="14.25" customHeight="1">
      <c r="A240" s="10" t="s">
        <v>825</v>
      </c>
      <c r="D240" s="10" t="s">
        <v>826</v>
      </c>
      <c r="E240" s="11"/>
      <c r="F240" s="10" t="s">
        <v>827</v>
      </c>
      <c r="G240" s="11"/>
      <c r="H240" s="10" t="s">
        <v>828</v>
      </c>
      <c r="J240" s="10" t="s">
        <v>829</v>
      </c>
      <c r="K240" s="11"/>
      <c r="L240" s="11"/>
      <c r="M240" s="10" t="s">
        <v>826</v>
      </c>
      <c r="N240" s="11"/>
    </row>
    <row r="241" ht="14.25" customHeight="1">
      <c r="A241" s="10" t="s">
        <v>830</v>
      </c>
      <c r="D241" s="10" t="s">
        <v>831</v>
      </c>
      <c r="F241" s="10" t="s">
        <v>832</v>
      </c>
      <c r="G241" s="11"/>
      <c r="H241" s="10" t="s">
        <v>833</v>
      </c>
      <c r="J241" s="10" t="s">
        <v>834</v>
      </c>
      <c r="M241" s="10" t="s">
        <v>833</v>
      </c>
    </row>
    <row r="242" ht="14.25" customHeight="1">
      <c r="A242" s="10" t="s">
        <v>835</v>
      </c>
      <c r="C242" s="11"/>
      <c r="D242" s="10" t="s">
        <v>738</v>
      </c>
      <c r="E242" s="11"/>
      <c r="F242" s="10" t="s">
        <v>739</v>
      </c>
      <c r="G242" s="11"/>
      <c r="H242" s="10" t="s">
        <v>740</v>
      </c>
      <c r="I242" s="11"/>
      <c r="J242" s="10" t="s">
        <v>740</v>
      </c>
      <c r="K242" s="11"/>
      <c r="L242" s="11"/>
      <c r="M242" s="10" t="s">
        <v>740</v>
      </c>
      <c r="N242" s="11"/>
    </row>
    <row r="243" ht="14.25" customHeight="1">
      <c r="A243" s="10" t="s">
        <v>836</v>
      </c>
      <c r="D243" s="10" t="s">
        <v>837</v>
      </c>
      <c r="E243" s="11"/>
      <c r="F243" s="10" t="s">
        <v>744</v>
      </c>
      <c r="H243" s="10" t="s">
        <v>838</v>
      </c>
      <c r="I243" s="11"/>
      <c r="J243" s="10" t="s">
        <v>839</v>
      </c>
      <c r="M243" s="10" t="s">
        <v>838</v>
      </c>
      <c r="N243" s="11"/>
    </row>
    <row r="244" ht="14.25" customHeight="1">
      <c r="A244" s="10" t="s">
        <v>840</v>
      </c>
      <c r="D244" s="10" t="s">
        <v>841</v>
      </c>
      <c r="F244" s="10" t="s">
        <v>842</v>
      </c>
      <c r="G244" s="11"/>
      <c r="H244" s="10" t="s">
        <v>843</v>
      </c>
      <c r="I244" s="11"/>
      <c r="J244" s="10" t="s">
        <v>844</v>
      </c>
      <c r="K244" s="11"/>
      <c r="L244" s="11"/>
      <c r="M244" s="10" t="s">
        <v>842</v>
      </c>
      <c r="N244" s="11"/>
    </row>
    <row r="245" ht="14.25" customHeight="1">
      <c r="A245" s="10" t="s">
        <v>845</v>
      </c>
      <c r="D245" s="10" t="s">
        <v>846</v>
      </c>
      <c r="E245" s="11"/>
      <c r="F245" s="10" t="s">
        <v>847</v>
      </c>
      <c r="G245" s="11"/>
      <c r="H245" s="10" t="s">
        <v>848</v>
      </c>
      <c r="J245" s="10" t="s">
        <v>849</v>
      </c>
      <c r="M245" s="10" t="s">
        <v>849</v>
      </c>
    </row>
    <row r="246" ht="14.25" customHeight="1">
      <c r="A246" s="10" t="s">
        <v>756</v>
      </c>
      <c r="D246" s="10" t="s">
        <v>850</v>
      </c>
      <c r="E246" s="11"/>
      <c r="F246" s="10" t="s">
        <v>851</v>
      </c>
      <c r="H246" s="10" t="s">
        <v>852</v>
      </c>
      <c r="I246" s="11"/>
      <c r="J246" s="10" t="s">
        <v>853</v>
      </c>
      <c r="K246" s="11"/>
      <c r="L246" s="11"/>
      <c r="M246" s="10" t="s">
        <v>852</v>
      </c>
      <c r="N246" s="11"/>
    </row>
    <row r="247" ht="14.25" customHeight="1">
      <c r="A247" s="10" t="s">
        <v>854</v>
      </c>
      <c r="C247" s="11"/>
      <c r="D247" s="10" t="s">
        <v>762</v>
      </c>
      <c r="E247" s="11"/>
      <c r="F247" s="10" t="s">
        <v>763</v>
      </c>
      <c r="G247" s="11"/>
      <c r="H247" s="10" t="s">
        <v>855</v>
      </c>
      <c r="J247" s="10" t="s">
        <v>856</v>
      </c>
      <c r="K247" s="11"/>
      <c r="L247" s="11"/>
      <c r="M247" s="10" t="s">
        <v>855</v>
      </c>
    </row>
    <row r="248" ht="14.25" customHeight="1">
      <c r="A248" s="10" t="s">
        <v>857</v>
      </c>
      <c r="D248" s="10" t="s">
        <v>748</v>
      </c>
      <c r="E248" s="11"/>
      <c r="F248" s="10" t="s">
        <v>858</v>
      </c>
      <c r="H248" s="10" t="s">
        <v>859</v>
      </c>
      <c r="I248" s="11"/>
      <c r="J248" s="10" t="s">
        <v>860</v>
      </c>
      <c r="M248" s="10" t="s">
        <v>858</v>
      </c>
    </row>
    <row r="249" ht="14.25" customHeight="1">
      <c r="A249" s="10" t="s">
        <v>861</v>
      </c>
      <c r="C249" s="11"/>
      <c r="D249" s="10" t="s">
        <v>862</v>
      </c>
      <c r="F249" s="10" t="s">
        <v>863</v>
      </c>
      <c r="G249" s="11"/>
      <c r="H249" s="10" t="s">
        <v>864</v>
      </c>
      <c r="I249" s="11"/>
      <c r="J249" s="10" t="s">
        <v>865</v>
      </c>
      <c r="M249" s="10" t="s">
        <v>865</v>
      </c>
    </row>
    <row r="250" ht="14.25" customHeight="1">
      <c r="A250" s="10" t="s">
        <v>866</v>
      </c>
      <c r="D250" s="10" t="s">
        <v>867</v>
      </c>
      <c r="E250" s="11"/>
      <c r="F250" s="10" t="s">
        <v>868</v>
      </c>
      <c r="H250" s="10" t="s">
        <v>842</v>
      </c>
      <c r="I250" s="11"/>
      <c r="J250" s="10" t="s">
        <v>779</v>
      </c>
      <c r="M250" s="10" t="s">
        <v>842</v>
      </c>
      <c r="N250" s="11"/>
    </row>
    <row r="251" ht="14.25" customHeight="1">
      <c r="A251" s="10" t="s">
        <v>869</v>
      </c>
      <c r="D251" s="10" t="s">
        <v>782</v>
      </c>
      <c r="E251" s="11"/>
      <c r="F251" s="10" t="s">
        <v>785</v>
      </c>
      <c r="G251" s="11"/>
      <c r="H251" s="10" t="s">
        <v>783</v>
      </c>
      <c r="I251" s="11"/>
      <c r="J251" s="10" t="s">
        <v>784</v>
      </c>
      <c r="K251" s="11"/>
      <c r="L251" s="11"/>
      <c r="M251" s="10" t="s">
        <v>783</v>
      </c>
      <c r="N251" s="11"/>
    </row>
    <row r="252" ht="14.25" customHeight="1">
      <c r="A252" s="10" t="s">
        <v>870</v>
      </c>
      <c r="C252" s="11"/>
      <c r="D252" s="10" t="s">
        <v>871</v>
      </c>
      <c r="E252" s="11"/>
      <c r="F252" s="10" t="s">
        <v>872</v>
      </c>
      <c r="H252" s="10" t="s">
        <v>873</v>
      </c>
      <c r="J252" s="10" t="s">
        <v>874</v>
      </c>
      <c r="K252" s="11"/>
      <c r="L252" s="11"/>
      <c r="M252" s="10" t="s">
        <v>872</v>
      </c>
    </row>
    <row r="253" ht="14.25" customHeight="1">
      <c r="A253" s="10" t="s">
        <v>875</v>
      </c>
      <c r="D253" s="10" t="s">
        <v>804</v>
      </c>
      <c r="F253" s="10" t="s">
        <v>791</v>
      </c>
      <c r="H253" s="10" t="s">
        <v>792</v>
      </c>
      <c r="J253" s="10" t="s">
        <v>843</v>
      </c>
      <c r="K253" s="11"/>
      <c r="L253" s="11"/>
      <c r="M253" s="10" t="s">
        <v>804</v>
      </c>
    </row>
    <row r="254" ht="14.25" customHeight="1">
      <c r="A254" s="10" t="s">
        <v>876</v>
      </c>
      <c r="D254" s="10" t="s">
        <v>877</v>
      </c>
      <c r="F254" s="10" t="s">
        <v>878</v>
      </c>
      <c r="H254" s="10" t="s">
        <v>879</v>
      </c>
      <c r="I254" s="11"/>
      <c r="J254" s="10" t="s">
        <v>880</v>
      </c>
      <c r="M254" s="10" t="s">
        <v>880</v>
      </c>
    </row>
    <row r="255" ht="14.25" customHeight="1">
      <c r="A255" s="10" t="s">
        <v>881</v>
      </c>
      <c r="D255" s="10" t="s">
        <v>882</v>
      </c>
      <c r="F255" s="10" t="s">
        <v>799</v>
      </c>
      <c r="G255" s="11"/>
      <c r="H255" s="10" t="s">
        <v>800</v>
      </c>
      <c r="I255" s="11"/>
      <c r="J255" s="10" t="s">
        <v>707</v>
      </c>
      <c r="K255" s="11"/>
      <c r="L255" s="11"/>
      <c r="M255" s="10" t="s">
        <v>707</v>
      </c>
      <c r="N255" s="11"/>
    </row>
    <row r="256" ht="14.25" customHeight="1">
      <c r="A256" s="10" t="s">
        <v>883</v>
      </c>
      <c r="D256" s="10" t="s">
        <v>748</v>
      </c>
      <c r="E256" s="11"/>
      <c r="F256" s="10" t="s">
        <v>803</v>
      </c>
      <c r="G256" s="11"/>
      <c r="H256" s="10" t="s">
        <v>804</v>
      </c>
      <c r="J256" s="10" t="s">
        <v>841</v>
      </c>
      <c r="M256" s="10" t="s">
        <v>841</v>
      </c>
    </row>
    <row r="257" ht="14.25" customHeight="1">
      <c r="A257" s="10" t="s">
        <v>884</v>
      </c>
      <c r="C257" s="11"/>
      <c r="D257" s="10" t="s">
        <v>777</v>
      </c>
      <c r="E257" s="11"/>
      <c r="F257" s="10" t="s">
        <v>843</v>
      </c>
      <c r="G257" s="11"/>
      <c r="H257" s="10" t="s">
        <v>809</v>
      </c>
      <c r="I257" s="11"/>
      <c r="J257" s="10" t="s">
        <v>885</v>
      </c>
      <c r="M257" s="10" t="s">
        <v>843</v>
      </c>
      <c r="N257" s="11"/>
    </row>
    <row r="258" ht="14.25" customHeight="1">
      <c r="A258" s="10" t="s">
        <v>886</v>
      </c>
      <c r="D258" s="10" t="s">
        <v>748</v>
      </c>
      <c r="E258" s="11"/>
      <c r="F258" s="10" t="s">
        <v>804</v>
      </c>
      <c r="H258" s="10" t="s">
        <v>809</v>
      </c>
      <c r="I258" s="11"/>
      <c r="J258" s="10" t="s">
        <v>811</v>
      </c>
      <c r="M258" s="10" t="s">
        <v>804</v>
      </c>
    </row>
    <row r="259" ht="14.25" customHeight="1">
      <c r="A259" s="10" t="s">
        <v>887</v>
      </c>
      <c r="D259" s="10" t="s">
        <v>748</v>
      </c>
      <c r="E259" s="11"/>
      <c r="F259" s="10" t="s">
        <v>803</v>
      </c>
      <c r="G259" s="11"/>
      <c r="H259" s="10" t="s">
        <v>809</v>
      </c>
      <c r="I259" s="11"/>
      <c r="J259" s="10" t="s">
        <v>841</v>
      </c>
      <c r="M259" s="10" t="s">
        <v>841</v>
      </c>
    </row>
    <row r="260" ht="14.25" customHeight="1">
      <c r="A260" s="10" t="s">
        <v>888</v>
      </c>
      <c r="D260" s="10" t="s">
        <v>889</v>
      </c>
      <c r="F260" s="10" t="s">
        <v>704</v>
      </c>
      <c r="G260" s="11"/>
      <c r="H260" s="10" t="s">
        <v>706</v>
      </c>
      <c r="I260" s="11"/>
      <c r="J260" s="10" t="s">
        <v>890</v>
      </c>
      <c r="K260" s="11"/>
      <c r="L260" s="11"/>
      <c r="M260" s="10" t="s">
        <v>706</v>
      </c>
      <c r="N260" s="11"/>
    </row>
    <row r="261" ht="14.25" customHeight="1">
      <c r="A261" s="10" t="s">
        <v>891</v>
      </c>
      <c r="D261" s="10" t="s">
        <v>892</v>
      </c>
      <c r="E261" s="11"/>
      <c r="F261" s="10" t="s">
        <v>893</v>
      </c>
      <c r="G261" s="11"/>
      <c r="H261" s="10" t="s">
        <v>894</v>
      </c>
      <c r="J261" s="10" t="s">
        <v>895</v>
      </c>
      <c r="K261" s="11"/>
      <c r="L261" s="11"/>
      <c r="M261" s="10" t="s">
        <v>893</v>
      </c>
      <c r="N261" s="11"/>
    </row>
    <row r="262" ht="14.25" customHeight="1">
      <c r="A262" s="10" t="s">
        <v>896</v>
      </c>
      <c r="D262" s="10" t="s">
        <v>897</v>
      </c>
      <c r="E262" s="11"/>
      <c r="F262" s="10" t="s">
        <v>898</v>
      </c>
      <c r="G262" s="11"/>
      <c r="H262" s="10" t="s">
        <v>899</v>
      </c>
      <c r="J262" s="10" t="s">
        <v>900</v>
      </c>
      <c r="K262" s="11"/>
      <c r="L262" s="11"/>
      <c r="M262" s="10" t="s">
        <v>898</v>
      </c>
      <c r="N262" s="11"/>
    </row>
    <row r="263" ht="14.25" customHeight="1">
      <c r="A263" s="10" t="s">
        <v>901</v>
      </c>
      <c r="D263" s="10" t="s">
        <v>902</v>
      </c>
      <c r="F263" s="10" t="s">
        <v>903</v>
      </c>
      <c r="H263" s="10" t="s">
        <v>904</v>
      </c>
      <c r="I263" s="11"/>
      <c r="J263" s="10" t="s">
        <v>720</v>
      </c>
      <c r="M263" s="10" t="s">
        <v>903</v>
      </c>
    </row>
    <row r="264" ht="14.25" customHeight="1">
      <c r="A264" s="10" t="s">
        <v>905</v>
      </c>
      <c r="D264" s="10" t="s">
        <v>906</v>
      </c>
      <c r="E264" s="11"/>
      <c r="F264" s="10" t="s">
        <v>907</v>
      </c>
      <c r="H264" s="10" t="s">
        <v>908</v>
      </c>
      <c r="J264" s="10" t="s">
        <v>909</v>
      </c>
      <c r="M264" s="10" t="s">
        <v>907</v>
      </c>
    </row>
    <row r="265" ht="14.25" customHeight="1">
      <c r="A265" s="10" t="s">
        <v>910</v>
      </c>
      <c r="D265" s="10" t="s">
        <v>911</v>
      </c>
      <c r="F265" s="10" t="s">
        <v>912</v>
      </c>
      <c r="H265" s="10" t="s">
        <v>913</v>
      </c>
      <c r="I265" s="11"/>
      <c r="J265" s="10" t="s">
        <v>914</v>
      </c>
      <c r="M265" s="10" t="s">
        <v>913</v>
      </c>
      <c r="N265" s="11"/>
    </row>
    <row r="266" ht="14.25" customHeight="1">
      <c r="A266" s="10" t="s">
        <v>915</v>
      </c>
      <c r="D266" s="10" t="s">
        <v>831</v>
      </c>
      <c r="F266" s="10" t="s">
        <v>916</v>
      </c>
      <c r="G266" s="11"/>
      <c r="H266" s="10" t="s">
        <v>917</v>
      </c>
      <c r="J266" s="10" t="s">
        <v>834</v>
      </c>
      <c r="M266" s="10" t="s">
        <v>917</v>
      </c>
    </row>
    <row r="267" ht="14.25" customHeight="1">
      <c r="A267" s="10" t="s">
        <v>918</v>
      </c>
      <c r="D267" s="10" t="s">
        <v>738</v>
      </c>
      <c r="E267" s="11"/>
      <c r="F267" s="10" t="s">
        <v>740</v>
      </c>
      <c r="G267" s="11"/>
      <c r="H267" s="10" t="s">
        <v>740</v>
      </c>
      <c r="I267" s="11"/>
      <c r="J267" s="10" t="s">
        <v>741</v>
      </c>
      <c r="K267" s="11"/>
      <c r="L267" s="11"/>
      <c r="M267" s="10" t="s">
        <v>740</v>
      </c>
      <c r="N267" s="11"/>
    </row>
    <row r="268" ht="14.25" customHeight="1">
      <c r="A268" s="10" t="s">
        <v>919</v>
      </c>
      <c r="D268" s="10" t="s">
        <v>920</v>
      </c>
      <c r="E268" s="11"/>
      <c r="F268" s="10" t="s">
        <v>921</v>
      </c>
      <c r="G268" s="11"/>
      <c r="H268" s="10" t="s">
        <v>838</v>
      </c>
      <c r="I268" s="11"/>
      <c r="J268" s="10" t="s">
        <v>839</v>
      </c>
      <c r="M268" s="10" t="s">
        <v>838</v>
      </c>
      <c r="N268" s="11"/>
    </row>
    <row r="269" ht="14.25" customHeight="1">
      <c r="A269" s="10" t="s">
        <v>922</v>
      </c>
      <c r="D269" s="10" t="s">
        <v>923</v>
      </c>
      <c r="F269" s="10" t="s">
        <v>924</v>
      </c>
      <c r="H269" s="10" t="s">
        <v>925</v>
      </c>
      <c r="J269" s="10" t="s">
        <v>926</v>
      </c>
      <c r="K269" s="11"/>
      <c r="L269" s="11"/>
      <c r="M269" s="10" t="s">
        <v>924</v>
      </c>
    </row>
    <row r="270" ht="14.25" customHeight="1">
      <c r="A270" s="10" t="s">
        <v>927</v>
      </c>
      <c r="D270" s="10" t="s">
        <v>928</v>
      </c>
      <c r="E270" s="11"/>
      <c r="F270" s="10" t="s">
        <v>929</v>
      </c>
      <c r="G270" s="11"/>
      <c r="H270" s="10" t="s">
        <v>930</v>
      </c>
      <c r="I270" s="11"/>
      <c r="J270" s="10" t="s">
        <v>931</v>
      </c>
      <c r="K270" s="11"/>
      <c r="L270" s="11"/>
      <c r="M270" s="10" t="s">
        <v>931</v>
      </c>
      <c r="N270" s="11"/>
    </row>
    <row r="271" ht="14.25" customHeight="1">
      <c r="A271" s="10" t="s">
        <v>932</v>
      </c>
      <c r="D271" s="10" t="s">
        <v>933</v>
      </c>
      <c r="F271" s="10" t="s">
        <v>934</v>
      </c>
      <c r="H271" s="10" t="s">
        <v>935</v>
      </c>
      <c r="I271" s="11"/>
      <c r="J271" s="10" t="s">
        <v>936</v>
      </c>
      <c r="K271" s="11"/>
      <c r="L271" s="11"/>
      <c r="M271" s="10" t="s">
        <v>935</v>
      </c>
      <c r="N271" s="11"/>
    </row>
    <row r="272" ht="14.25" customHeight="1">
      <c r="A272" s="10" t="s">
        <v>937</v>
      </c>
      <c r="D272" s="10" t="s">
        <v>938</v>
      </c>
      <c r="F272" s="10" t="s">
        <v>939</v>
      </c>
      <c r="H272" s="10" t="s">
        <v>940</v>
      </c>
      <c r="I272" s="11"/>
      <c r="J272" s="10" t="s">
        <v>941</v>
      </c>
      <c r="M272" s="10" t="s">
        <v>940</v>
      </c>
      <c r="N272" s="11"/>
    </row>
    <row r="273" ht="14.25" customHeight="1">
      <c r="A273" s="10" t="s">
        <v>942</v>
      </c>
      <c r="D273" s="10" t="s">
        <v>943</v>
      </c>
      <c r="E273" s="11"/>
      <c r="F273" s="10" t="s">
        <v>762</v>
      </c>
      <c r="G273" s="11"/>
      <c r="H273" s="10" t="s">
        <v>944</v>
      </c>
      <c r="J273" s="10" t="s">
        <v>945</v>
      </c>
      <c r="M273" s="10" t="s">
        <v>944</v>
      </c>
    </row>
    <row r="274" ht="14.25" customHeight="1">
      <c r="A274" s="10" t="s">
        <v>946</v>
      </c>
      <c r="D274" s="10" t="s">
        <v>947</v>
      </c>
      <c r="F274" s="10" t="s">
        <v>775</v>
      </c>
      <c r="G274" s="11"/>
      <c r="H274" s="10" t="s">
        <v>948</v>
      </c>
      <c r="J274" s="10" t="s">
        <v>949</v>
      </c>
      <c r="K274" s="11"/>
      <c r="L274" s="11"/>
      <c r="M274" s="10" t="s">
        <v>949</v>
      </c>
      <c r="N274" s="11"/>
    </row>
    <row r="275" ht="14.25" customHeight="1">
      <c r="A275" s="10" t="s">
        <v>950</v>
      </c>
      <c r="D275" s="10" t="s">
        <v>951</v>
      </c>
      <c r="E275" s="11"/>
      <c r="F275" s="10" t="s">
        <v>952</v>
      </c>
      <c r="H275" s="10" t="s">
        <v>953</v>
      </c>
      <c r="I275" s="11"/>
      <c r="J275" s="10" t="s">
        <v>954</v>
      </c>
      <c r="K275" s="11"/>
      <c r="L275" s="11"/>
      <c r="M275" s="10" t="s">
        <v>953</v>
      </c>
      <c r="N275" s="11"/>
    </row>
    <row r="276" ht="14.25" customHeight="1">
      <c r="A276" s="10" t="s">
        <v>955</v>
      </c>
      <c r="D276" s="10" t="s">
        <v>782</v>
      </c>
      <c r="E276" s="11"/>
      <c r="F276" s="10" t="s">
        <v>956</v>
      </c>
      <c r="G276" s="11"/>
      <c r="H276" s="10" t="s">
        <v>957</v>
      </c>
      <c r="I276" s="11"/>
      <c r="J276" s="10" t="s">
        <v>784</v>
      </c>
      <c r="K276" s="11"/>
      <c r="L276" s="11"/>
      <c r="M276" s="10" t="s">
        <v>957</v>
      </c>
      <c r="N276" s="11"/>
    </row>
    <row r="277" ht="14.25" customHeight="1">
      <c r="A277" s="10" t="s">
        <v>958</v>
      </c>
      <c r="D277" s="10" t="s">
        <v>959</v>
      </c>
      <c r="E277" s="11"/>
      <c r="F277" s="10" t="s">
        <v>960</v>
      </c>
      <c r="G277" s="11"/>
      <c r="H277" s="10" t="s">
        <v>961</v>
      </c>
      <c r="J277" s="10" t="s">
        <v>962</v>
      </c>
      <c r="M277" s="10" t="s">
        <v>960</v>
      </c>
      <c r="N277" s="11"/>
    </row>
    <row r="278" ht="14.25" customHeight="1">
      <c r="A278" s="10" t="s">
        <v>963</v>
      </c>
      <c r="D278" s="10" t="s">
        <v>964</v>
      </c>
      <c r="E278" s="11"/>
      <c r="F278" s="10" t="s">
        <v>719</v>
      </c>
      <c r="H278" s="10" t="s">
        <v>792</v>
      </c>
      <c r="J278" s="10" t="s">
        <v>900</v>
      </c>
      <c r="K278" s="11"/>
      <c r="L278" s="11"/>
      <c r="M278" s="10" t="s">
        <v>719</v>
      </c>
    </row>
    <row r="279" ht="14.25" customHeight="1">
      <c r="A279" s="10" t="s">
        <v>965</v>
      </c>
      <c r="D279" s="10" t="s">
        <v>966</v>
      </c>
      <c r="F279" s="10" t="s">
        <v>967</v>
      </c>
      <c r="G279" s="11"/>
      <c r="H279" s="10" t="s">
        <v>968</v>
      </c>
      <c r="I279" s="11"/>
      <c r="J279" s="10" t="s">
        <v>797</v>
      </c>
      <c r="K279" s="11"/>
      <c r="L279" s="11"/>
      <c r="M279" s="10" t="s">
        <v>967</v>
      </c>
      <c r="N279" s="11"/>
    </row>
    <row r="280" ht="14.25" customHeight="1">
      <c r="A280" s="10" t="s">
        <v>881</v>
      </c>
      <c r="D280" s="10" t="s">
        <v>969</v>
      </c>
      <c r="F280" s="10" t="s">
        <v>799</v>
      </c>
      <c r="G280" s="11"/>
      <c r="H280" s="10" t="s">
        <v>800</v>
      </c>
      <c r="I280" s="11"/>
      <c r="J280" s="10" t="s">
        <v>707</v>
      </c>
      <c r="K280" s="11"/>
      <c r="L280" s="11"/>
      <c r="M280" s="10" t="s">
        <v>707</v>
      </c>
      <c r="N280" s="11"/>
    </row>
    <row r="281" ht="14.25" customHeight="1">
      <c r="A281" s="10" t="s">
        <v>970</v>
      </c>
      <c r="D281" s="10" t="s">
        <v>748</v>
      </c>
      <c r="E281" s="11"/>
      <c r="F281" s="10" t="s">
        <v>805</v>
      </c>
      <c r="H281" s="10" t="s">
        <v>804</v>
      </c>
      <c r="J281" s="10" t="s">
        <v>971</v>
      </c>
      <c r="M281" s="10" t="s">
        <v>805</v>
      </c>
    </row>
    <row r="282" ht="14.25" customHeight="1">
      <c r="A282" s="10" t="s">
        <v>972</v>
      </c>
      <c r="D282" s="10" t="s">
        <v>925</v>
      </c>
      <c r="F282" s="10" t="s">
        <v>803</v>
      </c>
      <c r="G282" s="11"/>
      <c r="H282" s="10" t="s">
        <v>809</v>
      </c>
      <c r="I282" s="11"/>
      <c r="J282" s="10" t="s">
        <v>885</v>
      </c>
      <c r="M282" s="10" t="s">
        <v>925</v>
      </c>
    </row>
    <row r="283" ht="14.25" customHeight="1">
      <c r="A283" s="10" t="s">
        <v>973</v>
      </c>
      <c r="D283" s="10" t="s">
        <v>974</v>
      </c>
      <c r="E283" s="11"/>
      <c r="F283" s="10" t="s">
        <v>975</v>
      </c>
      <c r="G283" s="11"/>
      <c r="H283" s="10" t="s">
        <v>976</v>
      </c>
      <c r="I283" s="11"/>
      <c r="J283" s="10" t="s">
        <v>977</v>
      </c>
      <c r="M283" s="10" t="s">
        <v>976</v>
      </c>
      <c r="N283" s="11"/>
    </row>
    <row r="284" ht="14.25" customHeight="1">
      <c r="A284" s="10" t="s">
        <v>978</v>
      </c>
      <c r="D284" s="10" t="s">
        <v>748</v>
      </c>
      <c r="E284" s="11"/>
      <c r="F284" s="10" t="s">
        <v>923</v>
      </c>
      <c r="H284" s="10" t="s">
        <v>809</v>
      </c>
      <c r="I284" s="11"/>
      <c r="J284" s="10" t="s">
        <v>719</v>
      </c>
      <c r="M284" s="10" t="s">
        <v>923</v>
      </c>
    </row>
    <row r="285" ht="14.25" customHeight="1">
      <c r="A285" s="10" t="s">
        <v>979</v>
      </c>
      <c r="D285" s="10" t="s">
        <v>980</v>
      </c>
      <c r="E285" s="11"/>
      <c r="F285" s="10" t="s">
        <v>981</v>
      </c>
      <c r="G285" s="11"/>
      <c r="H285" s="10" t="s">
        <v>982</v>
      </c>
      <c r="I285" s="11"/>
      <c r="J285" s="10" t="s">
        <v>983</v>
      </c>
      <c r="M285" s="10" t="s">
        <v>981</v>
      </c>
      <c r="N285" s="11"/>
    </row>
    <row r="286" ht="14.25" customHeight="1">
      <c r="A286" s="10" t="s">
        <v>984</v>
      </c>
      <c r="C286" s="11"/>
      <c r="D286" s="10" t="s">
        <v>985</v>
      </c>
      <c r="E286" s="11"/>
      <c r="F286" s="10" t="s">
        <v>986</v>
      </c>
      <c r="G286" s="11"/>
      <c r="H286" s="10" t="s">
        <v>987</v>
      </c>
      <c r="I286" s="11"/>
      <c r="J286" s="10" t="s">
        <v>988</v>
      </c>
      <c r="M286" s="10" t="s">
        <v>986</v>
      </c>
      <c r="N286" s="11"/>
    </row>
    <row r="287" ht="14.25" customHeight="1">
      <c r="A287" s="10" t="s">
        <v>989</v>
      </c>
      <c r="C287" s="11"/>
      <c r="D287" s="10" t="s">
        <v>990</v>
      </c>
      <c r="E287" s="11"/>
      <c r="F287" s="10" t="s">
        <v>991</v>
      </c>
      <c r="G287" s="11"/>
      <c r="H287" s="10" t="s">
        <v>992</v>
      </c>
      <c r="I287" s="11"/>
      <c r="J287" s="10" t="s">
        <v>993</v>
      </c>
      <c r="K287" s="11"/>
      <c r="L287" s="11"/>
      <c r="M287" s="10" t="s">
        <v>991</v>
      </c>
      <c r="N287" s="11"/>
    </row>
    <row r="288" ht="14.25" customHeight="1">
      <c r="A288" s="10" t="s">
        <v>994</v>
      </c>
      <c r="C288" s="11"/>
      <c r="D288" s="10" t="s">
        <v>995</v>
      </c>
      <c r="E288" s="11"/>
      <c r="F288" s="10" t="s">
        <v>996</v>
      </c>
      <c r="H288" s="10" t="s">
        <v>997</v>
      </c>
      <c r="I288" s="11"/>
      <c r="J288" s="10" t="s">
        <v>998</v>
      </c>
      <c r="K288" s="11"/>
      <c r="L288" s="11"/>
      <c r="M288" s="10" t="s">
        <v>996</v>
      </c>
    </row>
    <row r="289" ht="14.25" customHeight="1">
      <c r="A289" s="10" t="s">
        <v>999</v>
      </c>
      <c r="D289" s="10" t="s">
        <v>841</v>
      </c>
      <c r="F289" s="10" t="s">
        <v>953</v>
      </c>
      <c r="G289" s="11"/>
      <c r="H289" s="10" t="s">
        <v>1000</v>
      </c>
      <c r="I289" s="11"/>
      <c r="J289" s="10" t="s">
        <v>1001</v>
      </c>
      <c r="M289" s="10" t="s">
        <v>1000</v>
      </c>
      <c r="N289" s="11"/>
    </row>
    <row r="290" ht="14.25" customHeight="1">
      <c r="A290" s="10" t="s">
        <v>1002</v>
      </c>
      <c r="D290" s="10" t="s">
        <v>1003</v>
      </c>
      <c r="E290" s="11"/>
      <c r="F290" s="10" t="s">
        <v>1004</v>
      </c>
      <c r="G290" s="11"/>
      <c r="H290" s="10" t="s">
        <v>1005</v>
      </c>
      <c r="I290" s="11"/>
      <c r="J290" s="10" t="s">
        <v>1006</v>
      </c>
      <c r="K290" s="11"/>
      <c r="L290" s="11"/>
      <c r="M290" s="10" t="s">
        <v>1005</v>
      </c>
      <c r="N290" s="11"/>
    </row>
    <row r="291" ht="14.25" customHeight="1">
      <c r="A291" s="10" t="s">
        <v>1007</v>
      </c>
      <c r="D291" s="10" t="s">
        <v>1008</v>
      </c>
      <c r="E291" s="11"/>
      <c r="F291" s="10" t="s">
        <v>1009</v>
      </c>
      <c r="G291" s="11"/>
      <c r="H291" s="10" t="s">
        <v>1010</v>
      </c>
      <c r="I291" s="11"/>
      <c r="J291" s="10" t="s">
        <v>1011</v>
      </c>
      <c r="M291" s="10" t="s">
        <v>1009</v>
      </c>
      <c r="N291" s="11"/>
    </row>
    <row r="292" ht="14.25" customHeight="1">
      <c r="A292" s="10" t="s">
        <v>1012</v>
      </c>
      <c r="D292" s="10" t="s">
        <v>1013</v>
      </c>
      <c r="E292" s="11"/>
      <c r="F292" s="10" t="s">
        <v>1014</v>
      </c>
      <c r="G292" s="11"/>
      <c r="H292" s="10" t="s">
        <v>1015</v>
      </c>
      <c r="J292" s="10" t="s">
        <v>1016</v>
      </c>
      <c r="K292" s="11"/>
      <c r="L292" s="11"/>
      <c r="M292" s="10" t="s">
        <v>1015</v>
      </c>
    </row>
    <row r="293" ht="14.25" customHeight="1">
      <c r="A293" s="10" t="s">
        <v>1017</v>
      </c>
      <c r="C293" s="11"/>
      <c r="D293" s="10" t="s">
        <v>775</v>
      </c>
      <c r="E293" s="11"/>
      <c r="F293" s="10" t="s">
        <v>1018</v>
      </c>
      <c r="G293" s="11"/>
      <c r="H293" s="10" t="s">
        <v>1019</v>
      </c>
      <c r="J293" s="10" t="s">
        <v>1020</v>
      </c>
      <c r="K293" s="11"/>
      <c r="L293" s="11"/>
      <c r="M293" s="10" t="s">
        <v>1018</v>
      </c>
      <c r="N293" s="11"/>
    </row>
    <row r="294" ht="14.25" customHeight="1">
      <c r="A294" s="10" t="s">
        <v>1021</v>
      </c>
      <c r="C294" s="11"/>
      <c r="D294" s="10" t="s">
        <v>1022</v>
      </c>
      <c r="E294" s="11"/>
      <c r="F294" s="10" t="s">
        <v>1023</v>
      </c>
      <c r="G294" s="11"/>
      <c r="H294" s="10" t="s">
        <v>1024</v>
      </c>
      <c r="J294" s="10" t="s">
        <v>1025</v>
      </c>
      <c r="K294" s="11"/>
      <c r="L294" s="11"/>
      <c r="M294" s="10" t="s">
        <v>1024</v>
      </c>
    </row>
    <row r="295" ht="14.25" customHeight="1">
      <c r="A295" s="10" t="s">
        <v>1026</v>
      </c>
      <c r="D295" s="10" t="s">
        <v>843</v>
      </c>
      <c r="E295" s="11"/>
      <c r="F295" s="10" t="s">
        <v>1027</v>
      </c>
      <c r="H295" s="10" t="s">
        <v>804</v>
      </c>
      <c r="J295" s="10" t="s">
        <v>1028</v>
      </c>
      <c r="K295" s="11"/>
      <c r="L295" s="11"/>
      <c r="M295" s="10" t="s">
        <v>1027</v>
      </c>
    </row>
    <row r="296" ht="14.25" customHeight="1">
      <c r="A296" s="10" t="s">
        <v>1029</v>
      </c>
      <c r="D296" s="10" t="s">
        <v>1030</v>
      </c>
      <c r="E296" s="11"/>
      <c r="F296" s="10" t="s">
        <v>1031</v>
      </c>
      <c r="G296" s="11"/>
      <c r="H296" s="10" t="s">
        <v>762</v>
      </c>
      <c r="I296" s="11"/>
      <c r="J296" s="10" t="s">
        <v>1020</v>
      </c>
      <c r="K296" s="11"/>
      <c r="L296" s="11"/>
      <c r="M296" s="10" t="s">
        <v>1030</v>
      </c>
      <c r="N296" s="11"/>
    </row>
    <row r="297" ht="14.25" customHeight="1">
      <c r="A297" s="10" t="s">
        <v>1032</v>
      </c>
      <c r="D297" s="10" t="s">
        <v>1033</v>
      </c>
      <c r="F297" s="10" t="s">
        <v>1034</v>
      </c>
      <c r="G297" s="11"/>
      <c r="H297" s="10" t="s">
        <v>1035</v>
      </c>
      <c r="J297" s="10" t="s">
        <v>843</v>
      </c>
      <c r="K297" s="11"/>
      <c r="L297" s="11"/>
      <c r="M297" s="10" t="s">
        <v>1033</v>
      </c>
    </row>
    <row r="298" ht="14.25" customHeight="1">
      <c r="A298" s="10" t="s">
        <v>1036</v>
      </c>
      <c r="C298" s="11"/>
      <c r="D298" s="10" t="s">
        <v>782</v>
      </c>
      <c r="E298" s="11"/>
      <c r="F298" s="10" t="s">
        <v>1037</v>
      </c>
      <c r="G298" s="11"/>
      <c r="H298" s="10" t="s">
        <v>956</v>
      </c>
      <c r="I298" s="11"/>
      <c r="J298" s="10" t="s">
        <v>1038</v>
      </c>
      <c r="K298" s="11"/>
      <c r="L298" s="11"/>
      <c r="M298" s="10" t="s">
        <v>956</v>
      </c>
      <c r="N298" s="11"/>
    </row>
    <row r="299" ht="14.25" customHeight="1">
      <c r="A299" s="10" t="s">
        <v>1039</v>
      </c>
      <c r="C299" s="11"/>
      <c r="D299" s="10" t="s">
        <v>1040</v>
      </c>
      <c r="F299" s="10" t="s">
        <v>1041</v>
      </c>
      <c r="G299" s="11"/>
      <c r="H299" s="10" t="s">
        <v>1042</v>
      </c>
      <c r="I299" s="11"/>
      <c r="J299" s="10" t="s">
        <v>1043</v>
      </c>
      <c r="M299" s="10" t="s">
        <v>1043</v>
      </c>
    </row>
    <row r="300" ht="14.25" customHeight="1">
      <c r="A300" s="10" t="s">
        <v>1044</v>
      </c>
      <c r="D300" s="10" t="s">
        <v>953</v>
      </c>
      <c r="E300" s="11"/>
      <c r="F300" s="10" t="s">
        <v>719</v>
      </c>
      <c r="H300" s="10" t="s">
        <v>1045</v>
      </c>
      <c r="J300" s="10" t="s">
        <v>1046</v>
      </c>
      <c r="K300" s="11"/>
      <c r="L300" s="11"/>
      <c r="M300" s="10" t="s">
        <v>719</v>
      </c>
    </row>
    <row r="301" ht="14.25" customHeight="1">
      <c r="A301" s="10" t="s">
        <v>1047</v>
      </c>
      <c r="C301" s="11"/>
      <c r="D301" s="10" t="s">
        <v>1048</v>
      </c>
      <c r="E301" s="11"/>
      <c r="F301" s="10" t="s">
        <v>1049</v>
      </c>
      <c r="G301" s="11"/>
      <c r="H301" s="10" t="s">
        <v>1050</v>
      </c>
      <c r="I301" s="11"/>
      <c r="J301" s="10" t="s">
        <v>1051</v>
      </c>
      <c r="K301" s="11"/>
      <c r="L301" s="11"/>
      <c r="M301" s="10" t="s">
        <v>1051</v>
      </c>
      <c r="N301" s="11"/>
    </row>
    <row r="302" ht="14.25" customHeight="1">
      <c r="A302" s="10" t="s">
        <v>1052</v>
      </c>
      <c r="C302" s="11"/>
      <c r="D302" s="10" t="s">
        <v>1053</v>
      </c>
      <c r="E302" s="11"/>
      <c r="F302" s="10" t="s">
        <v>961</v>
      </c>
      <c r="H302" s="10" t="s">
        <v>1054</v>
      </c>
      <c r="I302" s="11"/>
      <c r="J302" s="10" t="s">
        <v>1055</v>
      </c>
      <c r="M302" s="10" t="s">
        <v>1054</v>
      </c>
      <c r="N302" s="11"/>
    </row>
    <row r="303" ht="14.25" customHeight="1">
      <c r="A303" s="10" t="s">
        <v>1056</v>
      </c>
      <c r="D303" s="10" t="s">
        <v>1057</v>
      </c>
      <c r="E303" s="11"/>
      <c r="F303" s="10" t="s">
        <v>1058</v>
      </c>
      <c r="G303" s="11"/>
      <c r="H303" s="10" t="s">
        <v>1059</v>
      </c>
      <c r="I303" s="11"/>
      <c r="J303" s="10" t="s">
        <v>1060</v>
      </c>
      <c r="K303" s="11"/>
      <c r="L303" s="11"/>
      <c r="M303" s="10" t="s">
        <v>1060</v>
      </c>
      <c r="N303" s="11"/>
    </row>
    <row r="304" ht="14.25" customHeight="1">
      <c r="A304" s="10" t="s">
        <v>1061</v>
      </c>
      <c r="C304" s="11"/>
      <c r="D304" s="10" t="s">
        <v>1013</v>
      </c>
      <c r="E304" s="11"/>
      <c r="F304" s="10" t="s">
        <v>1062</v>
      </c>
      <c r="G304" s="11"/>
      <c r="H304" s="10" t="s">
        <v>1063</v>
      </c>
      <c r="I304" s="11"/>
      <c r="J304" s="10" t="s">
        <v>1051</v>
      </c>
      <c r="K304" s="11"/>
      <c r="L304" s="11"/>
      <c r="M304" s="10" t="s">
        <v>1051</v>
      </c>
      <c r="N304" s="11"/>
    </row>
    <row r="305" ht="14.25" customHeight="1">
      <c r="A305" s="10" t="s">
        <v>1064</v>
      </c>
      <c r="C305" s="11"/>
      <c r="D305" s="10" t="s">
        <v>1065</v>
      </c>
      <c r="E305" s="11"/>
      <c r="F305" s="10" t="s">
        <v>1066</v>
      </c>
      <c r="G305" s="11"/>
      <c r="H305" s="10" t="s">
        <v>1067</v>
      </c>
      <c r="J305" s="10" t="s">
        <v>1068</v>
      </c>
      <c r="K305" s="11"/>
      <c r="L305" s="11"/>
      <c r="M305" s="10" t="s">
        <v>1067</v>
      </c>
    </row>
    <row r="306" ht="14.25" customHeight="1">
      <c r="A306" s="10" t="s">
        <v>1069</v>
      </c>
      <c r="D306" s="10" t="s">
        <v>1070</v>
      </c>
      <c r="E306" s="11"/>
      <c r="F306" s="10" t="s">
        <v>1071</v>
      </c>
      <c r="H306" s="10" t="s">
        <v>1072</v>
      </c>
      <c r="I306" s="11"/>
      <c r="J306" s="10" t="s">
        <v>1073</v>
      </c>
      <c r="K306" s="11"/>
      <c r="L306" s="11"/>
      <c r="M306" s="10" t="s">
        <v>1071</v>
      </c>
    </row>
    <row r="307" ht="14.25" customHeight="1">
      <c r="A307" s="10" t="s">
        <v>1074</v>
      </c>
      <c r="C307" s="11"/>
      <c r="D307" s="10" t="s">
        <v>1075</v>
      </c>
      <c r="E307" s="11"/>
      <c r="F307" s="10" t="s">
        <v>1076</v>
      </c>
      <c r="H307" s="10" t="s">
        <v>1077</v>
      </c>
      <c r="I307" s="11"/>
      <c r="J307" s="10" t="s">
        <v>1051</v>
      </c>
      <c r="K307" s="11"/>
      <c r="L307" s="11"/>
      <c r="M307" s="10" t="s">
        <v>1051</v>
      </c>
      <c r="N307" s="11"/>
    </row>
    <row r="308" ht="14.25" customHeight="1">
      <c r="A308" s="10" t="s">
        <v>1078</v>
      </c>
      <c r="C308" s="11"/>
      <c r="D308" s="10" t="s">
        <v>1079</v>
      </c>
      <c r="E308" s="11"/>
      <c r="F308" s="10" t="s">
        <v>1080</v>
      </c>
      <c r="G308" s="11"/>
      <c r="H308" s="10" t="s">
        <v>1081</v>
      </c>
      <c r="I308" s="11"/>
      <c r="J308" s="10" t="s">
        <v>1051</v>
      </c>
      <c r="K308" s="11"/>
      <c r="L308" s="11"/>
      <c r="M308" s="10" t="s">
        <v>1051</v>
      </c>
      <c r="N308" s="11"/>
    </row>
    <row r="309" ht="14.25" customHeight="1">
      <c r="A309" s="10" t="s">
        <v>1082</v>
      </c>
      <c r="C309" s="11"/>
      <c r="D309" s="10" t="s">
        <v>1083</v>
      </c>
      <c r="F309" s="10" t="s">
        <v>1084</v>
      </c>
      <c r="H309" s="10" t="s">
        <v>1085</v>
      </c>
      <c r="I309" s="11"/>
      <c r="J309" s="10" t="s">
        <v>1051</v>
      </c>
      <c r="K309" s="11"/>
      <c r="L309" s="11"/>
      <c r="M309" s="10" t="s">
        <v>1051</v>
      </c>
      <c r="N309" s="11"/>
    </row>
    <row r="310" ht="14.25" customHeight="1">
      <c r="A310" s="10" t="s">
        <v>1086</v>
      </c>
      <c r="C310" s="11"/>
      <c r="D310" s="10" t="s">
        <v>1087</v>
      </c>
      <c r="E310" s="11"/>
      <c r="F310" s="10" t="s">
        <v>1088</v>
      </c>
      <c r="H310" s="10" t="s">
        <v>1089</v>
      </c>
      <c r="J310" s="10" t="s">
        <v>1051</v>
      </c>
      <c r="K310" s="11"/>
      <c r="L310" s="11"/>
      <c r="M310" s="10" t="s">
        <v>1051</v>
      </c>
      <c r="N310" s="11"/>
    </row>
    <row r="311" ht="14.25" customHeight="1">
      <c r="A311" s="10" t="s">
        <v>1090</v>
      </c>
      <c r="D311" s="10" t="s">
        <v>843</v>
      </c>
      <c r="E311" s="11"/>
      <c r="F311" s="10" t="s">
        <v>1091</v>
      </c>
      <c r="H311" s="10" t="s">
        <v>1092</v>
      </c>
      <c r="I311" s="11"/>
      <c r="J311" s="10" t="s">
        <v>953</v>
      </c>
      <c r="K311" s="11"/>
      <c r="L311" s="11"/>
      <c r="M311" s="10" t="s">
        <v>1091</v>
      </c>
    </row>
    <row r="312" ht="14.25" customHeight="1">
      <c r="A312" s="10" t="s">
        <v>1093</v>
      </c>
      <c r="C312" s="11"/>
      <c r="D312" s="10" t="s">
        <v>1094</v>
      </c>
      <c r="E312" s="11"/>
      <c r="F312" s="10" t="s">
        <v>1095</v>
      </c>
      <c r="G312" s="11"/>
      <c r="H312" s="10" t="s">
        <v>1096</v>
      </c>
      <c r="I312" s="11"/>
      <c r="J312" s="10" t="s">
        <v>1051</v>
      </c>
      <c r="K312" s="11"/>
      <c r="L312" s="11"/>
      <c r="M312" s="10" t="s">
        <v>1051</v>
      </c>
      <c r="N312" s="11"/>
    </row>
    <row r="313" ht="14.25" customHeight="1">
      <c r="A313" s="10" t="s">
        <v>1097</v>
      </c>
      <c r="D313" s="10" t="s">
        <v>1098</v>
      </c>
      <c r="E313" s="11"/>
      <c r="F313" s="10" t="s">
        <v>1099</v>
      </c>
      <c r="G313" s="11"/>
      <c r="H313" s="10" t="s">
        <v>1100</v>
      </c>
      <c r="I313" s="11"/>
      <c r="J313" s="10" t="s">
        <v>1051</v>
      </c>
      <c r="K313" s="11"/>
      <c r="L313" s="11"/>
      <c r="M313" s="10" t="s">
        <v>1051</v>
      </c>
      <c r="N313" s="11"/>
    </row>
    <row r="314" ht="14.25" customHeight="1">
      <c r="A314" s="10" t="s">
        <v>1101</v>
      </c>
      <c r="C314" s="11"/>
      <c r="D314" s="10" t="s">
        <v>1102</v>
      </c>
      <c r="F314" s="10" t="s">
        <v>1103</v>
      </c>
      <c r="G314" s="11"/>
      <c r="H314" s="10" t="s">
        <v>1104</v>
      </c>
      <c r="J314" s="10" t="s">
        <v>1089</v>
      </c>
      <c r="M314" s="10" t="s">
        <v>1102</v>
      </c>
    </row>
    <row r="315" ht="14.25" customHeight="1">
      <c r="A315" s="10" t="s">
        <v>1105</v>
      </c>
      <c r="C315" s="11"/>
      <c r="D315" s="10" t="s">
        <v>1106</v>
      </c>
      <c r="E315" s="11"/>
      <c r="F315" s="10" t="s">
        <v>1107</v>
      </c>
      <c r="H315" s="10" t="s">
        <v>1108</v>
      </c>
      <c r="I315" s="11"/>
      <c r="J315" s="10" t="s">
        <v>1109</v>
      </c>
      <c r="K315" s="11"/>
      <c r="L315" s="11"/>
      <c r="M315" s="10" t="s">
        <v>1107</v>
      </c>
    </row>
    <row r="316" ht="14.25" customHeight="1">
      <c r="A316" s="10" t="s">
        <v>1110</v>
      </c>
      <c r="D316" s="10" t="s">
        <v>1111</v>
      </c>
      <c r="F316" s="10" t="s">
        <v>1112</v>
      </c>
      <c r="G316" s="11"/>
      <c r="H316" s="10" t="s">
        <v>1113</v>
      </c>
      <c r="J316" s="10" t="s">
        <v>1051</v>
      </c>
      <c r="K316" s="11"/>
      <c r="L316" s="11"/>
      <c r="M316" s="10" t="s">
        <v>1051</v>
      </c>
      <c r="N316" s="11"/>
    </row>
    <row r="317" ht="14.25" customHeight="1">
      <c r="A317" s="10" t="s">
        <v>1114</v>
      </c>
      <c r="D317" s="10" t="s">
        <v>1115</v>
      </c>
      <c r="E317" s="11"/>
      <c r="F317" s="10" t="s">
        <v>1116</v>
      </c>
      <c r="G317" s="11"/>
      <c r="H317" s="10" t="s">
        <v>1117</v>
      </c>
      <c r="I317" s="11"/>
      <c r="J317" s="10" t="s">
        <v>1118</v>
      </c>
      <c r="K317" s="11"/>
      <c r="L317" s="11"/>
      <c r="M317" s="10" t="s">
        <v>1115</v>
      </c>
      <c r="N317" s="11"/>
    </row>
    <row r="318" ht="14.25" customHeight="1">
      <c r="A318" s="10" t="s">
        <v>1119</v>
      </c>
      <c r="D318" s="10" t="s">
        <v>1120</v>
      </c>
      <c r="E318" s="11"/>
      <c r="F318" s="10" t="s">
        <v>1121</v>
      </c>
      <c r="G318" s="11"/>
      <c r="H318" s="10" t="s">
        <v>1122</v>
      </c>
      <c r="I318" s="11"/>
      <c r="J318" s="10" t="s">
        <v>1123</v>
      </c>
      <c r="K318" s="11"/>
      <c r="L318" s="11"/>
      <c r="M318" s="10" t="s">
        <v>1122</v>
      </c>
      <c r="N318" s="11"/>
    </row>
    <row r="319" ht="14.25" customHeight="1">
      <c r="A319" s="10" t="s">
        <v>1124</v>
      </c>
      <c r="C319" s="11"/>
      <c r="D319" s="10" t="s">
        <v>1046</v>
      </c>
      <c r="E319" s="11"/>
      <c r="F319" s="10" t="s">
        <v>1125</v>
      </c>
      <c r="G319" s="11"/>
      <c r="H319" s="10" t="s">
        <v>841</v>
      </c>
      <c r="J319" s="10" t="s">
        <v>1126</v>
      </c>
      <c r="K319" s="11"/>
      <c r="L319" s="11"/>
      <c r="M319" s="10" t="s">
        <v>1126</v>
      </c>
      <c r="N319" s="11"/>
    </row>
    <row r="320" ht="14.25" customHeight="1">
      <c r="A320" s="10" t="s">
        <v>1127</v>
      </c>
      <c r="C320" s="11"/>
      <c r="D320" s="10" t="s">
        <v>1128</v>
      </c>
      <c r="E320" s="11"/>
      <c r="F320" s="10" t="s">
        <v>1129</v>
      </c>
      <c r="H320" s="10" t="s">
        <v>1130</v>
      </c>
      <c r="I320" s="11"/>
      <c r="J320" s="10" t="s">
        <v>1051</v>
      </c>
      <c r="K320" s="11"/>
      <c r="L320" s="11"/>
      <c r="M320" s="10" t="s">
        <v>1051</v>
      </c>
      <c r="N320" s="11"/>
    </row>
    <row r="321" ht="14.25" customHeight="1">
      <c r="A321" s="10" t="s">
        <v>1131</v>
      </c>
      <c r="D321" s="10" t="s">
        <v>1132</v>
      </c>
      <c r="F321" s="10" t="s">
        <v>1133</v>
      </c>
      <c r="G321" s="11"/>
      <c r="H321" s="10" t="s">
        <v>1134</v>
      </c>
      <c r="I321" s="11"/>
      <c r="J321" s="10" t="s">
        <v>1135</v>
      </c>
      <c r="K321" s="11"/>
      <c r="L321" s="11"/>
      <c r="M321" s="10" t="s">
        <v>1133</v>
      </c>
      <c r="N321" s="11"/>
    </row>
    <row r="322" ht="14.25" customHeight="1">
      <c r="A322" s="10" t="s">
        <v>1136</v>
      </c>
      <c r="C322" s="11"/>
      <c r="D322" s="10" t="s">
        <v>1137</v>
      </c>
      <c r="E322" s="11"/>
      <c r="F322" s="10" t="s">
        <v>872</v>
      </c>
      <c r="H322" s="10" t="s">
        <v>1130</v>
      </c>
      <c r="I322" s="11"/>
      <c r="J322" s="10" t="s">
        <v>1051</v>
      </c>
      <c r="K322" s="11"/>
      <c r="L322" s="11"/>
      <c r="M322" s="10" t="s">
        <v>1051</v>
      </c>
      <c r="N322" s="11"/>
    </row>
    <row r="323" ht="14.25" customHeight="1">
      <c r="A323" s="10" t="s">
        <v>1138</v>
      </c>
      <c r="C323" s="11"/>
      <c r="D323" s="10" t="s">
        <v>1139</v>
      </c>
      <c r="E323" s="11"/>
      <c r="F323" s="10" t="s">
        <v>1140</v>
      </c>
      <c r="G323" s="11"/>
      <c r="H323" s="10" t="s">
        <v>1141</v>
      </c>
      <c r="J323" s="10" t="s">
        <v>1051</v>
      </c>
      <c r="K323" s="11"/>
      <c r="L323" s="11"/>
      <c r="M323" s="10" t="s">
        <v>1051</v>
      </c>
      <c r="N323" s="11"/>
    </row>
    <row r="324" ht="14.25" customHeight="1">
      <c r="A324" s="10" t="s">
        <v>1142</v>
      </c>
      <c r="C324" s="11"/>
      <c r="D324" s="10" t="s">
        <v>874</v>
      </c>
      <c r="E324" s="11"/>
      <c r="F324" s="10" t="s">
        <v>1143</v>
      </c>
      <c r="H324" s="10" t="s">
        <v>1130</v>
      </c>
      <c r="I324" s="11"/>
      <c r="J324" s="10" t="s">
        <v>1051</v>
      </c>
      <c r="K324" s="11"/>
      <c r="L324" s="11"/>
      <c r="M324" s="10" t="s">
        <v>1051</v>
      </c>
      <c r="N324" s="11"/>
    </row>
    <row r="325" ht="14.25" customHeight="1">
      <c r="A325" s="10" t="s">
        <v>1144</v>
      </c>
      <c r="D325" s="10" t="s">
        <v>1145</v>
      </c>
      <c r="E325" s="11"/>
      <c r="F325" s="10" t="s">
        <v>1146</v>
      </c>
      <c r="G325" s="11"/>
      <c r="H325" s="10" t="s">
        <v>1147</v>
      </c>
      <c r="I325" s="11"/>
      <c r="J325" s="10" t="s">
        <v>1051</v>
      </c>
      <c r="K325" s="11"/>
      <c r="L325" s="11"/>
      <c r="M325" s="10" t="s">
        <v>1051</v>
      </c>
      <c r="N325" s="11"/>
    </row>
    <row r="326" ht="14.25" customHeight="1">
      <c r="A326" s="10" t="s">
        <v>1148</v>
      </c>
      <c r="C326" s="11"/>
      <c r="D326" s="10" t="s">
        <v>1030</v>
      </c>
      <c r="E326" s="11"/>
      <c r="F326" s="10" t="s">
        <v>1149</v>
      </c>
      <c r="G326" s="11"/>
      <c r="H326" s="10" t="s">
        <v>1130</v>
      </c>
      <c r="I326" s="11"/>
      <c r="J326" s="10" t="s">
        <v>1051</v>
      </c>
      <c r="K326" s="11"/>
      <c r="L326" s="11"/>
      <c r="M326" s="10" t="s">
        <v>1051</v>
      </c>
      <c r="N326" s="11"/>
    </row>
    <row r="327" ht="14.25" customHeight="1">
      <c r="A327" s="10" t="s">
        <v>1150</v>
      </c>
      <c r="D327" s="10" t="s">
        <v>1151</v>
      </c>
      <c r="E327" s="11"/>
      <c r="F327" s="10" t="s">
        <v>1152</v>
      </c>
      <c r="H327" s="10" t="s">
        <v>1153</v>
      </c>
      <c r="J327" s="10" t="s">
        <v>1051</v>
      </c>
      <c r="K327" s="11"/>
      <c r="L327" s="11"/>
      <c r="M327" s="10" t="s">
        <v>1051</v>
      </c>
      <c r="N327" s="11"/>
    </row>
    <row r="328" ht="14.25" customHeight="1">
      <c r="A328" s="10" t="s">
        <v>1154</v>
      </c>
      <c r="D328" s="10" t="s">
        <v>874</v>
      </c>
      <c r="E328" s="11"/>
      <c r="F328" s="10" t="s">
        <v>1130</v>
      </c>
      <c r="G328" s="11"/>
      <c r="H328" s="10" t="s">
        <v>1155</v>
      </c>
      <c r="I328" s="11"/>
      <c r="J328" s="10" t="s">
        <v>1051</v>
      </c>
      <c r="K328" s="11"/>
      <c r="L328" s="11"/>
      <c r="M328" s="10" t="s">
        <v>1051</v>
      </c>
      <c r="N328" s="11"/>
    </row>
    <row r="329" ht="14.25" customHeight="1">
      <c r="A329" s="10" t="s">
        <v>1156</v>
      </c>
      <c r="C329" s="11"/>
      <c r="D329" s="10" t="s">
        <v>1157</v>
      </c>
      <c r="E329" s="11"/>
      <c r="F329" s="10" t="s">
        <v>1158</v>
      </c>
      <c r="G329" s="11"/>
      <c r="H329" s="10" t="s">
        <v>1159</v>
      </c>
      <c r="I329" s="11"/>
      <c r="J329" s="10" t="s">
        <v>1051</v>
      </c>
      <c r="K329" s="11"/>
      <c r="L329" s="11"/>
      <c r="M329" s="10" t="s">
        <v>1051</v>
      </c>
      <c r="N329" s="11"/>
    </row>
    <row r="330" ht="14.25" customHeight="1">
      <c r="A330" s="10" t="s">
        <v>1160</v>
      </c>
      <c r="D330" s="10" t="s">
        <v>1161</v>
      </c>
      <c r="E330" s="11"/>
      <c r="F330" s="10" t="s">
        <v>1162</v>
      </c>
      <c r="H330" s="10" t="s">
        <v>1163</v>
      </c>
      <c r="J330" s="10" t="s">
        <v>1051</v>
      </c>
      <c r="K330" s="11"/>
      <c r="L330" s="11"/>
      <c r="M330" s="10" t="s">
        <v>1162</v>
      </c>
    </row>
    <row r="331" ht="14.25" customHeight="1">
      <c r="A331" s="10" t="s">
        <v>1164</v>
      </c>
      <c r="C331" s="11"/>
      <c r="D331" s="10" t="s">
        <v>1165</v>
      </c>
      <c r="E331" s="11"/>
      <c r="F331" s="10" t="s">
        <v>1166</v>
      </c>
      <c r="G331" s="11"/>
      <c r="H331" s="10" t="s">
        <v>1167</v>
      </c>
      <c r="I331" s="11"/>
      <c r="J331" s="10" t="s">
        <v>1051</v>
      </c>
      <c r="K331" s="11"/>
      <c r="L331" s="11"/>
      <c r="M331" s="10" t="s">
        <v>1051</v>
      </c>
      <c r="N331" s="11"/>
    </row>
    <row r="332" ht="14.25" customHeight="1">
      <c r="A332" s="10" t="s">
        <v>1168</v>
      </c>
      <c r="D332" s="10" t="s">
        <v>1000</v>
      </c>
      <c r="E332" s="11"/>
      <c r="F332" s="10" t="s">
        <v>1169</v>
      </c>
      <c r="G332" s="11"/>
      <c r="H332" s="10" t="s">
        <v>1170</v>
      </c>
      <c r="I332" s="11"/>
      <c r="J332" s="10" t="s">
        <v>1171</v>
      </c>
      <c r="M332" s="10" t="s">
        <v>1000</v>
      </c>
      <c r="N332" s="11"/>
    </row>
    <row r="333" ht="14.25" customHeight="1">
      <c r="A333" s="10" t="s">
        <v>1172</v>
      </c>
      <c r="C333" s="11"/>
      <c r="D333" s="10" t="s">
        <v>1173</v>
      </c>
      <c r="E333" s="11"/>
      <c r="F333" s="10" t="s">
        <v>1174</v>
      </c>
      <c r="G333" s="11"/>
      <c r="H333" s="10" t="s">
        <v>1175</v>
      </c>
      <c r="I333" s="11"/>
      <c r="J333" s="10" t="s">
        <v>1051</v>
      </c>
      <c r="K333" s="11"/>
      <c r="L333" s="11"/>
      <c r="M333" s="10" t="s">
        <v>1051</v>
      </c>
      <c r="N333" s="11"/>
    </row>
    <row r="334" ht="14.25" customHeight="1">
      <c r="A334" s="10" t="s">
        <v>1176</v>
      </c>
      <c r="C334" s="11"/>
      <c r="D334" s="10" t="s">
        <v>1177</v>
      </c>
      <c r="E334" s="11"/>
      <c r="F334" s="10" t="s">
        <v>1178</v>
      </c>
      <c r="H334" s="10" t="s">
        <v>1179</v>
      </c>
      <c r="J334" s="10" t="s">
        <v>1051</v>
      </c>
      <c r="K334" s="11"/>
      <c r="L334" s="11"/>
      <c r="M334" s="10" t="s">
        <v>1051</v>
      </c>
      <c r="N334" s="11"/>
    </row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5">
    <mergeCell ref="J219:L219"/>
    <mergeCell ref="M219:N219"/>
    <mergeCell ref="A218:C218"/>
    <mergeCell ref="D218:E218"/>
    <mergeCell ref="F218:G218"/>
    <mergeCell ref="H218:I218"/>
    <mergeCell ref="M218:N218"/>
    <mergeCell ref="A219:B219"/>
    <mergeCell ref="H219:I219"/>
    <mergeCell ref="H221:I221"/>
    <mergeCell ref="J221:L221"/>
    <mergeCell ref="A220:C220"/>
    <mergeCell ref="D220:E220"/>
    <mergeCell ref="H220:I220"/>
    <mergeCell ref="M220:N220"/>
    <mergeCell ref="D221:E221"/>
    <mergeCell ref="F221:G221"/>
    <mergeCell ref="M221:N221"/>
    <mergeCell ref="H223:I223"/>
    <mergeCell ref="J223:L223"/>
    <mergeCell ref="A221:C221"/>
    <mergeCell ref="A222:C222"/>
    <mergeCell ref="H222:I222"/>
    <mergeCell ref="J222:L222"/>
    <mergeCell ref="M222:N222"/>
    <mergeCell ref="D223:E223"/>
    <mergeCell ref="M223:N223"/>
    <mergeCell ref="J225:L225"/>
    <mergeCell ref="M225:N225"/>
    <mergeCell ref="A223:C223"/>
    <mergeCell ref="A224:C224"/>
    <mergeCell ref="D224:E224"/>
    <mergeCell ref="F224:G224"/>
    <mergeCell ref="H224:I224"/>
    <mergeCell ref="M224:N224"/>
    <mergeCell ref="A225:C225"/>
    <mergeCell ref="H228:I228"/>
    <mergeCell ref="J228:L228"/>
    <mergeCell ref="F225:G225"/>
    <mergeCell ref="H225:I225"/>
    <mergeCell ref="A226:C226"/>
    <mergeCell ref="A227:C227"/>
    <mergeCell ref="H227:I227"/>
    <mergeCell ref="M227:N227"/>
    <mergeCell ref="A228:C228"/>
    <mergeCell ref="M228:N228"/>
    <mergeCell ref="J212:L212"/>
    <mergeCell ref="M212:N212"/>
    <mergeCell ref="J213:L213"/>
    <mergeCell ref="M213:N213"/>
    <mergeCell ref="J214:L214"/>
    <mergeCell ref="M214:N214"/>
    <mergeCell ref="A210:C210"/>
    <mergeCell ref="A211:C211"/>
    <mergeCell ref="F211:G211"/>
    <mergeCell ref="H211:I211"/>
    <mergeCell ref="J211:L211"/>
    <mergeCell ref="M211:N211"/>
    <mergeCell ref="A212:B212"/>
    <mergeCell ref="H213:I213"/>
    <mergeCell ref="H214:I214"/>
    <mergeCell ref="A215:C215"/>
    <mergeCell ref="D215:E215"/>
    <mergeCell ref="F215:G215"/>
    <mergeCell ref="H215:I215"/>
    <mergeCell ref="J215:L215"/>
    <mergeCell ref="M215:N215"/>
    <mergeCell ref="D211:E211"/>
    <mergeCell ref="D212:E212"/>
    <mergeCell ref="A213:C213"/>
    <mergeCell ref="D213:E213"/>
    <mergeCell ref="F213:G213"/>
    <mergeCell ref="A214:B214"/>
    <mergeCell ref="D214:E214"/>
    <mergeCell ref="A216:C216"/>
    <mergeCell ref="D216:E216"/>
    <mergeCell ref="F216:G216"/>
    <mergeCell ref="H216:I216"/>
    <mergeCell ref="J216:L216"/>
    <mergeCell ref="M216:N216"/>
    <mergeCell ref="A217:C217"/>
    <mergeCell ref="F227:G227"/>
    <mergeCell ref="F228:G228"/>
    <mergeCell ref="A229:C229"/>
    <mergeCell ref="D229:E229"/>
    <mergeCell ref="F229:G229"/>
    <mergeCell ref="H229:I229"/>
    <mergeCell ref="A230:C230"/>
    <mergeCell ref="J245:L245"/>
    <mergeCell ref="M245:N245"/>
    <mergeCell ref="A243:C243"/>
    <mergeCell ref="F243:G243"/>
    <mergeCell ref="J243:L243"/>
    <mergeCell ref="A244:C244"/>
    <mergeCell ref="D244:E244"/>
    <mergeCell ref="A245:C245"/>
    <mergeCell ref="H245:I245"/>
    <mergeCell ref="A289:C289"/>
    <mergeCell ref="A290:C290"/>
    <mergeCell ref="A291:C291"/>
    <mergeCell ref="A292:C292"/>
    <mergeCell ref="H292:I292"/>
    <mergeCell ref="A293:B293"/>
    <mergeCell ref="A294:B294"/>
    <mergeCell ref="A295:C295"/>
    <mergeCell ref="F295:G295"/>
    <mergeCell ref="H295:I295"/>
    <mergeCell ref="A296:C296"/>
    <mergeCell ref="A297:C297"/>
    <mergeCell ref="D297:E297"/>
    <mergeCell ref="H297:I297"/>
    <mergeCell ref="H305:I305"/>
    <mergeCell ref="M305:N305"/>
    <mergeCell ref="A301:B301"/>
    <mergeCell ref="A302:B302"/>
    <mergeCell ref="F302:G302"/>
    <mergeCell ref="J302:L302"/>
    <mergeCell ref="A303:C303"/>
    <mergeCell ref="A304:B304"/>
    <mergeCell ref="A305:B305"/>
    <mergeCell ref="A306:C306"/>
    <mergeCell ref="F306:G306"/>
    <mergeCell ref="M306:N306"/>
    <mergeCell ref="A307:B307"/>
    <mergeCell ref="F307:G307"/>
    <mergeCell ref="A308:B308"/>
    <mergeCell ref="A309:B309"/>
    <mergeCell ref="D309:E309"/>
    <mergeCell ref="F309:G309"/>
    <mergeCell ref="A310:B310"/>
    <mergeCell ref="F310:G310"/>
    <mergeCell ref="H310:I310"/>
    <mergeCell ref="F311:G311"/>
    <mergeCell ref="M311:N311"/>
    <mergeCell ref="A311:C311"/>
    <mergeCell ref="A312:B312"/>
    <mergeCell ref="A313:C313"/>
    <mergeCell ref="D314:E314"/>
    <mergeCell ref="H314:I314"/>
    <mergeCell ref="J314:L314"/>
    <mergeCell ref="M314:N314"/>
    <mergeCell ref="M315:N315"/>
    <mergeCell ref="A314:B314"/>
    <mergeCell ref="A315:B315"/>
    <mergeCell ref="F315:G315"/>
    <mergeCell ref="A316:C316"/>
    <mergeCell ref="D316:E316"/>
    <mergeCell ref="H316:I316"/>
    <mergeCell ref="A317:C317"/>
    <mergeCell ref="F320:G320"/>
    <mergeCell ref="F322:G322"/>
    <mergeCell ref="A318:C318"/>
    <mergeCell ref="A319:B319"/>
    <mergeCell ref="H319:I319"/>
    <mergeCell ref="A320:B320"/>
    <mergeCell ref="A321:C321"/>
    <mergeCell ref="D321:E321"/>
    <mergeCell ref="A322:B322"/>
    <mergeCell ref="F327:G327"/>
    <mergeCell ref="H327:I327"/>
    <mergeCell ref="A323:B323"/>
    <mergeCell ref="H323:I323"/>
    <mergeCell ref="A324:B324"/>
    <mergeCell ref="F324:G324"/>
    <mergeCell ref="A325:C325"/>
    <mergeCell ref="A326:B326"/>
    <mergeCell ref="A327:C327"/>
    <mergeCell ref="A279:C279"/>
    <mergeCell ref="D279:E279"/>
    <mergeCell ref="A280:C280"/>
    <mergeCell ref="D280:E280"/>
    <mergeCell ref="A281:C281"/>
    <mergeCell ref="F281:G281"/>
    <mergeCell ref="H281:I281"/>
    <mergeCell ref="J283:L283"/>
    <mergeCell ref="J284:L284"/>
    <mergeCell ref="J285:L285"/>
    <mergeCell ref="J286:L286"/>
    <mergeCell ref="M288:N288"/>
    <mergeCell ref="J289:L289"/>
    <mergeCell ref="J291:L291"/>
    <mergeCell ref="M292:N292"/>
    <mergeCell ref="A282:C282"/>
    <mergeCell ref="D282:E282"/>
    <mergeCell ref="J282:L282"/>
    <mergeCell ref="M282:N282"/>
    <mergeCell ref="A283:C283"/>
    <mergeCell ref="F284:G284"/>
    <mergeCell ref="M284:N284"/>
    <mergeCell ref="A284:C284"/>
    <mergeCell ref="A285:C285"/>
    <mergeCell ref="A286:B286"/>
    <mergeCell ref="A287:B287"/>
    <mergeCell ref="A288:B288"/>
    <mergeCell ref="F288:G288"/>
    <mergeCell ref="D289:E289"/>
    <mergeCell ref="H293:I293"/>
    <mergeCell ref="H294:I294"/>
    <mergeCell ref="M294:N294"/>
    <mergeCell ref="M295:N295"/>
    <mergeCell ref="M297:N297"/>
    <mergeCell ref="A332:C332"/>
    <mergeCell ref="J332:L332"/>
    <mergeCell ref="A333:B333"/>
    <mergeCell ref="A334:B334"/>
    <mergeCell ref="F334:G334"/>
    <mergeCell ref="H334:I334"/>
    <mergeCell ref="A328:C328"/>
    <mergeCell ref="A329:B329"/>
    <mergeCell ref="A330:C330"/>
    <mergeCell ref="F330:G330"/>
    <mergeCell ref="H330:I330"/>
    <mergeCell ref="M330:N330"/>
    <mergeCell ref="A331:B331"/>
    <mergeCell ref="A238:B238"/>
    <mergeCell ref="F238:G238"/>
    <mergeCell ref="J238:L238"/>
    <mergeCell ref="A239:C239"/>
    <mergeCell ref="F239:G239"/>
    <mergeCell ref="M239:N239"/>
    <mergeCell ref="H240:I240"/>
    <mergeCell ref="A240:C240"/>
    <mergeCell ref="A241:C241"/>
    <mergeCell ref="D241:E241"/>
    <mergeCell ref="H241:I241"/>
    <mergeCell ref="J241:L241"/>
    <mergeCell ref="M241:N241"/>
    <mergeCell ref="A242:B242"/>
    <mergeCell ref="J248:L248"/>
    <mergeCell ref="M248:N248"/>
    <mergeCell ref="A246:C246"/>
    <mergeCell ref="F246:G246"/>
    <mergeCell ref="A247:B247"/>
    <mergeCell ref="H247:I247"/>
    <mergeCell ref="M247:N247"/>
    <mergeCell ref="A248:C248"/>
    <mergeCell ref="F248:G248"/>
    <mergeCell ref="J232:L232"/>
    <mergeCell ref="M232:N232"/>
    <mergeCell ref="H232:I232"/>
    <mergeCell ref="H233:I233"/>
    <mergeCell ref="J233:L233"/>
    <mergeCell ref="M233:N233"/>
    <mergeCell ref="A231:B231"/>
    <mergeCell ref="D231:E231"/>
    <mergeCell ref="H231:I231"/>
    <mergeCell ref="J231:L231"/>
    <mergeCell ref="M231:N231"/>
    <mergeCell ref="A232:B232"/>
    <mergeCell ref="A233:C233"/>
    <mergeCell ref="J237:L237"/>
    <mergeCell ref="M237:N237"/>
    <mergeCell ref="A234:C234"/>
    <mergeCell ref="H234:I234"/>
    <mergeCell ref="J234:L234"/>
    <mergeCell ref="A235:C235"/>
    <mergeCell ref="A236:C236"/>
    <mergeCell ref="H236:I236"/>
    <mergeCell ref="A237:B237"/>
    <mergeCell ref="A249:B249"/>
    <mergeCell ref="D249:E249"/>
    <mergeCell ref="J249:L249"/>
    <mergeCell ref="M249:N249"/>
    <mergeCell ref="A250:C250"/>
    <mergeCell ref="F250:G250"/>
    <mergeCell ref="J250:L250"/>
    <mergeCell ref="F253:G253"/>
    <mergeCell ref="H253:I253"/>
    <mergeCell ref="A251:C251"/>
    <mergeCell ref="A252:B252"/>
    <mergeCell ref="F252:G252"/>
    <mergeCell ref="H252:I252"/>
    <mergeCell ref="M252:N252"/>
    <mergeCell ref="D253:E253"/>
    <mergeCell ref="M253:N253"/>
    <mergeCell ref="A253:C253"/>
    <mergeCell ref="A254:C254"/>
    <mergeCell ref="D254:E254"/>
    <mergeCell ref="F254:G254"/>
    <mergeCell ref="J254:L254"/>
    <mergeCell ref="M254:N254"/>
    <mergeCell ref="D255:E255"/>
    <mergeCell ref="A255:C255"/>
    <mergeCell ref="A256:C256"/>
    <mergeCell ref="H256:I256"/>
    <mergeCell ref="J256:L256"/>
    <mergeCell ref="M256:N256"/>
    <mergeCell ref="A257:B257"/>
    <mergeCell ref="J257:L257"/>
    <mergeCell ref="A258:C258"/>
    <mergeCell ref="F258:G258"/>
    <mergeCell ref="J258:L258"/>
    <mergeCell ref="M258:N258"/>
    <mergeCell ref="A259:C259"/>
    <mergeCell ref="J259:L259"/>
    <mergeCell ref="M259:N259"/>
    <mergeCell ref="D263:E263"/>
    <mergeCell ref="F263:G263"/>
    <mergeCell ref="J263:L263"/>
    <mergeCell ref="M263:N263"/>
    <mergeCell ref="A260:C260"/>
    <mergeCell ref="D260:E260"/>
    <mergeCell ref="A261:C261"/>
    <mergeCell ref="H261:I261"/>
    <mergeCell ref="A262:C262"/>
    <mergeCell ref="H262:I262"/>
    <mergeCell ref="A263:C263"/>
    <mergeCell ref="F278:G278"/>
    <mergeCell ref="H278:I278"/>
    <mergeCell ref="M278:N278"/>
    <mergeCell ref="A275:C275"/>
    <mergeCell ref="F275:G275"/>
    <mergeCell ref="A276:C276"/>
    <mergeCell ref="A277:C277"/>
    <mergeCell ref="H277:I277"/>
    <mergeCell ref="J277:L277"/>
    <mergeCell ref="A278:C278"/>
    <mergeCell ref="J264:L264"/>
    <mergeCell ref="J265:L265"/>
    <mergeCell ref="A264:C264"/>
    <mergeCell ref="F264:G264"/>
    <mergeCell ref="H264:I264"/>
    <mergeCell ref="M264:N264"/>
    <mergeCell ref="A265:C265"/>
    <mergeCell ref="D265:E265"/>
    <mergeCell ref="F265:G265"/>
    <mergeCell ref="A266:C266"/>
    <mergeCell ref="D266:E266"/>
    <mergeCell ref="H266:I266"/>
    <mergeCell ref="J266:L266"/>
    <mergeCell ref="M266:N266"/>
    <mergeCell ref="A267:C267"/>
    <mergeCell ref="J268:L268"/>
    <mergeCell ref="A268:C268"/>
    <mergeCell ref="A269:C269"/>
    <mergeCell ref="D269:E269"/>
    <mergeCell ref="F269:G269"/>
    <mergeCell ref="H269:I269"/>
    <mergeCell ref="M269:N269"/>
    <mergeCell ref="A270:C270"/>
    <mergeCell ref="A271:C271"/>
    <mergeCell ref="D271:E271"/>
    <mergeCell ref="F271:G271"/>
    <mergeCell ref="A272:C272"/>
    <mergeCell ref="D272:E272"/>
    <mergeCell ref="F272:G272"/>
    <mergeCell ref="J272:L272"/>
    <mergeCell ref="A273:C273"/>
    <mergeCell ref="H273:I273"/>
    <mergeCell ref="J273:L273"/>
    <mergeCell ref="M273:N273"/>
    <mergeCell ref="A274:C274"/>
    <mergeCell ref="D274:E274"/>
    <mergeCell ref="H274:I274"/>
    <mergeCell ref="J281:L281"/>
    <mergeCell ref="M281:N281"/>
    <mergeCell ref="M299:N299"/>
    <mergeCell ref="M300:N300"/>
    <mergeCell ref="A298:B298"/>
    <mergeCell ref="A299:B299"/>
    <mergeCell ref="D299:E299"/>
    <mergeCell ref="J299:L299"/>
    <mergeCell ref="A300:C300"/>
    <mergeCell ref="F300:G300"/>
    <mergeCell ref="H300:I300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4.29"/>
    <col customWidth="1" min="2" max="2" width="78.29"/>
    <col customWidth="1" min="3" max="3" width="80.86"/>
    <col customWidth="1" min="4" max="4" width="49.29"/>
    <col customWidth="1" min="5" max="5" width="74.57"/>
    <col customWidth="1" min="6" max="6" width="8.71"/>
    <col customWidth="1" min="7" max="7" width="12.71"/>
    <col customWidth="1" min="8" max="8" width="31.43"/>
    <col customWidth="1" min="9" max="9" width="40.14"/>
    <col customWidth="1" min="10" max="10" width="36.43"/>
    <col customWidth="1" min="11" max="15" width="43.0"/>
    <col customWidth="1" min="16" max="27" width="8.71"/>
  </cols>
  <sheetData>
    <row r="1" ht="14.25" customHeight="1">
      <c r="A1" s="1" t="s">
        <v>0</v>
      </c>
      <c r="B1" s="1" t="s">
        <v>1180</v>
      </c>
      <c r="C1" s="1" t="s">
        <v>1181</v>
      </c>
      <c r="D1" s="1" t="s">
        <v>701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4.25" customHeight="1">
      <c r="A2" s="4">
        <v>1.0</v>
      </c>
      <c r="B2" s="5" t="str">
        <f>IFERROR(__xludf.DUMMYFUNCTION("GOOGLETRANSLATE(H2, ""th"", ""en"")
"),"You notice that your teammates in the boat race look tired. What do you do?")</f>
        <v>You notice that your teammates in the boat race look tired. What do you do?</v>
      </c>
      <c r="C2" s="5" t="str">
        <f>IFERROR(__xludf.DUMMYFUNCTION("GOOGLETRANSLATE(I2, ""th"", ""en"")
"),"A) Take the lead and motivate the team; B) Slow down; C) Maintain a rhythm and observe; D) Consult the coach.")</f>
        <v>A) Take the lead and motivate the team; B) Slow down; C) Maintain a rhythm and observe; D) Consult the coach.</v>
      </c>
      <c r="D2" s="5" t="str">
        <f>IFERROR(__xludf.DUMMYFUNCTION("GOOGLETRANSLATE(J2, ""th"", ""en"")
"),"A) Take on leadership roles and motivate the team.")</f>
        <v>A) Take on leadership roles and motivate the team.</v>
      </c>
      <c r="E2" s="5" t="str">
        <f>IFERROR(__xludf.DUMMYFUNCTION(" GOOGLETRANSLATE(K2, ""th"", ""en"")"),"Leading the team at this pace helps improve team coordination.")</f>
        <v>Leading the team at this pace helps improve team coordination.</v>
      </c>
      <c r="G2" s="6">
        <v>1.0</v>
      </c>
      <c r="H2" s="7" t="s">
        <v>1182</v>
      </c>
      <c r="I2" s="7" t="s">
        <v>11</v>
      </c>
      <c r="J2" s="7" t="s">
        <v>12</v>
      </c>
      <c r="K2" s="7" t="s">
        <v>13</v>
      </c>
    </row>
    <row r="3" ht="14.25" customHeight="1">
      <c r="A3" s="4">
        <v>2.0</v>
      </c>
      <c r="B3" s="5" t="str">
        <f>IFERROR(__xludf.DUMMYFUNCTION("GOOGLETRANSLATE(H3, ""th"", ""en"")
"),"Your coach asks you to lead the team in a cheering song at a boat race. What do you do?")</f>
        <v>Your coach asks you to lead the team in a cheering song at a boat race. What do you do?</v>
      </c>
      <c r="C3" s="5" t="str">
        <f>IFERROR(__xludf.DUMMYFUNCTION("GOOGLETRANSLATE(I3, ""th"", ""en"")
"),"A) Refuse; B) Choose easy songs; C) Sing without energy; D) Write a new, complex song.")</f>
        <v>A) Refuse; B) Choose easy songs; C) Sing without energy; D) Write a new, complex song.</v>
      </c>
      <c r="D3" s="5" t="str">
        <f>IFERROR(__xludf.DUMMYFUNCTION("GOOGLETRANSLATE(J3, ""th"", ""en"")
"),"B) Choose an easy song.")</f>
        <v>B) Choose an easy song.</v>
      </c>
      <c r="E3" s="5" t="str">
        <f>IFERROR(__xludf.DUMMYFUNCTION(" GOOGLETRANSLATE(K3, ""th"", ""en"")"),"Choosing easy songs helps build confidence and connect with the team.")</f>
        <v>Choosing easy songs helps build confidence and connect with the team.</v>
      </c>
      <c r="G3" s="6">
        <v>2.0</v>
      </c>
      <c r="H3" s="7" t="s">
        <v>1183</v>
      </c>
      <c r="I3" s="7" t="s">
        <v>15</v>
      </c>
      <c r="J3" s="7" t="s">
        <v>16</v>
      </c>
      <c r="K3" s="7" t="s">
        <v>17</v>
      </c>
    </row>
    <row r="4" ht="14.25" customHeight="1">
      <c r="A4" s="4">
        <v>3.0</v>
      </c>
      <c r="B4" s="5" t="str">
        <f>IFERROR(__xludf.DUMMYFUNCTION("GOOGLETRANSLATE(H4, ""th"", ""en"")
"),"While racing, you notice that the course is not straight. What do you do?")</f>
        <v>While racing, you notice that the course is not straight. What do you do?</v>
      </c>
      <c r="C4" s="5" t="str">
        <f>IFERROR(__xludf.DUMMYFUNCTION("GOOGLETRANSLATE(I4, ""th"", ""en"")
"),"A) Correct the boat's direction immediately; B) Ignore it and continue racing; C) Notify the coach; D) Stop racing.")</f>
        <v>A) Correct the boat's direction immediately; B) Ignore it and continue racing; C) Notify the coach; D) Stop racing.</v>
      </c>
      <c r="D4" s="5" t="str">
        <f>IFERROR(__xludf.DUMMYFUNCTION("GOOGLETRANSLATE(J4, ""th"", ""en"")
"),"A) Immediately adjust the ship's direction.")</f>
        <v>A) Immediately adjust the ship's direction.</v>
      </c>
      <c r="E4" s="5" t="str">
        <f>IFERROR(__xludf.DUMMYFUNCTION(" GOOGLETRANSLATE(K4, ""th"", ""en"")"),"Maintaining a straight line is important for making the right time in the race.")</f>
        <v>Maintaining a straight line is important for making the right time in the race.</v>
      </c>
      <c r="G4" s="6">
        <v>3.0</v>
      </c>
      <c r="H4" s="7" t="s">
        <v>1184</v>
      </c>
      <c r="I4" s="7" t="s">
        <v>1185</v>
      </c>
      <c r="J4" s="7" t="s">
        <v>1186</v>
      </c>
      <c r="K4" s="7" t="s">
        <v>1187</v>
      </c>
    </row>
    <row r="5" ht="14.25" customHeight="1">
      <c r="A5" s="4">
        <v>4.0</v>
      </c>
      <c r="B5" s="5" t="str">
        <f>IFERROR(__xludf.DUMMYFUNCTION("GOOGLETRANSLATE(H5, ""th"", ""en"")
"),"Your teammate makes a mistake during a boat race. What do you do?")</f>
        <v>Your teammate makes a mistake during a boat race. What do you do?</v>
      </c>
      <c r="C5" s="5" t="str">
        <f>IFERROR(__xludf.DUMMYFUNCTION("GOOGLETRANSLATE(I5, ""th"", ""en"")
"),"A) Help him quietly; B) Reprimand him loudly; C) Continue the race as usual; D) Stop the race.")</f>
        <v>A) Help him quietly; B) Reprimand him loudly; C) Continue the race as usual; D) Stop the race.</v>
      </c>
      <c r="D5" s="5" t="str">
        <f>IFERROR(__xludf.DUMMYFUNCTION("GOOGLETRANSLATE(J5, ""th"", ""en"")
"),"A) Help him quietly.")</f>
        <v>A) Help him quietly.</v>
      </c>
      <c r="E5" s="5" t="str">
        <f>IFERROR(__xludf.DUMMYFUNCTION(" GOOGLETRANSLATE(K5, ""th"", ""en"")"),"Silent contributions help build team unity.")</f>
        <v>Silent contributions help build team unity.</v>
      </c>
      <c r="G5" s="6">
        <v>4.0</v>
      </c>
      <c r="H5" s="7" t="s">
        <v>1188</v>
      </c>
      <c r="I5" s="7" t="s">
        <v>1189</v>
      </c>
      <c r="J5" s="7" t="s">
        <v>24</v>
      </c>
      <c r="K5" s="7" t="s">
        <v>25</v>
      </c>
    </row>
    <row r="6" ht="14.25" customHeight="1">
      <c r="A6" s="4">
        <v>5.0</v>
      </c>
      <c r="B6" s="5" t="str">
        <f>IFERROR(__xludf.DUMMYFUNCTION("GOOGLETRANSLATE(H6, ""th"", ""en"")
"),"Your boat is hit by a big wave, what do you do?")</f>
        <v>Your boat is hit by a big wave, what do you do?</v>
      </c>
      <c r="C6" s="5" t="str">
        <f>IFERROR(__xludf.DUMMYFUNCTION("GOOGLETRANSLATE(I6, ""th"", ""en"")
"),"A) Maintain good tempo and control of the boat; B) Stop and wait for the waves to recede; C) Notify the instructor; D) Change direction immediately.")</f>
        <v>A) Maintain good tempo and control of the boat; B) Stop and wait for the waves to recede; C) Notify the instructor; D) Change direction immediately.</v>
      </c>
      <c r="D6" s="5" t="str">
        <f>IFERROR(__xludf.DUMMYFUNCTION("GOOGLETRANSLATE(J6, ""th"", ""en"")
"),"A) Maintain the rhythm and control the boat well.")</f>
        <v>A) Maintain the rhythm and control the boat well.</v>
      </c>
      <c r="E6" s="5" t="str">
        <f>IFERROR(__xludf.DUMMYFUNCTION(" GOOGLETRANSLATE(K6, ""th"", ""en"")"),"Maintaining a stable boat during waves allows for normal racing.")</f>
        <v>Maintaining a stable boat during waves allows for normal racing.</v>
      </c>
      <c r="G6" s="6">
        <v>5.0</v>
      </c>
      <c r="H6" s="7" t="s">
        <v>1190</v>
      </c>
      <c r="I6" s="7" t="s">
        <v>1191</v>
      </c>
      <c r="J6" s="7" t="s">
        <v>1192</v>
      </c>
      <c r="K6" s="7" t="s">
        <v>1193</v>
      </c>
    </row>
    <row r="7" ht="14.25" customHeight="1">
      <c r="A7" s="4">
        <v>6.0</v>
      </c>
      <c r="B7" s="5" t="str">
        <f>IFERROR(__xludf.DUMMYFUNCTION("GOOGLETRANSLATE(H7, ""th"", ""en"")
"),"During a boat race, you notice that another team's boat is colliding with another. What do you do?")</f>
        <v>During a boat race, you notice that another team's boat is colliding with another. What do you do?</v>
      </c>
      <c r="C7" s="5" t="str">
        <f>IFERROR(__xludf.DUMMYFUNCTION("GOOGLETRANSLATE(I7, ""th"", ""en"")
"),"A) Avoid and keep your distance; B) Try to accelerate as fast as possible; C) Inform the coach; D) Stop the race.")</f>
        <v>A) Avoid and keep your distance; B) Try to accelerate as fast as possible; C) Inform the coach; D) Stop the race.</v>
      </c>
      <c r="D7" s="5" t="str">
        <f>IFERROR(__xludf.DUMMYFUNCTION("GOOGLETRANSLATE(J7, ""th"", ""en"")
"),"A) Avoid and keep a distance.")</f>
        <v>A) Avoid and keep a distance.</v>
      </c>
      <c r="E7" s="5" t="str">
        <f>IFERROR(__xludf.DUMMYFUNCTION(" GOOGLETRANSLATE(K7, ""th"", ""en"")"),"Keeping your distance allows you to race safely.")</f>
        <v>Keeping your distance allows you to race safely.</v>
      </c>
      <c r="G7" s="6">
        <v>6.0</v>
      </c>
      <c r="H7" s="7" t="s">
        <v>1194</v>
      </c>
      <c r="I7" s="7" t="s">
        <v>1195</v>
      </c>
      <c r="J7" s="7" t="s">
        <v>1196</v>
      </c>
      <c r="K7" s="7" t="s">
        <v>1197</v>
      </c>
    </row>
    <row r="8" ht="14.25" customHeight="1">
      <c r="A8" s="4">
        <v>7.0</v>
      </c>
      <c r="B8" s="5" t="str">
        <f>IFERROR(__xludf.DUMMYFUNCTION("GOOGLETRANSLATE(H8, ""th"", ""en"")
"),"Your team is in second place and nearing the finish line. What will you do?")</f>
        <v>Your team is in second place and nearing the finish line. What will you do?</v>
      </c>
      <c r="C8" s="5" t="str">
        <f>IFERROR(__xludf.DUMMYFUNCTION("GOOGLETRANSLATE(I8, ""th"", ""en"")
"),"A) Try to accelerate as fast as you can; B) Slow down and maintain position; C) Try to maintain rhythm and wait for the right moment; D) Consult your coach.")</f>
        <v>A) Try to accelerate as fast as you can; B) Slow down and maintain position; C) Try to maintain rhythm and wait for the right moment; D) Consult your coach.</v>
      </c>
      <c r="D8" s="5" t="str">
        <f>IFERROR(__xludf.DUMMYFUNCTION("GOOGLETRANSLATE(J8, ""th"", ""en"")
"),"A) Try to accelerate as fast as you can.")</f>
        <v>A) Try to accelerate as fast as you can.</v>
      </c>
      <c r="E8" s="5" t="str">
        <f>IFERROR(__xludf.DUMMYFUNCTION(" GOOGLETRANSLATE(K8, ""th"", ""en"")"),"Accelerating at this pace will help you win.")</f>
        <v>Accelerating at this pace will help you win.</v>
      </c>
      <c r="G8" s="6">
        <v>7.0</v>
      </c>
      <c r="H8" s="7" t="s">
        <v>1198</v>
      </c>
      <c r="I8" s="7" t="s">
        <v>1199</v>
      </c>
      <c r="J8" s="7" t="s">
        <v>1200</v>
      </c>
      <c r="K8" s="7" t="s">
        <v>1201</v>
      </c>
    </row>
    <row r="9" ht="14.25" customHeight="1">
      <c r="A9" s="4">
        <v>8.0</v>
      </c>
      <c r="B9" s="5" t="str">
        <f>IFERROR(__xludf.DUMMYFUNCTION("GOOGLETRANSLATE(H9, ""th"", ""en"")
"),"When your team almost loses, what do you do?")</f>
        <v>When your team almost loses, what do you do?</v>
      </c>
      <c r="C9" s="5" t="str">
        <f>IFERROR(__xludf.DUMMYFUNCTION("GOOGLETRANSLATE(I9, ""th"", ""en"")
"),"A) motivate teammates and try to increase speed; B) reduce pressure and accept the outcome; C) stop competing; D) blame teammates.")</f>
        <v>A) motivate teammates and try to increase speed; B) reduce pressure and accept the outcome; C) stop competing; D) blame teammates.</v>
      </c>
      <c r="D9" s="5" t="str">
        <f>IFERROR(__xludf.DUMMYFUNCTION("GOOGLETRANSLATE(J9, ""th"", ""en"")
"),"A) Encourage teammates and try to increase speed.")</f>
        <v>A) Encourage teammates and try to increase speed.</v>
      </c>
      <c r="E9" s="5" t="str">
        <f>IFERROR(__xludf.DUMMYFUNCTION(" GOOGLETRANSLATE(K9, ""th"", ""en"")"),"Motivating your team at the end of the day can boost confidence and results.")</f>
        <v>Motivating your team at the end of the day can boost confidence and results.</v>
      </c>
      <c r="G9" s="6">
        <v>8.0</v>
      </c>
      <c r="H9" s="7" t="s">
        <v>1202</v>
      </c>
      <c r="I9" s="7" t="s">
        <v>1203</v>
      </c>
      <c r="J9" s="7" t="s">
        <v>1204</v>
      </c>
      <c r="K9" s="7" t="s">
        <v>1205</v>
      </c>
    </row>
    <row r="10" ht="14.25" customHeight="1">
      <c r="A10" s="4">
        <v>9.0</v>
      </c>
      <c r="B10" s="5" t="str">
        <f>IFERROR(__xludf.DUMMYFUNCTION("GOOGLETRANSLATE(H10, ""th"", ""en"")
"),"When it rains heavily during a boat race, what do you do?")</f>
        <v>When it rains heavily during a boat race, what do you do?</v>
      </c>
      <c r="C10" s="5" t="str">
        <f>IFERROR(__xludf.DUMMYFUNCTION("GOOGLETRANSLATE(I10, ""th"", ""en"")
"),"A) Assess the weather conditions and make adjustments to your strategy; B) Accept the risk and continue the race; C) Stop the race immediately; D) Seek advice from your coach.")</f>
        <v>A) Assess the weather conditions and make adjustments to your strategy; B) Accept the risk and continue the race; C) Stop the race immediately; D) Seek advice from your coach.</v>
      </c>
      <c r="D10" s="5" t="str">
        <f>IFERROR(__xludf.DUMMYFUNCTION("GOOGLETRANSLATE(J10, ""th"", ""en"")
"),"A) Assess weather conditions and make strategic adjustments.")</f>
        <v>A) Assess weather conditions and make strategic adjustments.</v>
      </c>
      <c r="E10" s="5" t="str">
        <f>IFERROR(__xludf.DUMMYFUNCTION(" GOOGLETRANSLATE(K10, ""th"", ""en"")"),"Adjusting your strategy in bad weather conditions helps you race safely.")</f>
        <v>Adjusting your strategy in bad weather conditions helps you race safely.</v>
      </c>
      <c r="G10" s="6">
        <v>9.0</v>
      </c>
      <c r="H10" s="7" t="s">
        <v>1206</v>
      </c>
      <c r="I10" s="7" t="s">
        <v>1207</v>
      </c>
      <c r="J10" s="7" t="s">
        <v>1208</v>
      </c>
      <c r="K10" s="7" t="s">
        <v>1209</v>
      </c>
    </row>
    <row r="11" ht="14.25" customHeight="1">
      <c r="A11" s="4">
        <v>10.0</v>
      </c>
      <c r="B11" s="5" t="str">
        <f>IFERROR(__xludf.DUMMYFUNCTION("GOOGLETRANSLATE(H11, ""th"", ""en"")
"),"You see that your teammates are not paying attention in practice. What do you do?")</f>
        <v>You see that your teammates are not paying attention in practice. What do you do?</v>
      </c>
      <c r="C11" s="5" t="str">
        <f>IFERROR(__xludf.DUMMYFUNCTION("GOOGLETRANSLATE(I11, ""th"", ""en"")
"),"A) Encourage him to come back to training; B) Let him do what he wants; C) Inform the trainer; D) Avoid him and say nothing.")</f>
        <v>A) Encourage him to come back to training; B) Let him do what he wants; C) Inform the trainer; D) Avoid him and say nothing.</v>
      </c>
      <c r="D11" s="5" t="str">
        <f>IFERROR(__xludf.DUMMYFUNCTION("GOOGLETRANSLATE(J11, ""th"", ""en"")
"),"A) Encourage him to return to training.")</f>
        <v>A) Encourage him to return to training.</v>
      </c>
      <c r="E11" s="5" t="str">
        <f>IFERROR(__xludf.DUMMYFUNCTION(" GOOGLETRANSLATE(K11, ""th"", ""en"")"),"Motivating your teammates adds energy to your training.")</f>
        <v>Motivating your teammates adds energy to your training.</v>
      </c>
      <c r="G11" s="6">
        <v>10.0</v>
      </c>
      <c r="H11" s="7" t="s">
        <v>1210</v>
      </c>
      <c r="I11" s="7" t="s">
        <v>1211</v>
      </c>
      <c r="J11" s="7" t="s">
        <v>1212</v>
      </c>
      <c r="K11" s="7" t="s">
        <v>1213</v>
      </c>
    </row>
    <row r="12" ht="14.25" customHeight="1">
      <c r="A12" s="4">
        <v>11.0</v>
      </c>
      <c r="B12" s="5" t="str">
        <f>IFERROR(__xludf.DUMMYFUNCTION("GOOGLETRANSLATE(H12, ""th"", ""en"")
"),"You receive feedback from your coach that you are not being careful during the race. What do you do?")</f>
        <v>You receive feedback from your coach that you are not being careful during the race. What do you do?</v>
      </c>
      <c r="C12" s="5" t="str">
        <f>IFERROR(__xludf.DUMMYFUNCTION("GOOGLETRANSLATE(I12, ""th"", ""en"")
"),"A) Listen and try to improve; B) Refuse and do nothing to change; C) Get discouraged and stop trying; D) Complain to your teammates.")</f>
        <v>A) Listen and try to improve; B) Refuse and do nothing to change; C) Get discouraged and stop trying; D) Complain to your teammates.</v>
      </c>
      <c r="D12" s="5" t="str">
        <f>IFERROR(__xludf.DUMMYFUNCTION("GOOGLETRANSLATE(J12, ""th"", ""en"")
"),"A) Listen and try to improve.")</f>
        <v>A) Listen and try to improve.</v>
      </c>
      <c r="E12" s="5" t="str">
        <f>IFERROR(__xludf.DUMMYFUNCTION(" GOOGLETRANSLATE(K12, ""th"", ""en"")"),"Listening to feedback helps improve your competitive skills.")</f>
        <v>Listening to feedback helps improve your competitive skills.</v>
      </c>
      <c r="G12" s="6">
        <v>11.0</v>
      </c>
      <c r="H12" s="7" t="s">
        <v>1214</v>
      </c>
      <c r="I12" s="7" t="s">
        <v>1215</v>
      </c>
      <c r="J12" s="7" t="s">
        <v>1216</v>
      </c>
      <c r="K12" s="7" t="s">
        <v>1217</v>
      </c>
    </row>
    <row r="13" ht="14.25" customHeight="1">
      <c r="A13" s="4">
        <v>12.0</v>
      </c>
      <c r="B13" s="5" t="str">
        <f>IFERROR(__xludf.DUMMYFUNCTION("GOOGLETRANSLATE(H13, ""th"", ""en"")
"),"Your teammates suggest changing your rowing style. What do you do?")</f>
        <v>Your teammates suggest changing your rowing style. What do you do?</v>
      </c>
      <c r="C13" s="5" t="str">
        <f>IFERROR(__xludf.DUMMYFUNCTION("GOOGLETRANSLATE(I13, ""th"", ""en"")
"),"A) Try a new method and evaluate it; B) Refuse and continue with the old method; C) Inform the trainer; D) Ignore it.")</f>
        <v>A) Try a new method and evaluate it; B) Refuse and continue with the old method; C) Inform the trainer; D) Ignore it.</v>
      </c>
      <c r="D13" s="5" t="str">
        <f>IFERROR(__xludf.DUMMYFUNCTION("GOOGLETRANSLATE(J13, ""th"", ""en"")
"),"A) Try new methods and evaluate the results.")</f>
        <v>A) Try new methods and evaluate the results.</v>
      </c>
      <c r="E13" s="5" t="str">
        <f>IFERROR(__xludf.DUMMYFUNCTION(" GOOGLETRANSLATE(K13, ""th"", ""en"")"),"Experimenting with new methods may improve competition performance.")</f>
        <v>Experimenting with new methods may improve competition performance.</v>
      </c>
      <c r="G13" s="6">
        <v>12.0</v>
      </c>
      <c r="H13" s="7" t="s">
        <v>1218</v>
      </c>
      <c r="I13" s="7" t="s">
        <v>1219</v>
      </c>
      <c r="J13" s="7" t="s">
        <v>1220</v>
      </c>
      <c r="K13" s="7" t="s">
        <v>1221</v>
      </c>
    </row>
    <row r="14" ht="14.25" customHeight="1">
      <c r="A14" s="4">
        <v>13.0</v>
      </c>
      <c r="B14" s="5" t="str">
        <f>IFERROR(__xludf.DUMMYFUNCTION("GOOGLETRANSLATE(H14, ""th"", ""en"")
"),"You feel stressed before a competition, what do you do?")</f>
        <v>You feel stressed before a competition, what do you do?</v>
      </c>
      <c r="C14" s="5" t="str">
        <f>IFERROR(__xludf.DUMMYFUNCTION("GOOGLETRANSLATE(I14, ""th"", ""en"")
"),"A) Relax and take it easy; B) Worry and try to practice more; C) Avoid talking about the competition; D) Ask your teammates for advice.")</f>
        <v>A) Relax and take it easy; B) Worry and try to practice more; C) Avoid talking about the competition; D) Ask your teammates for advice.</v>
      </c>
      <c r="D14" s="5" t="str">
        <f>IFERROR(__xludf.DUMMYFUNCTION("GOOGLETRANSLATE(J14, ""th"", ""en"")
"),"A) Relax and take it easy.")</f>
        <v>A) Relax and take it easy.</v>
      </c>
      <c r="E14" s="5" t="str">
        <f>IFERROR(__xludf.DUMMYFUNCTION(" GOOGLETRANSLATE(K14, ""th"", ""en"")"),"Relaxation helps you focus on the competition.")</f>
        <v>Relaxation helps you focus on the competition.</v>
      </c>
      <c r="G14" s="6">
        <v>13.0</v>
      </c>
      <c r="H14" s="7" t="s">
        <v>1222</v>
      </c>
      <c r="I14" s="7" t="s">
        <v>1223</v>
      </c>
      <c r="J14" s="7" t="s">
        <v>1224</v>
      </c>
      <c r="K14" s="7" t="s">
        <v>1225</v>
      </c>
    </row>
    <row r="15" ht="14.25" customHeight="1">
      <c r="A15" s="4">
        <v>14.0</v>
      </c>
      <c r="B15" s="5" t="str">
        <f>IFERROR(__xludf.DUMMYFUNCTION("GOOGLETRANSLATE(H15, ""th"", ""en"")
"),"You feel that there is a problem with coordination in the team, what should you do?")</f>
        <v>You feel that there is a problem with coordination in the team, what should you do?</v>
      </c>
      <c r="C15" s="5" t="str">
        <f>IFERROR(__xludf.DUMMYFUNCTION("GOOGLETRANSLATE(I15, ""th"", ""en"")
"),"A) Talk it out and find ways to improve teamwork; B) Stay calm and keep playing; C) Inform the coach; D) Let the team handle it.")</f>
        <v>A) Talk it out and find ways to improve teamwork; B) Stay calm and keep playing; C) Inform the coach; D) Let the team handle it.</v>
      </c>
      <c r="D15" s="5" t="str">
        <f>IFERROR(__xludf.DUMMYFUNCTION("GOOGLETRANSLATE(J15, ""th"", ""en"")
"),"A) Discuss and find ways to improve collaboration.")</f>
        <v>A) Discuss and find ways to improve collaboration.</v>
      </c>
      <c r="E15" s="5" t="str">
        <f>IFERROR(__xludf.DUMMYFUNCTION(" GOOGLETRANSLATE(K15, ""th"", ""en"")"),"Communication and coordination within the team helps the competition run smoothly.")</f>
        <v>Communication and coordination within the team helps the competition run smoothly.</v>
      </c>
      <c r="G15" s="6">
        <v>14.0</v>
      </c>
      <c r="H15" s="7" t="s">
        <v>1226</v>
      </c>
      <c r="I15" s="7" t="s">
        <v>1227</v>
      </c>
      <c r="J15" s="7" t="s">
        <v>1228</v>
      </c>
      <c r="K15" s="7" t="s">
        <v>1229</v>
      </c>
    </row>
    <row r="16" ht="14.25" customHeight="1">
      <c r="A16" s="4">
        <v>15.0</v>
      </c>
      <c r="B16" s="5" t="str">
        <f>IFERROR(__xludf.DUMMYFUNCTION("GOOGLETRANSLATE(H16, ""th"", ""en"")
"),"Your team is facing a strong team, what will you do?")</f>
        <v>Your team is facing a strong team, what will you do?</v>
      </c>
      <c r="C16" s="5" t="str">
        <f>IFERROR(__xludf.DUMMYFUNCTION("GOOGLETRANSLATE(I16, ""th"", ""en"")
"),"A) Try to maintain the pace and assess the race carefully; B) Accelerate and attempt to overtake; C) Slow down and accept the race; D) Inform the coach.")</f>
        <v>A) Try to maintain the pace and assess the race carefully; B) Accelerate and attempt to overtake; C) Slow down and accept the race; D) Inform the coach.</v>
      </c>
      <c r="D16" s="5" t="str">
        <f>IFERROR(__xludf.DUMMYFUNCTION("GOOGLETRANSLATE(J16, ""th"", ""en"")
"),"A) Try to maintain a rhythm and assess the race carefully.")</f>
        <v>A) Try to maintain a rhythm and assess the race carefully.</v>
      </c>
      <c r="E16" s="5" t="str">
        <f>IFERROR(__xludf.DUMMYFUNCTION(" GOOGLETRANSLATE(K16, ""th"", ""en"")"),"Maintaining a rhythm while competing against strong teams gives you a better chance of winning.")</f>
        <v>Maintaining a rhythm while competing against strong teams gives you a better chance of winning.</v>
      </c>
      <c r="G16" s="6">
        <v>15.0</v>
      </c>
      <c r="H16" s="7" t="s">
        <v>1230</v>
      </c>
      <c r="I16" s="7" t="s">
        <v>1231</v>
      </c>
      <c r="J16" s="7" t="s">
        <v>1232</v>
      </c>
      <c r="K16" s="7" t="s">
        <v>1233</v>
      </c>
    </row>
    <row r="17" ht="14.25" customHeight="1">
      <c r="A17" s="4">
        <v>16.0</v>
      </c>
      <c r="B17" s="5" t="str">
        <f>IFERROR(__xludf.DUMMYFUNCTION("GOOGLETRANSLATE(H17, ""th"", ""en"")
"),"You feel unwell during the competition, what should you do?")</f>
        <v>You feel unwell during the competition, what should you do?</v>
      </c>
      <c r="C17" s="5" t="str">
        <f>IFERROR(__xludf.DUMMYFUNCTION("GOOGLETRANSLATE(I17, ""th"", ""en"")
"),"A) Notify the coach and ask for a break; B) Continue to compete until the match is over; C) Stop the match immediately; D) Try to continue the match without saying anything.")</f>
        <v>A) Notify the coach and ask for a break; B) Continue to compete until the match is over; C) Stop the match immediately; D) Try to continue the match without saying anything.</v>
      </c>
      <c r="D17" s="5" t="str">
        <f>IFERROR(__xludf.DUMMYFUNCTION("GOOGLETRANSLATE(J17, ""th"", ""en"")
"),"A) Inform the trainer and request a break.")</f>
        <v>A) Inform the trainer and request a break.</v>
      </c>
      <c r="E17" s="5" t="str">
        <f>IFERROR(__xludf.DUMMYFUNCTION(" GOOGLETRANSLATE(K17, ""th"", ""en"")"),"Notifying the trainer allows for proper supervision.")</f>
        <v>Notifying the trainer allows for proper supervision.</v>
      </c>
      <c r="G17" s="6">
        <v>16.0</v>
      </c>
      <c r="H17" s="7" t="s">
        <v>1234</v>
      </c>
      <c r="I17" s="7" t="s">
        <v>1235</v>
      </c>
      <c r="J17" s="7" t="s">
        <v>1236</v>
      </c>
      <c r="K17" s="7" t="s">
        <v>1237</v>
      </c>
    </row>
    <row r="18" ht="14.25" customHeight="1">
      <c r="A18" s="4">
        <v>17.0</v>
      </c>
      <c r="B18" s="5" t="str">
        <f>IFERROR(__xludf.DUMMYFUNCTION("GOOGLETRANSLATE(H18, ""th"", ""en"")
"),"Your team needs your support during critical times. What can you do?")</f>
        <v>Your team needs your support during critical times. What can you do?</v>
      </c>
      <c r="C18" s="5" t="str">
        <f>IFERROR(__xludf.DUMMYFUNCTION("GOOGLETRANSLATE(I18, ""th"", ""en"")
"),"A) Increase your commitment and give your full support to the team; B) Reduce your effort and let the team handle it; C) Avoid the situation; D) Turn to your coach for help.")</f>
        <v>A) Increase your commitment and give your full support to the team; B) Reduce your effort and let the team handle it; C) Avoid the situation; D) Turn to your coach for help.</v>
      </c>
      <c r="D18" s="5" t="str">
        <f>IFERROR(__xludf.DUMMYFUNCTION("GOOGLETRANSLATE(J18, ""th"", ""en"")
"),"A) Increase commitment and fully support the team.")</f>
        <v>A) Increase commitment and fully support the team.</v>
      </c>
      <c r="E18" s="5" t="str">
        <f>IFERROR(__xludf.DUMMYFUNCTION(" GOOGLETRANSLATE(K18, ""th"", ""en"")"),"Providing support during crucial moments gives the team a boost.")</f>
        <v>Providing support during crucial moments gives the team a boost.</v>
      </c>
      <c r="G18" s="6">
        <v>17.0</v>
      </c>
      <c r="H18" s="7" t="s">
        <v>1238</v>
      </c>
      <c r="I18" s="7" t="s">
        <v>1239</v>
      </c>
      <c r="J18" s="7" t="s">
        <v>1240</v>
      </c>
      <c r="K18" s="7" t="s">
        <v>1241</v>
      </c>
    </row>
    <row r="19" ht="14.25" customHeight="1">
      <c r="A19" s="4">
        <v>18.0</v>
      </c>
      <c r="B19" s="5" t="str">
        <f>IFERROR(__xludf.DUMMYFUNCTION("GOOGLETRANSLATE(H19, ""th"", ""en"")
"),"During a boat race, you see that your opponent has superior technique. What do you do?")</f>
        <v>During a boat race, you see that your opponent has superior technique. What do you do?</v>
      </c>
      <c r="C19" s="5" t="str">
        <f>IFERROR(__xludf.DUMMYFUNCTION("GOOGLETRANSLATE(I19, ""th"", ""en"")
"),"A) Adjust your strategy and try to find a way to win; B) Let your opponent win; C) Inform the coach; D) Stop the match.")</f>
        <v>A) Adjust your strategy and try to find a way to win; B) Let your opponent win; C) Inform the coach; D) Stop the match.</v>
      </c>
      <c r="D19" s="5" t="str">
        <f>IFERROR(__xludf.DUMMYFUNCTION("GOOGLETRANSLATE(J19, ""th"", ""en"")
"),"A) Adjust your strategy and try to find a way to win.")</f>
        <v>A) Adjust your strategy and try to find a way to win.</v>
      </c>
      <c r="E19" s="5" t="str">
        <f>IFERROR(__xludf.DUMMYFUNCTION(" GOOGLETRANSLATE(K19, ""th"", ""en"")"),"#VALUE!")</f>
        <v>#VALUE!</v>
      </c>
      <c r="G19" s="6">
        <v>18.0</v>
      </c>
      <c r="H19" s="7" t="s">
        <v>1242</v>
      </c>
      <c r="I19" s="7" t="s">
        <v>1243</v>
      </c>
      <c r="J19" s="7" t="s">
        <v>1244</v>
      </c>
      <c r="K19" s="7" t="s">
        <v>1245</v>
      </c>
    </row>
    <row r="20" ht="14.25" customHeight="1">
      <c r="A20" s="4">
        <v>19.0</v>
      </c>
      <c r="B20" s="5" t="str">
        <f>IFERROR(__xludf.DUMMYFUNCTION("GOOGLETRANSLATE(H20, ""th"", ""en"")
"),"You see your teammates are worried about the competition, what do you do?")</f>
        <v>You see your teammates are worried about the competition, what do you do?</v>
      </c>
      <c r="C20" s="5" t="str">
        <f>IFERROR(__xludf.DUMMYFUNCTION("GOOGLETRANSLATE(I20, ""th"", ""en"")
"),"A) Encourage and motivate your teammate; B) Let him deal with his own worries; C) Avoid talking about the competition; D) Tell him to stop thinking about the competition.")</f>
        <v>A) Encourage and motivate your teammate; B) Let him deal with his own worries; C) Avoid talking about the competition; D) Tell him to stop thinking about the competition.</v>
      </c>
      <c r="D20" s="5" t="str">
        <f>IFERROR(__xludf.DUMMYFUNCTION("GOOGLETRANSLATE(J20, ""th"", ""en"")
"),"A) Motivate and encourage teammates.")</f>
        <v>A) Motivate and encourage teammates.</v>
      </c>
      <c r="E20" s="5" t="str">
        <f>IFERROR(__xludf.DUMMYFUNCTION(" GOOGLETRANSLATE(K20, ""th"", ""en"")"),"Encouragement reduces anxiety and builds confidence.")</f>
        <v>Encouragement reduces anxiety and builds confidence.</v>
      </c>
      <c r="G20" s="6">
        <v>19.0</v>
      </c>
      <c r="H20" s="7" t="s">
        <v>1246</v>
      </c>
      <c r="I20" s="7" t="s">
        <v>1247</v>
      </c>
      <c r="J20" s="7" t="s">
        <v>1248</v>
      </c>
      <c r="K20" s="7" t="s">
        <v>1249</v>
      </c>
    </row>
    <row r="21" ht="14.25" customHeight="1">
      <c r="A21" s="4">
        <v>20.0</v>
      </c>
      <c r="B21" s="5" t="str">
        <f>IFERROR(__xludf.DUMMYFUNCTION("GOOGLETRANSLATE(H21, ""th"", ""en"")
"),"Your rowing is slower than intended. What should you do?")</f>
        <v>Your rowing is slower than intended. What should you do?</v>
      </c>
      <c r="C21" s="5" t="str">
        <f>IFERROR(__xludf.DUMMYFUNCTION("GOOGLETRANSLATE(I21, ""th"", ""en"")
"),"A) Adjust your paddle position and try to accelerate; B) Accept and paddle at a normal pace; C) Stop and ask the instructor; D) Decrease your speed to maintain stability.")</f>
        <v>A) Adjust your paddle position and try to accelerate; B) Accept and paddle at a normal pace; C) Stop and ask the instructor; D) Decrease your speed to maintain stability.</v>
      </c>
      <c r="D21" s="5" t="str">
        <f>IFERROR(__xludf.DUMMYFUNCTION("GOOGLETRANSLATE(J21, ""th"", ""en"")
"),"A) Adjust your rowing position and try to accelerate.")</f>
        <v>A) Adjust your rowing position and try to accelerate.</v>
      </c>
      <c r="E21" s="5" t="str">
        <f>IFERROR(__xludf.DUMMYFUNCTION(" GOOGLETRANSLATE(K21, ""th"", ""en"")"),"Adjusting the paddle position allows for increased speed during racing.")</f>
        <v>Adjusting the paddle position allows for increased speed during racing.</v>
      </c>
      <c r="G21" s="6">
        <v>20.0</v>
      </c>
      <c r="H21" s="7" t="s">
        <v>1250</v>
      </c>
      <c r="I21" s="7" t="s">
        <v>1251</v>
      </c>
      <c r="J21" s="7" t="s">
        <v>1252</v>
      </c>
      <c r="K21" s="7" t="s">
        <v>1253</v>
      </c>
    </row>
    <row r="22" ht="14.25" customHeight="1">
      <c r="A22" s="4">
        <v>21.0</v>
      </c>
      <c r="B22" s="5" t="str">
        <f>IFERROR(__xludf.DUMMYFUNCTION("GOOGLETRANSLATE(H22, ""th"", ""en"")
"),"You notice that your teammates are not following the agreed upon strategy. What do you do?")</f>
        <v>You notice that your teammates are not following the agreed upon strategy. What do you do?</v>
      </c>
      <c r="C22" s="5" t="str">
        <f>IFERROR(__xludf.DUMMYFUNCTION("GOOGLETRANSLATE(I22, ""th"", ""en"")
"),"A) Talk to him and try to find ways to improve the strategy; B) Reprimand him; C) Let him do what he wants; D) Stop the practice.")</f>
        <v>A) Talk to him and try to find ways to improve the strategy; B) Reprimand him; C) Let him do what he wants; D) Stop the practice.</v>
      </c>
      <c r="D22" s="5" t="str">
        <f>IFERROR(__xludf.DUMMYFUNCTION("GOOGLETRANSLATE(J22, ""th"", ""en"")
"),"A) Discuss and try to find ways to improve the strategy.")</f>
        <v>A) Discuss and try to find ways to improve the strategy.</v>
      </c>
      <c r="E22" s="5" t="str">
        <f>IFERROR(__xludf.DUMMYFUNCTION(" GOOGLETRANSLATE(K22, ""th"", ""en"")"),"Discussing and refining strategies allows teams to work better together.")</f>
        <v>Discussing and refining strategies allows teams to work better together.</v>
      </c>
      <c r="G22" s="6">
        <v>21.0</v>
      </c>
      <c r="H22" s="7" t="s">
        <v>1254</v>
      </c>
      <c r="I22" s="7" t="s">
        <v>1255</v>
      </c>
      <c r="J22" s="7" t="s">
        <v>1256</v>
      </c>
      <c r="K22" s="7" t="s">
        <v>1257</v>
      </c>
    </row>
    <row r="23" ht="14.25" customHeight="1">
      <c r="A23" s="4">
        <v>22.0</v>
      </c>
      <c r="B23" s="5" t="str">
        <f>IFERROR(__xludf.DUMMYFUNCTION("GOOGLETRANSLATE(H23, ""th"", ""en"")
"),"The competition is going fast and you feel tired. What do you do?")</f>
        <v>The competition is going fast and you feel tired. What do you do?</v>
      </c>
      <c r="C23" s="5" t="str">
        <f>IFERROR(__xludf.DUMMYFUNCTION("GOOGLETRANSLATE(I23, ""th"", ""en"")
"),"A) Take a deep breath and try to control your breathing; B) Stop paddling; C) Adjust your paddling pace to conserve energy; D) Try to increase your speed.")</f>
        <v>A) Take a deep breath and try to control your breathing; B) Stop paddling; C) Adjust your paddling pace to conserve energy; D) Try to increase your speed.</v>
      </c>
      <c r="D23" s="5" t="str">
        <f>IFERROR(__xludf.DUMMYFUNCTION("GOOGLETRANSLATE(J23, ""th"", ""en"")
"),"C) Adjust your paddling pace to save energy.")</f>
        <v>C) Adjust your paddling pace to save energy.</v>
      </c>
      <c r="E23" s="5" t="str">
        <f>IFERROR(__xludf.DUMMYFUNCTION(" GOOGLETRANSLATE(K23, ""th"", ""en"")"),"Adjusting the rhythm allows for long-term energy retention.")</f>
        <v>Adjusting the rhythm allows for long-term energy retention.</v>
      </c>
      <c r="G23" s="6">
        <v>22.0</v>
      </c>
      <c r="H23" s="7" t="s">
        <v>1258</v>
      </c>
      <c r="I23" s="7" t="s">
        <v>1259</v>
      </c>
      <c r="J23" s="7" t="s">
        <v>1260</v>
      </c>
      <c r="K23" s="7" t="s">
        <v>1261</v>
      </c>
    </row>
    <row r="24" ht="14.25" customHeight="1">
      <c r="A24" s="4">
        <v>23.0</v>
      </c>
      <c r="B24" s="5" t="str">
        <f>IFERROR(__xludf.DUMMYFUNCTION("GOOGLETRANSLATE(H24, ""th"", ""en"")
"),"Your team needs a boost during critical times. What can you do?")</f>
        <v>Your team needs a boost during critical times. What can you do?</v>
      </c>
      <c r="C24" s="5" t="str">
        <f>IFERROR(__xludf.DUMMYFUNCTION("GOOGLETRANSLATE(I24, ""th"", ""en"")
"),"A) Motivate the team with encouraging words; B) Let the team do the work itself; C) Reduce effort and do nothing to motivate; D) Let the team be quiet.")</f>
        <v>A) Motivate the team with encouraging words; B) Let the team do the work itself; C) Reduce effort and do nothing to motivate; D) Let the team be quiet.</v>
      </c>
      <c r="D24" s="5" t="str">
        <f>IFERROR(__xludf.DUMMYFUNCTION("GOOGLETRANSLATE(J24, ""th"", ""en"")
"),"A) Motivate the team with encouraging words.")</f>
        <v>A) Motivate the team with encouraging words.</v>
      </c>
      <c r="E24" s="5" t="str">
        <f>IFERROR(__xludf.DUMMYFUNCTION(" GOOGLETRANSLATE(K24, ""th"", ""en"")"),"Encouragement boosts team morale.")</f>
        <v>Encouragement boosts team morale.</v>
      </c>
      <c r="G24" s="6">
        <v>23.0</v>
      </c>
      <c r="H24" s="7" t="s">
        <v>1262</v>
      </c>
      <c r="I24" s="7" t="s">
        <v>1263</v>
      </c>
      <c r="J24" s="7" t="s">
        <v>1264</v>
      </c>
      <c r="K24" s="7" t="s">
        <v>1265</v>
      </c>
    </row>
    <row r="25" ht="14.25" customHeight="1">
      <c r="A25" s="4">
        <v>24.0</v>
      </c>
      <c r="B25" s="5" t="str">
        <f>IFERROR(__xludf.DUMMYFUNCTION("GOOGLETRANSLATE(H25, ""th"", ""en"")
"),"You hear criticism of your rowing from other teams. What do you do?")</f>
        <v>You hear criticism of your rowing from other teams. What do you do?</v>
      </c>
      <c r="C25" s="5" t="str">
        <f>IFERROR(__xludf.DUMMYFUNCTION("GOOGLETRANSLATE(I25, ""th"", ""en"")
"),"A) Disinterested and focused on rowing; B) Responsible and argue back; C) Stop rowing; D) Complain to teammates.")</f>
        <v>A) Disinterested and focused on rowing; B) Responsible and argue back; C) Stop rowing; D) Complain to teammates.</v>
      </c>
      <c r="D25" s="5" t="str">
        <f>IFERROR(__xludf.DUMMYFUNCTION("GOOGLETRANSLATE(J25, ""th"", ""en"")
"),"A) Not interested and focused on rowing.")</f>
        <v>A) Not interested and focused on rowing.</v>
      </c>
      <c r="E25" s="5" t="str">
        <f>IFERROR(__xludf.DUMMYFUNCTION(" GOOGLETRANSLATE(K25, ""th"", ""en"")"),"Ignoring the criticism allows you to focus on the game.")</f>
        <v>Ignoring the criticism allows you to focus on the game.</v>
      </c>
      <c r="G25" s="6">
        <v>24.0</v>
      </c>
      <c r="H25" s="7" t="s">
        <v>1266</v>
      </c>
      <c r="I25" s="7" t="s">
        <v>1267</v>
      </c>
      <c r="J25" s="7" t="s">
        <v>1268</v>
      </c>
      <c r="K25" s="7" t="s">
        <v>1269</v>
      </c>
    </row>
    <row r="26" ht="14.25" customHeight="1">
      <c r="A26" s="4">
        <v>25.0</v>
      </c>
      <c r="B26" s="5" t="str">
        <f>IFERROR(__xludf.DUMMYFUNCTION("GOOGLETRANSLATE(H26, ""th"", ""en"")
"),"During a boat race, you discover that your boat is experiencing technical problems. What do you do?")</f>
        <v>During a boat race, you discover that your boat is experiencing technical problems. What do you do?</v>
      </c>
      <c r="C26" s="5" t="str">
        <f>IFERROR(__xludf.DUMMYFUNCTION("GOOGLETRANSLATE(I26, ""th"", ""en"")
"),"A) Try to correct the situation and continue the game; B) Stop and ask the coach for help; C) Stop the game immediately; D) Complain to your teammates.")</f>
        <v>A) Try to correct the situation and continue the game; B) Stop and ask the coach for help; C) Stop the game immediately; D) Complain to your teammates.</v>
      </c>
      <c r="D26" s="5" t="str">
        <f>IFERROR(__xludf.DUMMYFUNCTION("GOOGLETRANSLATE(J26, ""th"", ""en"")
"),"B) Stop and ask for help from the trainer.")</f>
        <v>B) Stop and ask for help from the trainer.</v>
      </c>
      <c r="E26" s="5" t="str">
        <f>IFERROR(__xludf.DUMMYFUNCTION(" GOOGLETRANSLATE(K26, ""th"", ""en"")"),"Asking for help from a trainer can help resolve issues faster.")</f>
        <v>Asking for help from a trainer can help resolve issues faster.</v>
      </c>
      <c r="G26" s="6">
        <v>25.0</v>
      </c>
      <c r="H26" s="7" t="s">
        <v>1270</v>
      </c>
      <c r="I26" s="7" t="s">
        <v>1271</v>
      </c>
      <c r="J26" s="7" t="s">
        <v>1272</v>
      </c>
      <c r="K26" s="7" t="s">
        <v>1273</v>
      </c>
    </row>
    <row r="27" ht="14.25" customHeight="1">
      <c r="A27" s="4">
        <v>26.0</v>
      </c>
      <c r="B27" s="5" t="str">
        <f>IFERROR(__xludf.DUMMYFUNCTION("GOOGLETRANSLATE(H27, ""th"", ""en"")
"),"Your teammate is rowing the wrong way. What should you do?")</f>
        <v>Your teammate is rowing the wrong way. What should you do?</v>
      </c>
      <c r="C27" s="5" t="str">
        <f>IFERROR(__xludf.DUMMYFUNCTION("GOOGLETRANSLATE(I27, ""th"", ""en"")
"),"A) Warn him to correct his direction immediately; B) Wait for him to correct himself; C) Do nothing and continue racing; D) Stop paddling.")</f>
        <v>A) Warn him to correct his direction immediately; B) Wait for him to correct himself; C) Do nothing and continue racing; D) Stop paddling.</v>
      </c>
      <c r="D27" s="5" t="str">
        <f>IFERROR(__xludf.DUMMYFUNCTION("GOOGLETRANSLATE(J27, ""th"", ""en"")
"),"A) Warn him to change direction immediately.")</f>
        <v>A) Warn him to change direction immediately.</v>
      </c>
      <c r="E27" s="5" t="str">
        <f>IFERROR(__xludf.DUMMYFUNCTION(" GOOGLETRANSLATE(K27, ""th"", ""en"")"),"Reminding teammates helps keep the flow of the match.")</f>
        <v>Reminding teammates helps keep the flow of the match.</v>
      </c>
      <c r="G27" s="6">
        <v>26.0</v>
      </c>
      <c r="H27" s="7" t="s">
        <v>1274</v>
      </c>
      <c r="I27" s="7" t="s">
        <v>1275</v>
      </c>
      <c r="J27" s="7" t="s">
        <v>1276</v>
      </c>
      <c r="K27" s="7" t="s">
        <v>1277</v>
      </c>
    </row>
    <row r="28" ht="14.25" customHeight="1">
      <c r="A28" s="4">
        <v>27.0</v>
      </c>
      <c r="B28" s="5" t="str">
        <f>IFERROR(__xludf.DUMMYFUNCTION("GOOGLETRANSLATE(H28, ""th"", ""en"")
"),"Your team wants to change strategy mid-match. What do you do?")</f>
        <v>Your team wants to change strategy mid-match. What do you do?</v>
      </c>
      <c r="C28" s="5" t="str">
        <f>IFERROR(__xludf.DUMMYFUNCTION("GOOGLETRANSLATE(I28, ""th"", ""en"")
"),"A) Adapt and immediately implement the new strategy; B) Stick to the original strategy and do not change it; C) Stop and ask the coach for advice; D) Let the team do it themselves.")</f>
        <v>A) Adapt and immediately implement the new strategy; B) Stick to the original strategy and do not change it; C) Stop and ask the coach for advice; D) Let the team do it themselves.</v>
      </c>
      <c r="D28" s="5" t="str">
        <f>IFERROR(__xludf.DUMMYFUNCTION("GOOGLETRANSLATE(J28, ""th"", ""en"")
"),"A) Adapt and implement new strategies immediately.")</f>
        <v>A) Adapt and implement new strategies immediately.</v>
      </c>
      <c r="E28" s="5" t="str">
        <f>IFERROR(__xludf.DUMMYFUNCTION(" GOOGLETRANSLATE(K28, ""th"", ""en"")"),"Adapting to new strategies helps teams compete better.")</f>
        <v>Adapting to new strategies helps teams compete better.</v>
      </c>
      <c r="G28" s="6">
        <v>27.0</v>
      </c>
      <c r="H28" s="7" t="s">
        <v>1278</v>
      </c>
      <c r="I28" s="7" t="s">
        <v>1279</v>
      </c>
      <c r="J28" s="7" t="s">
        <v>1280</v>
      </c>
      <c r="K28" s="7" t="s">
        <v>1281</v>
      </c>
    </row>
    <row r="29" ht="14.25" customHeight="1">
      <c r="A29" s="4">
        <v>28.0</v>
      </c>
      <c r="B29" s="5" t="str">
        <f>IFERROR(__xludf.DUMMYFUNCTION("GOOGLETRANSLATE(H29, ""th"", ""en"")
"),"You have a conflict with a teammate during a match. What do you do?")</f>
        <v>You have a conflict with a teammate during a match. What do you do?</v>
      </c>
      <c r="C29" s="5" t="str">
        <f>IFERROR(__xludf.DUMMYFUNCTION("GOOGLETRANSLATE(I29, ""th"", ""en"")
"),"A) Talk to him to find a solution; B) Let the conflict happen; C) Blame him openly; D) Avoid talking.")</f>
        <v>A) Talk to him to find a solution; B) Let the conflict happen; C) Blame him openly; D) Avoid talking.</v>
      </c>
      <c r="D29" s="5" t="str">
        <f>IFERROR(__xludf.DUMMYFUNCTION("GOOGLETRANSLATE(J29, ""th"", ""en"")
"),"A) Talk to him to find a solution.")</f>
        <v>A) Talk to him to find a solution.</v>
      </c>
      <c r="E29" s="5" t="str">
        <f>IFERROR(__xludf.DUMMYFUNCTION(" GOOGLETRANSLATE(K29, ""th"", ""en"")"),"Talking and finding solutions helps build understanding within the team.")</f>
        <v>Talking and finding solutions helps build understanding within the team.</v>
      </c>
      <c r="G29" s="6">
        <v>28.0</v>
      </c>
      <c r="H29" s="7" t="s">
        <v>1282</v>
      </c>
      <c r="I29" s="7" t="s">
        <v>1283</v>
      </c>
      <c r="J29" s="7" t="s">
        <v>1284</v>
      </c>
      <c r="K29" s="7" t="s">
        <v>1285</v>
      </c>
    </row>
    <row r="30" ht="14.25" customHeight="1">
      <c r="A30" s="4">
        <v>29.0</v>
      </c>
      <c r="B30" s="5" t="str">
        <f>IFERROR(__xludf.DUMMYFUNCTION("GOOGLETRANSLATE(H30, ""th"", ""en"")
"),"You feel discouraged after a bad match, what do you do?")</f>
        <v>You feel discouraged after a bad match, what do you do?</v>
      </c>
      <c r="C30" s="5" t="str">
        <f>IFERROR(__xludf.DUMMYFUNCTION("GOOGLETRANSLATE(I30, ""th"", ""en"")
"),"A) Review the results and try to improve; B) Let the bad results affect you; C) Stop practicing; D) Blame the other team.")</f>
        <v>A) Review the results and try to improve; B) Let the bad results affect you; C) Stop practicing; D) Blame the other team.</v>
      </c>
      <c r="D30" s="5" t="str">
        <f>IFERROR(__xludf.DUMMYFUNCTION("GOOGLETRANSLATE(J30, ""th"", ""en"")
"),"A) Review the results of the competition and try to improve.")</f>
        <v>A) Review the results of the competition and try to improve.</v>
      </c>
      <c r="E30" s="5" t="str">
        <f>IFERROR(__xludf.DUMMYFUNCTION(" GOOGLETRANSLATE(K30, ""th"", ""en"")"),"Reviewing the results and making improvements helps improve performance in the next competition.")</f>
        <v>Reviewing the results and making improvements helps improve performance in the next competition.</v>
      </c>
      <c r="G30" s="6">
        <v>29.0</v>
      </c>
      <c r="H30" s="7" t="s">
        <v>1286</v>
      </c>
      <c r="I30" s="7" t="s">
        <v>1287</v>
      </c>
      <c r="J30" s="7" t="s">
        <v>1288</v>
      </c>
      <c r="K30" s="7" t="s">
        <v>1289</v>
      </c>
    </row>
    <row r="31" ht="14.25" customHeight="1">
      <c r="A31" s="4">
        <v>30.0</v>
      </c>
      <c r="B31" s="5" t="str">
        <f>IFERROR(__xludf.DUMMYFUNCTION("GOOGLETRANSLATE(H31, ""th"", ""en"")
"),"Your team is under pressure to win this time. What will you do?")</f>
        <v>Your team is under pressure to win this time. What will you do?</v>
      </c>
      <c r="C31" s="5" t="str">
        <f>IFERROR(__xludf.DUMMYFUNCTION("GOOGLETRANSLATE(I31, ""th"", ""en"")
"),"A) Stay calm and focus on rowing; B) Get nervous and try to push too hard; C) Let the team handle the pressure; D) Avoid competition.")</f>
        <v>A) Stay calm and focus on rowing; B) Get nervous and try to push too hard; C) Let the team handle the pressure; D) Avoid competition.</v>
      </c>
      <c r="D31" s="5" t="str">
        <f>IFERROR(__xludf.DUMMYFUNCTION("GOOGLETRANSLATE(J31, ""th"", ""en"")
"),"A) Keep calm and focus on rowing.")</f>
        <v>A) Keep calm and focus on rowing.</v>
      </c>
      <c r="E31" s="5" t="str">
        <f>IFERROR(__xludf.DUMMYFUNCTION(" GOOGLETRANSLATE(K31, ""th"", ""en"")"),"Maintaining composure allows you to perform at your best under pressure.")</f>
        <v>Maintaining composure allows you to perform at your best under pressure.</v>
      </c>
      <c r="G31" s="6">
        <v>30.0</v>
      </c>
      <c r="H31" s="7" t="s">
        <v>1290</v>
      </c>
      <c r="I31" s="7" t="s">
        <v>1291</v>
      </c>
      <c r="J31" s="7" t="s">
        <v>1292</v>
      </c>
      <c r="K31" s="7" t="s">
        <v>1293</v>
      </c>
    </row>
    <row r="32" ht="14.25" customHeight="1">
      <c r="A32" s="4">
        <v>31.0</v>
      </c>
      <c r="B32" s="5" t="str">
        <f>IFERROR(__xludf.DUMMYFUNCTION("GOOGLETRANSLATE(H32, ""th"", ""en"")
"),"During a boat race, your team starts to fall out of position. What do you do?")</f>
        <v>During a boat race, your team starts to fall out of position. What do you do?</v>
      </c>
      <c r="C32" s="5" t="str">
        <f>IFERROR(__xludf.DUMMYFUNCTION("GOOGLETRANSLATE(I32, ""th"", ""en"")
"),"A) Try to speed up and catch up with the other team; B) Slow down and wait for a change in the other team; C) Stop the race immediately; D) Blame the team for their loss.")</f>
        <v>A) Try to speed up and catch up with the other team; B) Slow down and wait for a change in the other team; C) Stop the race immediately; D) Blame the team for their loss.</v>
      </c>
      <c r="D32" s="5" t="str">
        <f>IFERROR(__xludf.DUMMYFUNCTION("GOOGLETRANSLATE(J32, ""th"", ""en"")
"),"A) Try to speed up and catch up with the others.")</f>
        <v>A) Try to speed up and catch up with the others.</v>
      </c>
      <c r="E32" s="5" t="str">
        <f>IFERROR(__xludf.DUMMYFUNCTION(" GOOGLETRANSLATE(K32, ""th"", ""en"")"),"Acceleration increases your chances of catching up with other teams.")</f>
        <v>Acceleration increases your chances of catching up with other teams.</v>
      </c>
      <c r="G32" s="6">
        <v>31.0</v>
      </c>
      <c r="H32" s="7" t="s">
        <v>1294</v>
      </c>
      <c r="I32" s="7" t="s">
        <v>1295</v>
      </c>
      <c r="J32" s="7" t="s">
        <v>1296</v>
      </c>
      <c r="K32" s="7" t="s">
        <v>1297</v>
      </c>
    </row>
    <row r="33" ht="14.25" customHeight="1">
      <c r="A33" s="4">
        <v>32.0</v>
      </c>
      <c r="B33" s="5" t="str">
        <f>IFERROR(__xludf.DUMMYFUNCTION("GOOGLETRANSLATE(H33, ""th"", ""en"")
"),"You feel that your teammates are acting unsure during the match, what do you do?")</f>
        <v>You feel that your teammates are acting unsure during the match, what do you do?</v>
      </c>
      <c r="C33" s="5" t="str">
        <f>IFERROR(__xludf.DUMMYFUNCTION("GOOGLETRANSLATE(I33, ""th"", ""en"")
"),"A) Talk and encourage him to boost his confidence; B) Let him think as he pleases; C) Criticize him loudly; D) Avoid talking.")</f>
        <v>A) Talk and encourage him to boost his confidence; B) Let him think as he pleases; C) Criticize him loudly; D) Avoid talking.</v>
      </c>
      <c r="D33" s="5" t="str">
        <f>IFERROR(__xludf.DUMMYFUNCTION("GOOGLETRANSLATE(J33, ""th"", ""en"")
"),"A) Talk and give encouragement to increase confidence.")</f>
        <v>A) Talk and give encouragement to increase confidence.</v>
      </c>
      <c r="E33" s="5" t="str">
        <f>IFERROR(__xludf.DUMMYFUNCTION(" GOOGLETRANSLATE(K33, ""th"", ""en"")"),"Encouragement helps increase confidence and performance in competition.")</f>
        <v>Encouragement helps increase confidence and performance in competition.</v>
      </c>
      <c r="G33" s="6">
        <v>32.0</v>
      </c>
      <c r="H33" s="7" t="s">
        <v>1298</v>
      </c>
      <c r="I33" s="7" t="s">
        <v>1299</v>
      </c>
      <c r="J33" s="7" t="s">
        <v>1300</v>
      </c>
      <c r="K33" s="7" t="s">
        <v>1301</v>
      </c>
    </row>
    <row r="34" ht="14.25" customHeight="1">
      <c r="A34" s="4">
        <v>33.0</v>
      </c>
      <c r="B34" s="5" t="str">
        <f>IFERROR(__xludf.DUMMYFUNCTION("GOOGLETRANSLATE(H34, ""th"", ""en"")
"),"You have little time to prepare before the competition. What should you do?")</f>
        <v>You have little time to prepare before the competition. What should you do?</v>
      </c>
      <c r="C34" s="5" t="str">
        <f>IFERROR(__xludf.DUMMYFUNCTION("GOOGLETRANSLATE(I34, ""th"", ""en"")
"),"A) Take the time to prepare as best you can; B) Skip training and competition altogether; C) Worry and think you might lose; D) Avoid competition.")</f>
        <v>A) Take the time to prepare as best you can; B) Skip training and competition altogether; C) Worry and think you might lose; D) Avoid competition.</v>
      </c>
      <c r="D34" s="5" t="str">
        <f>IFERROR(__xludf.DUMMYFUNCTION("GOOGLETRANSLATE(J34, ""th"", ""en"")
"),"A) Take the time to prepare as best you can.")</f>
        <v>A) Take the time to prepare as best you can.</v>
      </c>
      <c r="E34" s="5" t="str">
        <f>IFERROR(__xludf.DUMMYFUNCTION(" GOOGLETRANSLATE(K34, ""th"", ""en"")"),"Preparing in advance helps you be ready for the competition.")</f>
        <v>Preparing in advance helps you be ready for the competition.</v>
      </c>
      <c r="G34" s="6">
        <v>33.0</v>
      </c>
      <c r="H34" s="7" t="s">
        <v>1302</v>
      </c>
      <c r="I34" s="7" t="s">
        <v>1303</v>
      </c>
      <c r="J34" s="7" t="s">
        <v>1304</v>
      </c>
      <c r="K34" s="7" t="s">
        <v>1305</v>
      </c>
    </row>
    <row r="35" ht="14.25" customHeight="1">
      <c r="A35" s="4">
        <v>34.0</v>
      </c>
      <c r="B35" s="5" t="str">
        <f>IFERROR(__xludf.DUMMYFUNCTION("GOOGLETRANSLATE(H35, ""th"", ""en"")
"),"You notice that your opponent is using poor technique during the match. What should you do?")</f>
        <v>You notice that your opponent is using poor technique during the match. What should you do?</v>
      </c>
      <c r="C35" s="5" t="str">
        <f>IFERROR(__xludf.DUMMYFUNCTION("GOOGLETRANSLATE(I35, ""th"", ""en"")
"),"A) Focus on your own team and ignore your opponent; B) Try to use new techniques to nullify your opponent; C) Try to disrupt your opponent; D) Stop the competition.")</f>
        <v>A) Focus on your own team and ignore your opponent; B) Try to use new techniques to nullify your opponent; C) Try to disrupt your opponent; D) Stop the competition.</v>
      </c>
      <c r="D35" s="5" t="str">
        <f>IFERROR(__xludf.DUMMYFUNCTION("GOOGLETRANSLATE(J35, ""th"", ""en"")
"),"A) Focus on your own team and ignore your opponents.")</f>
        <v>A) Focus on your own team and ignore your opponents.</v>
      </c>
      <c r="E35" s="5" t="str">
        <f>IFERROR(__xludf.DUMMYFUNCTION(" GOOGLETRANSLATE(K35, ""th"", ""en"")"),"Focusing on your own team helps you perform better.")</f>
        <v>Focusing on your own team helps you perform better.</v>
      </c>
      <c r="G35" s="6">
        <v>34.0</v>
      </c>
      <c r="H35" s="7" t="s">
        <v>1306</v>
      </c>
      <c r="I35" s="7" t="s">
        <v>1307</v>
      </c>
      <c r="J35" s="7" t="s">
        <v>1308</v>
      </c>
      <c r="K35" s="7" t="s">
        <v>1309</v>
      </c>
    </row>
    <row r="36" ht="14.25" customHeight="1">
      <c r="A36" s="4">
        <v>35.0</v>
      </c>
      <c r="B36" s="5" t="str">
        <f>IFERROR(__xludf.DUMMYFUNCTION("GOOGLETRANSLATE(H36, ""th"", ""en"")
"),"When the competition is tough and you feel discouraged, what do you do?")</f>
        <v>When the competition is tough and you feel discouraged, what do you do?</v>
      </c>
      <c r="C36" s="5" t="str">
        <f>IFERROR(__xludf.DUMMYFUNCTION("GOOGLETRANSLATE(I36, ""th"", ""en"")
"),"A) Find a new goal and move forward; B) Give up and quit the competition; C) Let your teammates do the work for you; D) Avoid the competition.")</f>
        <v>A) Find a new goal and move forward; B) Give up and quit the competition; C) Let your teammates do the work for you; D) Avoid the competition.</v>
      </c>
      <c r="D36" s="5" t="str">
        <f>IFERROR(__xludf.DUMMYFUNCTION("GOOGLETRANSLATE(J36, ""th"", ""en"")
"),"A) Find a new goal and move forward.")</f>
        <v>A) Find a new goal and move forward.</v>
      </c>
      <c r="E36" s="5" t="str">
        <f>IFERROR(__xludf.DUMMYFUNCTION(" GOOGLETRANSLATE(K36, ""th"", ""en"")"),"Setting new goals helps restore energy and determination for the competition.")</f>
        <v>Setting new goals helps restore energy and determination for the competition.</v>
      </c>
      <c r="G36" s="6">
        <v>35.0</v>
      </c>
      <c r="H36" s="7" t="s">
        <v>1310</v>
      </c>
      <c r="I36" s="7" t="s">
        <v>1311</v>
      </c>
      <c r="J36" s="7" t="s">
        <v>1312</v>
      </c>
      <c r="K36" s="7" t="s">
        <v>1313</v>
      </c>
    </row>
    <row r="37" ht="14.25" customHeight="1">
      <c r="A37" s="4">
        <v>36.0</v>
      </c>
      <c r="B37" s="5" t="str">
        <f>IFERROR(__xludf.DUMMYFUNCTION("GOOGLETRANSLATE(H37, ""th"", ""en"")
"),"During the competition, you discover that your opponent has weaknesses. What will you do?")</f>
        <v>During the competition, you discover that your opponent has weaknesses. What will you do?</v>
      </c>
      <c r="C37" s="5" t="str">
        <f>IFERROR(__xludf.DUMMYFUNCTION("GOOGLETRANSLATE(I37, ""th"", ""en"")
"),"A) Use your competitors' weaknesses to your advantage and adjust your strategy; B) Ignore their weaknesses and compete normally; C) Try to obstruct your competitors; D) Avoid competing.")</f>
        <v>A) Use your competitors' weaknesses to your advantage and adjust your strategy; B) Ignore their weaknesses and compete normally; C) Try to obstruct your competitors; D) Avoid competing.</v>
      </c>
      <c r="D37" s="5" t="str">
        <f>IFERROR(__xludf.DUMMYFUNCTION("GOOGLETRANSLATE(J37, ""th"", ""en"")
"),"A) Use your competitors' weaknesses to your advantage and adjust your strategy.")</f>
        <v>A) Use your competitors' weaknesses to your advantage and adjust your strategy.</v>
      </c>
      <c r="E37" s="5" t="str">
        <f>IFERROR(__xludf.DUMMYFUNCTION(" GOOGLETRANSLATE(K37, ""th"", ""en"")"),"Using your competitors' weaknesses to your advantage can help you gain an advantage.")</f>
        <v>Using your competitors' weaknesses to your advantage can help you gain an advantage.</v>
      </c>
      <c r="G37" s="6">
        <v>36.0</v>
      </c>
      <c r="H37" s="7" t="s">
        <v>1314</v>
      </c>
      <c r="I37" s="7" t="s">
        <v>1315</v>
      </c>
      <c r="J37" s="7" t="s">
        <v>1316</v>
      </c>
      <c r="K37" s="7" t="s">
        <v>1317</v>
      </c>
    </row>
    <row r="38" ht="14.25" customHeight="1">
      <c r="A38" s="4">
        <v>37.0</v>
      </c>
      <c r="B38" s="5" t="str">
        <f>IFERROR(__xludf.DUMMYFUNCTION("GOOGLETRANSLATE(H38, ""th"", ""en"")
"),"You feel that your boat is not suitable for the current water conditions, what do you do?")</f>
        <v>You feel that your boat is not suitable for the current water conditions, what do you do?</v>
      </c>
      <c r="C38" s="5" t="str">
        <f>IFERROR(__xludf.DUMMYFUNCTION("GOOGLETRANSLATE(I38, ""th"", ""en"")
"),"A) Adjust your paddling strategy to suit the water conditions; B) Try to paddle in the same way; C) Stop paddling; D) Ask your coach for help.")</f>
        <v>A) Adjust your paddling strategy to suit the water conditions; B) Try to paddle in the same way; C) Stop paddling; D) Ask your coach for help.</v>
      </c>
      <c r="D38" s="5" t="str">
        <f>IFERROR(__xludf.DUMMYFUNCTION("GOOGLETRANSLATE(J38, ""th"", ""en"")
"),"A) Adjust your paddling strategy to suit the water conditions.")</f>
        <v>A) Adjust your paddling strategy to suit the water conditions.</v>
      </c>
      <c r="E38" s="5" t="str">
        <f>IFERROR(__xludf.DUMMYFUNCTION(" GOOGLETRANSLATE(K38, ""th"", ""en"")"),"Adjusting your paddling strategy to suit the water conditions helps to ensure a more effective race.")</f>
        <v>Adjusting your paddling strategy to suit the water conditions helps to ensure a more effective race.</v>
      </c>
      <c r="G38" s="6">
        <v>37.0</v>
      </c>
      <c r="H38" s="7" t="s">
        <v>1318</v>
      </c>
      <c r="I38" s="7" t="s">
        <v>1319</v>
      </c>
      <c r="J38" s="7" t="s">
        <v>1320</v>
      </c>
      <c r="K38" s="7" t="s">
        <v>1321</v>
      </c>
    </row>
    <row r="39" ht="14.25" customHeight="1">
      <c r="A39" s="4">
        <v>38.0</v>
      </c>
      <c r="B39" s="5" t="str">
        <f>IFERROR(__xludf.DUMMYFUNCTION("GOOGLETRANSLATE(H39, ""th"", ""en"")
"),"Your boat race is reaching its toughest point. What will you do?")</f>
        <v>Your boat race is reaching its toughest point. What will you do?</v>
      </c>
      <c r="C39" s="5" t="str">
        <f>IFERROR(__xludf.DUMMYFUNCTION("GOOGLETRANSLATE(I39, ""th"", ""en"")
"),"A) motivate the team and maintain the pace; B) reduce effort and wait for the race to end; C) reprimand a teammate; D) stop rowing.")</f>
        <v>A) motivate the team and maintain the pace; B) reduce effort and wait for the race to end; C) reprimand a teammate; D) stop rowing.</v>
      </c>
      <c r="D39" s="5" t="str">
        <f>IFERROR(__xludf.DUMMYFUNCTION("GOOGLETRANSLATE(J39, ""th"", ""en"")
"),"A) Motivate the team and maintain the rhythm.")</f>
        <v>A) Motivate the team and maintain the rhythm.</v>
      </c>
      <c r="E39" s="5" t="str">
        <f>IFERROR(__xludf.DUMMYFUNCTION(" GOOGLETRANSLATE(K39, ""th"", ""en"")"),"Team motivation helps the team overcome difficult situations.")</f>
        <v>Team motivation helps the team overcome difficult situations.</v>
      </c>
      <c r="G39" s="6">
        <v>38.0</v>
      </c>
      <c r="H39" s="7" t="s">
        <v>1322</v>
      </c>
      <c r="I39" s="7" t="s">
        <v>1323</v>
      </c>
      <c r="J39" s="7" t="s">
        <v>1324</v>
      </c>
      <c r="K39" s="7" t="s">
        <v>1325</v>
      </c>
    </row>
    <row r="40" ht="14.25" customHeight="1">
      <c r="A40" s="4">
        <v>39.0</v>
      </c>
      <c r="B40" s="5" t="str">
        <f>IFERROR(__xludf.DUMMYFUNCTION("GOOGLETRANSLATE(H40, ""th"", ""en"")
"),"Your team needs to make a change in rowers during the race. What do you do?")</f>
        <v>Your team needs to make a change in rowers during the race. What do you do?</v>
      </c>
      <c r="C40" s="5" t="str">
        <f>IFERROR(__xludf.DUMMYFUNCTION("GOOGLETRANSLATE(I40, ""th"", ""en"")
"),"A) Agree and make the change immediately; B) Reject the change and insist on working together; C) Wait for instructions from the trainer; D) Avoid the change.")</f>
        <v>A) Agree and make the change immediately; B) Reject the change and insist on working together; C) Wait for instructions from the trainer; D) Avoid the change.</v>
      </c>
      <c r="D40" s="5" t="str">
        <f>IFERROR(__xludf.DUMMYFUNCTION("GOOGLETRANSLATE(J40, ""th"", ""en"")
"),"A) Agree and make changes immediately.")</f>
        <v>A) Agree and make changes immediately.</v>
      </c>
      <c r="E40" s="5" t="str">
        <f>IFERROR(__xludf.DUMMYFUNCTION(" GOOGLETRANSLATE(K40, ""th"", ""en"")"),"Changing the rowers can help improve the results.")</f>
        <v>Changing the rowers can help improve the results.</v>
      </c>
      <c r="G40" s="6">
        <v>39.0</v>
      </c>
      <c r="H40" s="7" t="s">
        <v>1326</v>
      </c>
      <c r="I40" s="7" t="s">
        <v>1327</v>
      </c>
      <c r="J40" s="7" t="s">
        <v>1328</v>
      </c>
      <c r="K40" s="7" t="s">
        <v>1329</v>
      </c>
    </row>
    <row r="41" ht="14.25" customHeight="1">
      <c r="A41" s="4">
        <v>40.0</v>
      </c>
      <c r="B41" s="5" t="str">
        <f>IFERROR(__xludf.DUMMYFUNCTION("GOOGLETRANSLATE(H41, ""th"", ""en"")
"),"After an exhausting competition, what do you do?")</f>
        <v>After an exhausting competition, what do you do?</v>
      </c>
      <c r="C41" s="5" t="str">
        <f>IFERROR(__xludf.DUMMYFUNCTION("GOOGLETRANSLATE(I41, ""th"", ""en"")
"),"A) Rest and recharge; B) Practice more to prepare for the next competition; C) Do nothing and sit still; D) Go do other activities immediately.")</f>
        <v>A) Rest and recharge; B) Practice more to prepare for the next competition; C) Do nothing and sit still; D) Go do other activities immediately.</v>
      </c>
      <c r="D41" s="5" t="str">
        <f>IFERROR(__xludf.DUMMYFUNCTION("GOOGLETRANSLATE(J41, ""th"", ""en"")
"),"A) Rest and recharge.")</f>
        <v>A) Rest and recharge.</v>
      </c>
      <c r="E41" s="5" t="str">
        <f>IFERROR(__xludf.DUMMYFUNCTION(" GOOGLETRANSLATE(K41, ""th"", ""en"")"),"Resting after a competition helps the body recover and prepare for the next competition.")</f>
        <v>Resting after a competition helps the body recover and prepare for the next competition.</v>
      </c>
      <c r="G41" s="6">
        <v>40.0</v>
      </c>
      <c r="H41" s="7" t="s">
        <v>1330</v>
      </c>
      <c r="I41" s="7" t="s">
        <v>1331</v>
      </c>
      <c r="J41" s="7" t="s">
        <v>1332</v>
      </c>
      <c r="K41" s="7" t="s">
        <v>1333</v>
      </c>
    </row>
    <row r="42" ht="14.25" customHeight="1">
      <c r="A42" s="4">
        <v>41.0</v>
      </c>
      <c r="B42" s="5" t="str">
        <f>IFERROR(__xludf.DUMMYFUNCTION("GOOGLETRANSLATE(H42, ""th"", ""en"")
"),"You feel your teammates are feeling anxious before a match, what do you do?")</f>
        <v>You feel your teammates are feeling anxious before a match, what do you do?</v>
      </c>
      <c r="C42" s="5" t="str">
        <f>IFERROR(__xludf.DUMMYFUNCTION("GOOGLETRANSLATE(I42, ""th"", ""en"")
"),"A) Encourage and advise; B) Let him handle it himself; C) Mention the competition to remind him; D) Avoid talking about it.")</f>
        <v>A) Encourage and advise; B) Let him handle it himself; C) Mention the competition to remind him; D) Avoid talking about it.</v>
      </c>
      <c r="D42" s="5" t="str">
        <f>IFERROR(__xludf.DUMMYFUNCTION("GOOGLETRANSLATE(J42, ""th"", ""en"")
"),"A) Stimulate and provide guidance.")</f>
        <v>A) Stimulate and provide guidance.</v>
      </c>
      <c r="E42" s="5" t="str">
        <f>IFERROR(__xludf.DUMMYFUNCTION(" GOOGLETRANSLATE(K42, ""th"", ""en"")"),"Providing guidance and encouragement can reduce anxiety and increase confidence.")</f>
        <v>Providing guidance and encouragement can reduce anxiety and increase confidence.</v>
      </c>
      <c r="G42" s="6">
        <v>41.0</v>
      </c>
      <c r="H42" s="7" t="s">
        <v>1334</v>
      </c>
      <c r="I42" s="7" t="s">
        <v>1335</v>
      </c>
      <c r="J42" s="7" t="s">
        <v>1336</v>
      </c>
      <c r="K42" s="7" t="s">
        <v>1337</v>
      </c>
    </row>
    <row r="43" ht="14.25" customHeight="1">
      <c r="A43" s="4">
        <v>42.0</v>
      </c>
      <c r="B43" s="5" t="str">
        <f>IFERROR(__xludf.DUMMYFUNCTION("GOOGLETRANSLATE(H43, ""th"", ""en"")
"),"In this race you notice that your boat is out of balance. What do you do?")</f>
        <v>In this race you notice that your boat is out of balance. What do you do?</v>
      </c>
      <c r="C43" s="5" t="str">
        <f>IFERROR(__xludf.DUMMYFUNCTION("GOOGLETRANSLATE(I43, ""th"", ""en"")
"),"A) Adjust your paddle position properly; B) Stop paddling and ask for help; C) Wait for the team to adjust their paddle position; D) Try to paddle at a higher speed.")</f>
        <v>A) Adjust your paddle position properly; B) Stop paddling and ask for help; C) Wait for the team to adjust their paddle position; D) Try to paddle at a higher speed.</v>
      </c>
      <c r="D43" s="5" t="str">
        <f>IFERROR(__xludf.DUMMYFUNCTION("GOOGLETRANSLATE(J43, ""th"", ""en"")
"),"A) Adjust the paddle position appropriately.")</f>
        <v>A) Adjust the paddle position appropriately.</v>
      </c>
      <c r="E43" s="5" t="str">
        <f>IFERROR(__xludf.DUMMYFUNCTION(" GOOGLETRANSLATE(K43, ""th"", ""en"")"),"Adjusting the paddle position helps balance the boat and increase speed.")</f>
        <v>Adjusting the paddle position helps balance the boat and increase speed.</v>
      </c>
      <c r="G43" s="6">
        <v>42.0</v>
      </c>
      <c r="H43" s="7" t="s">
        <v>1338</v>
      </c>
      <c r="I43" s="7" t="s">
        <v>1339</v>
      </c>
      <c r="J43" s="7" t="s">
        <v>1340</v>
      </c>
      <c r="K43" s="7" t="s">
        <v>1341</v>
      </c>
    </row>
    <row r="44" ht="14.25" customHeight="1">
      <c r="A44" s="4">
        <v>43.0</v>
      </c>
      <c r="B44" s="5" t="str">
        <f>IFERROR(__xludf.DUMMYFUNCTION("GOOGLETRANSLATE(H44, ""th"", ""en"")
"),"You find your boat is starting slow compared to other teams, what do you do?")</f>
        <v>You find your boat is starting slow compared to other teams, what do you do?</v>
      </c>
      <c r="C44" s="5" t="str">
        <f>IFERROR(__xludf.DUMMYFUNCTION("GOOGLETRANSLATE(I44, ""th"", ""en"")
"),"A) Try to speed up; B) Adjust your paddle to be more efficient; C) Let the team do its own thing; D) Stop and wait for the other team to make a mistake.")</f>
        <v>A) Try to speed up; B) Adjust your paddle to be more efficient; C) Let the team do its own thing; D) Stop and wait for the other team to make a mistake.</v>
      </c>
      <c r="D44" s="5" t="str">
        <f>IFERROR(__xludf.DUMMYFUNCTION("GOOGLETRANSLATE(J44, ""th"", ""en"")
"),"B) Adjust the rowing position to be more efficient.")</f>
        <v>B) Adjust the rowing position to be more efficient.</v>
      </c>
      <c r="E44" s="5" t="str">
        <f>IFERROR(__xludf.DUMMYFUNCTION(" GOOGLETRANSLATE(K44, ""th"", ""en"")"),"Adjusting the paddle position allows you to increase speed without the risk of over-accelerating.")</f>
        <v>Adjusting the paddle position allows you to increase speed without the risk of over-accelerating.</v>
      </c>
      <c r="G44" s="6">
        <v>43.0</v>
      </c>
      <c r="H44" s="7" t="s">
        <v>1342</v>
      </c>
      <c r="I44" s="7" t="s">
        <v>1343</v>
      </c>
      <c r="J44" s="7" t="s">
        <v>1344</v>
      </c>
      <c r="K44" s="7" t="s">
        <v>1345</v>
      </c>
    </row>
    <row r="45" ht="14.25" customHeight="1">
      <c r="A45" s="4">
        <v>44.0</v>
      </c>
      <c r="B45" s="5" t="str">
        <f>IFERROR(__xludf.DUMMYFUNCTION("GOOGLETRANSLATE(H45, ""th"", ""en"")
"),"The competition is in a tense period. You feel the team is stressed. What will you do?")</f>
        <v>The competition is in a tense period. You feel the team is stressed. What will you do?</v>
      </c>
      <c r="C45" s="5" t="str">
        <f>IFERROR(__xludf.DUMMYFUNCTION("GOOGLETRANSLATE(I45, ""th"", ""en"")
"),"A) Motivate the team and keep everyone relaxed; B) Let everyone manage their own stress; C) Reduce effort and don't motivate anyone; D) Avoid talking.")</f>
        <v>A) Motivate the team and keep everyone relaxed; B) Let everyone manage their own stress; C) Reduce effort and don't motivate anyone; D) Avoid talking.</v>
      </c>
      <c r="D45" s="5" t="str">
        <f>IFERROR(__xludf.DUMMYFUNCTION("GOOGLETRANSLATE(J45, ""th"", ""en"")
"),"A) Motivate the team and keep everyone relaxed.")</f>
        <v>A) Motivate the team and keep everyone relaxed.</v>
      </c>
      <c r="E45" s="5" t="str">
        <f>IFERROR(__xludf.DUMMYFUNCTION(" GOOGLETRANSLATE(K45, ""th"", ""en"")"),"Motivating and relaxing your team increases confidence and performance.")</f>
        <v>Motivating and relaxing your team increases confidence and performance.</v>
      </c>
      <c r="G45" s="6">
        <v>44.0</v>
      </c>
      <c r="H45" s="7" t="s">
        <v>1346</v>
      </c>
      <c r="I45" s="7" t="s">
        <v>1347</v>
      </c>
      <c r="J45" s="7" t="s">
        <v>1348</v>
      </c>
      <c r="K45" s="7" t="s">
        <v>1349</v>
      </c>
    </row>
    <row r="46" ht="14.25" customHeight="1">
      <c r="A46" s="4">
        <v>45.0</v>
      </c>
      <c r="B46" s="5" t="str">
        <f>IFERROR(__xludf.DUMMYFUNCTION("GOOGLETRANSLATE(H46, ""th"", ""en"")
"),"You have a chance to score a crucial point in the game, what will you do?")</f>
        <v>You have a chance to score a crucial point in the game, what will you do?</v>
      </c>
      <c r="C46" s="5" t="str">
        <f>IFERROR(__xludf.DUMMYFUNCTION("GOOGLETRANSLATE(I46, ""th"", ""en"")
"),"A) Try your best to row the boat; B) Hesitate and do nothing; C) Try to play it safe; D) Speed ​​up too fast.")</f>
        <v>A) Try your best to row the boat; B) Hesitate and do nothing; C) Try to play it safe; D) Speed ​​up too fast.</v>
      </c>
      <c r="D46" s="5" t="str">
        <f>IFERROR(__xludf.DUMMYFUNCTION("GOOGLETRANSLATE(J46, ""th"", ""en"")
"),"A) Try your best to row the boat.")</f>
        <v>A) Try your best to row the boat.</v>
      </c>
      <c r="E46" s="5" t="str">
        <f>IFERROR(__xludf.DUMMYFUNCTION(" GOOGLETRANSLATE(K46, ""th"", ""en"")"),"Doing your best increases your chances of scoring important points.")</f>
        <v>Doing your best increases your chances of scoring important points.</v>
      </c>
      <c r="G46" s="6">
        <v>45.0</v>
      </c>
      <c r="H46" s="7" t="s">
        <v>1350</v>
      </c>
      <c r="I46" s="7" t="s">
        <v>1351</v>
      </c>
      <c r="J46" s="7" t="s">
        <v>1352</v>
      </c>
      <c r="K46" s="7" t="s">
        <v>1353</v>
      </c>
    </row>
    <row r="47" ht="14.25" customHeight="1">
      <c r="A47" s="4">
        <v>46.0</v>
      </c>
      <c r="B47" s="5" t="str">
        <f>IFERROR(__xludf.DUMMYFUNCTION("GOOGLETRANSLATE(H47, ""th"", ""en"")
"),"You feel that your boat cannot withstand the resistance of the water, what do you do?")</f>
        <v>You feel that your boat cannot withstand the resistance of the water, what do you do?</v>
      </c>
      <c r="C47" s="5" t="str">
        <f>IFERROR(__xludf.DUMMYFUNCTION("GOOGLETRANSLATE(I47, ""th"", ""en"")
"),"A) Adjust your paddling strategy to suit the water conditions; B) Try to paddle faster; C) Stop paddling and ask the coach for help; D) Let the team continue as usual.")</f>
        <v>A) Adjust your paddling strategy to suit the water conditions; B) Try to paddle faster; C) Stop paddling and ask the coach for help; D) Let the team continue as usual.</v>
      </c>
      <c r="D47" s="5" t="str">
        <f>IFERROR(__xludf.DUMMYFUNCTION("GOOGLETRANSLATE(J47, ""th"", ""en"")
"),"A) Adjust your paddling strategy to suit the water conditions.")</f>
        <v>A) Adjust your paddling strategy to suit the water conditions.</v>
      </c>
      <c r="E47" s="5" t="str">
        <f>IFERROR(__xludf.DUMMYFUNCTION(" GOOGLETRANSLATE(K47, ""th"", ""en"")"),"Strategic adjustments help improve competitiveness.")</f>
        <v>Strategic adjustments help improve competitiveness.</v>
      </c>
      <c r="G47" s="6">
        <v>46.0</v>
      </c>
      <c r="H47" s="7" t="s">
        <v>1354</v>
      </c>
      <c r="I47" s="7" t="s">
        <v>1355</v>
      </c>
      <c r="J47" s="7" t="s">
        <v>1356</v>
      </c>
      <c r="K47" s="7" t="s">
        <v>1357</v>
      </c>
    </row>
    <row r="48" ht="14.25" customHeight="1">
      <c r="A48" s="4">
        <v>47.0</v>
      </c>
      <c r="B48" s="5" t="str">
        <f>IFERROR(__xludf.DUMMYFUNCTION("GOOGLETRANSLATE(H48, ""th"", ""en"")
"),"The competition is nearing its end and you're starting to feel tired. What do you do?")</f>
        <v>The competition is nearing its end and you're starting to feel tired. What do you do?</v>
      </c>
      <c r="C48" s="5" t="str">
        <f>IFERROR(__xludf.DUMMYFUNCTION("GOOGLETRANSLATE(I48, ""th"", ""en"")
"),"A) Try to regain your energy and keep fighting; B) Let the team do the hard work instead; C) Stop paddling and wait for the race to end; D) Slow down and don't keep trying.")</f>
        <v>A) Try to regain your energy and keep fighting; B) Let the team do the hard work instead; C) Stop paddling and wait for the race to end; D) Slow down and don't keep trying.</v>
      </c>
      <c r="D48" s="5" t="str">
        <f>IFERROR(__xludf.DUMMYFUNCTION("GOOGLETRANSLATE(J48, ""th"", ""en"")
"),"A) Try to regain your strength and keep fighting.")</f>
        <v>A) Try to regain your strength and keep fighting.</v>
      </c>
      <c r="E48" s="5" t="str">
        <f>IFERROR(__xludf.DUMMYFUNCTION(" GOOGLETRANSLATE(K48, ""th"", ""en"")"),"Trying to regain energy helps the team compete until the end.")</f>
        <v>Trying to regain energy helps the team compete until the end.</v>
      </c>
      <c r="G48" s="6">
        <v>47.0</v>
      </c>
      <c r="H48" s="7" t="s">
        <v>1358</v>
      </c>
      <c r="I48" s="7" t="s">
        <v>1359</v>
      </c>
      <c r="J48" s="7" t="s">
        <v>1360</v>
      </c>
      <c r="K48" s="7" t="s">
        <v>1361</v>
      </c>
    </row>
    <row r="49" ht="14.25" customHeight="1">
      <c r="A49" s="4">
        <v>48.0</v>
      </c>
      <c r="B49" s="5" t="str">
        <f>IFERROR(__xludf.DUMMYFUNCTION("GOOGLETRANSLATE(H49, ""th"", ""en"")
"),"A teammate makes a mistake during a match and it affects the outcome of the match. What will you do?")</f>
        <v>A teammate makes a mistake during a match and it affects the outcome of the match. What will you do?</v>
      </c>
      <c r="C49" s="5" t="str">
        <f>IFERROR(__xludf.DUMMYFUNCTION("GOOGLETRANSLATE(I49, ""th"", ""en"")
"),"A) Help him and try to regain the team's confidence; B) Reprimand him; C) Stop the game and ask the coach for help; D) Let him deal with his mistakes on his own.")</f>
        <v>A) Help him and try to regain the team's confidence; B) Reprimand him; C) Stop the game and ask the coach for help; D) Let him deal with his mistakes on his own.</v>
      </c>
      <c r="D49" s="5" t="str">
        <f>IFERROR(__xludf.DUMMYFUNCTION("GOOGLETRANSLATE(J49, ""th"", ""en"")
"),"A) Help him and try to bring back the team's confidence.")</f>
        <v>A) Help him and try to bring back the team's confidence.</v>
      </c>
      <c r="E49" s="5" t="str">
        <f>IFERROR(__xludf.DUMMYFUNCTION(" GOOGLETRANSLATE(K49, ""th"", ""en"")"),"Helping your teammates builds bonds and confidence within the team.")</f>
        <v>Helping your teammates builds bonds and confidence within the team.</v>
      </c>
      <c r="G49" s="6">
        <v>48.0</v>
      </c>
      <c r="H49" s="7" t="s">
        <v>1362</v>
      </c>
      <c r="I49" s="7" t="s">
        <v>1363</v>
      </c>
      <c r="J49" s="7" t="s">
        <v>1364</v>
      </c>
      <c r="K49" s="7" t="s">
        <v>1365</v>
      </c>
    </row>
    <row r="50" ht="14.25" customHeight="1">
      <c r="A50" s="4">
        <v>49.0</v>
      </c>
      <c r="B50" s="5" t="str">
        <f>IFERROR(__xludf.DUMMYFUNCTION("GOOGLETRANSLATE(H50, ""th"", ""en"")
"),"During the boat race, an unexpected situation occurs. What will you do?")</f>
        <v>During the boat race, an unexpected situation occurs. What will you do?</v>
      </c>
      <c r="C50" s="5" t="str">
        <f>IFERROR(__xludf.DUMMYFUNCTION("GOOGLETRANSLATE(I50, ""th"", ""en"")
"),"A) adapt and work together to deal with the situation; B) stop paddling and wait for instructions from the coach; C) let the team do what is convenient; D) rush to speed and ignore the situation.")</f>
        <v>A) adapt and work together to deal with the situation; B) stop paddling and wait for instructions from the coach; C) let the team do what is convenient; D) rush to speed and ignore the situation.</v>
      </c>
      <c r="D50" s="5" t="str">
        <f>IFERROR(__xludf.DUMMYFUNCTION("GOOGLETRANSLATE(J50, ""th"", ""en"")
"),"A) Adapt and work together to cope with the situation.")</f>
        <v>A) Adapt and work together to cope with the situation.</v>
      </c>
      <c r="E50" s="5" t="str">
        <f>IFERROR(__xludf.DUMMYFUNCTION(" GOOGLETRANSLATE(K50, ""th"", ""en"")"),"Adaptability and collaboration allow for managing unexpected situations.")</f>
        <v>Adaptability and collaboration allow for managing unexpected situations.</v>
      </c>
      <c r="G50" s="6">
        <v>49.0</v>
      </c>
      <c r="H50" s="7" t="s">
        <v>1366</v>
      </c>
      <c r="I50" s="7" t="s">
        <v>1367</v>
      </c>
      <c r="J50" s="7" t="s">
        <v>1368</v>
      </c>
      <c r="K50" s="7" t="s">
        <v>1369</v>
      </c>
    </row>
    <row r="51" ht="14.25" customHeight="1">
      <c r="A51" s="4">
        <v>50.0</v>
      </c>
      <c r="B51" s="5" t="str">
        <f>IFERROR(__xludf.DUMMYFUNCTION("GOOGLETRANSLATE(H51, ""th"", ""en"")
"),"You feel like you can't withstand the pressure of competition. What should you do?")</f>
        <v>You feel like you can't withstand the pressure of competition. What should you do?</v>
      </c>
      <c r="C51" s="5" t="str">
        <f>IFERROR(__xludf.DUMMYFUNCTION("GOOGLETRANSLATE(I51, ""th"", ""en"")
"),"A) Take a deep breath and focus on the race; B) Stop rowing; C) Complain to your teammates; D) Avoid talking about the race.")</f>
        <v>A) Take a deep breath and focus on the race; B) Stop rowing; C) Complain to your teammates; D) Avoid talking about the race.</v>
      </c>
      <c r="D51" s="5" t="str">
        <f>IFERROR(__xludf.DUMMYFUNCTION("GOOGLETRANSLATE(J51, ""th"", ""en"")
"),"A) Take a deep breath and stay focused on the race.")</f>
        <v>A) Take a deep breath and stay focused on the race.</v>
      </c>
      <c r="E51" s="5" t="str">
        <f>IFERROR(__xludf.DUMMYFUNCTION(" GOOGLETRANSLATE(K51, ""th"", ""en"")"),"Deep, focused breathing reduces stress and increases competitive spirit.")</f>
        <v>Deep, focused breathing reduces stress and increases competitive spirit.</v>
      </c>
      <c r="G51" s="6">
        <v>50.0</v>
      </c>
      <c r="H51" s="7" t="s">
        <v>1370</v>
      </c>
      <c r="I51" s="7" t="s">
        <v>1371</v>
      </c>
      <c r="J51" s="7" t="s">
        <v>1372</v>
      </c>
      <c r="K51" s="7" t="s">
        <v>1373</v>
      </c>
    </row>
    <row r="52" ht="14.25" customHeight="1">
      <c r="A52" s="4">
        <v>51.0</v>
      </c>
      <c r="B52" s="5" t="str">
        <f>IFERROR(__xludf.DUMMYFUNCTION("GOOGLETRANSLATE(H52, ""th"", ""en"")
"),"You see your teammates starting to run out of energy in the middle of a match, what do you do?")</f>
        <v>You see your teammates starting to run out of energy in the middle of a match, what do you do?</v>
      </c>
      <c r="C52" s="5" t="str">
        <f>IFERROR(__xludf.DUMMYFUNCTION("GOOGLETRANSLATE(I52, ""th"", ""en"")
"),"A) Encourage him and ask him to increase his effort; B) Let him do what he wants; C) Stop and wait for him to recover; D) Express disappointment.")</f>
        <v>A) Encourage him and ask him to increase his effort; B) Let him do what he wants; C) Stop and wait for him to recover; D) Express disappointment.</v>
      </c>
      <c r="D52" s="5" t="str">
        <f>IFERROR(__xludf.DUMMYFUNCTION("GOOGLETRANSLATE(J52, ""th"", ""en"")
"),"A) Encourage him and ask him to put in more effort.")</f>
        <v>A) Encourage him and ask him to put in more effort.</v>
      </c>
      <c r="E52" s="5" t="str">
        <f>IFERROR(__xludf.DUMMYFUNCTION(" GOOGLETRANSLATE(K52, ""th"", ""en"")"),"Motivating your teammates helps them recharge and work better together.")</f>
        <v>Motivating your teammates helps them recharge and work better together.</v>
      </c>
      <c r="G52" s="6">
        <v>51.0</v>
      </c>
      <c r="H52" s="7" t="s">
        <v>1374</v>
      </c>
      <c r="I52" s="7" t="s">
        <v>1375</v>
      </c>
      <c r="J52" s="7" t="s">
        <v>1376</v>
      </c>
      <c r="K52" s="7" t="s">
        <v>1377</v>
      </c>
    </row>
    <row r="53" ht="14.25" customHeight="1">
      <c r="A53" s="4">
        <v>52.0</v>
      </c>
      <c r="B53" s="5" t="str">
        <f>IFERROR(__xludf.DUMMYFUNCTION("GOOGLETRANSLATE(H53, ""th"", ""en"")
"),"The boat race is nearing its conclusion and you have a chance to score some important points. What will you do?")</f>
        <v>The boat race is nearing its conclusion and you have a chance to score some important points. What will you do?</v>
      </c>
      <c r="C53" s="5" t="str">
        <f>IFERROR(__xludf.DUMMYFUNCTION("GOOGLETRANSLATE(I53, ""th"", ""en"")
"),"A) Try to row faster and score points; B) Slow down to maintain stability; C) Stop rowing and wait for the race to end; D) Try to tell your teammates to go faster.")</f>
        <v>A) Try to row faster and score points; B) Slow down to maintain stability; C) Stop rowing and wait for the race to end; D) Try to tell your teammates to go faster.</v>
      </c>
      <c r="D53" s="5" t="str">
        <f>IFERROR(__xludf.DUMMYFUNCTION("GOOGLETRANSLATE(J53, ""th"", ""en"")
"),"A) Try to row faster and score points.")</f>
        <v>A) Try to row faster and score points.</v>
      </c>
      <c r="E53" s="5" t="str">
        <f>IFERROR(__xludf.DUMMYFUNCTION(" GOOGLETRANSLATE(K53, ""th"", ""en"")"),"Trying to increase speed in key moments increases your chances of scoring.")</f>
        <v>Trying to increase speed in key moments increases your chances of scoring.</v>
      </c>
      <c r="G53" s="6">
        <v>52.0</v>
      </c>
      <c r="H53" s="7" t="s">
        <v>1378</v>
      </c>
      <c r="I53" s="7" t="s">
        <v>1379</v>
      </c>
      <c r="J53" s="7" t="s">
        <v>1380</v>
      </c>
      <c r="K53" s="7" t="s">
        <v>1381</v>
      </c>
    </row>
    <row r="54" ht="14.25" customHeight="1">
      <c r="A54" s="4">
        <v>53.0</v>
      </c>
      <c r="B54" s="5" t="str">
        <f>IFERROR(__xludf.DUMMYFUNCTION("GOOGLETRANSLATE(H54, ""th"", ""en"")
"),"The competition is heating up, what will you do?")</f>
        <v>The competition is heating up, what will you do?</v>
      </c>
      <c r="C54" s="5" t="str">
        <f>IFERROR(__xludf.DUMMYFUNCTION("GOOGLETRANSLATE(I54, ""th"", ""en"")
"),"A) Stay focused and follow the strategy; B) Be anxious and panic; C) Be too hasty; D) Let the situation unfold as it should.")</f>
        <v>A) Stay focused and follow the strategy; B) Be anxious and panic; C) Be too hasty; D) Let the situation unfold as it should.</v>
      </c>
      <c r="D54" s="5" t="str">
        <f>IFERROR(__xludf.DUMMYFUNCTION("GOOGLETRANSLATE(J54, ""th"", ""en"")
"),"A) Stay focused and follow the strategies laid out.")</f>
        <v>A) Stay focused and follow the strategies laid out.</v>
      </c>
      <c r="E54" s="5" t="str">
        <f>IFERROR(__xludf.DUMMYFUNCTION(" GOOGLETRANSLATE(K54, ""th"", ""en"")"),"Maintaining focus allows you to execute your strategy even during stressful times.")</f>
        <v>Maintaining focus allows you to execute your strategy even during stressful times.</v>
      </c>
      <c r="G54" s="6">
        <v>53.0</v>
      </c>
      <c r="H54" s="7" t="s">
        <v>1382</v>
      </c>
      <c r="I54" s="7" t="s">
        <v>1383</v>
      </c>
      <c r="J54" s="7" t="s">
        <v>1384</v>
      </c>
      <c r="K54" s="7" t="s">
        <v>1385</v>
      </c>
    </row>
    <row r="55" ht="14.25" customHeight="1">
      <c r="A55" s="4">
        <v>54.0</v>
      </c>
      <c r="B55" s="5" t="str">
        <f>IFERROR(__xludf.DUMMYFUNCTION("GOOGLETRANSLATE(H55, ""th"", ""en"")
"),"You feel that your boat is not suitable for racing, what should you do?")</f>
        <v>You feel that your boat is not suitable for racing, what should you do?</v>
      </c>
      <c r="C55" s="5" t="str">
        <f>IFERROR(__xludf.DUMMYFUNCTION("GOOGLETRANSLATE(I55, ""th"", ""en"")
"),"A) Adjust your rowing strategy to suit the boat; B) Stop rowing immediately; C) Inform the coach and ask him to change boats; D) Let it go.")</f>
        <v>A) Adjust your rowing strategy to suit the boat; B) Stop rowing immediately; C) Inform the coach and ask him to change boats; D) Let it go.</v>
      </c>
      <c r="D55" s="5" t="str">
        <f>IFERROR(__xludf.DUMMYFUNCTION("GOOGLETRANSLATE(J55, ""th"", ""en"")
"),"A) Adjust your rowing strategy to suit the boat.")</f>
        <v>A) Adjust your rowing strategy to suit the boat.</v>
      </c>
      <c r="E55" s="5" t="str">
        <f>IFERROR(__xludf.DUMMYFUNCTION(" GOOGLETRANSLATE(K55, ""th"", ""en"")"),"Adjusting your strategy to suit the boat's conditions improves your paddling efficiency.")</f>
        <v>Adjusting your strategy to suit the boat's conditions improves your paddling efficiency.</v>
      </c>
      <c r="G55" s="6">
        <v>54.0</v>
      </c>
      <c r="H55" s="7" t="s">
        <v>1386</v>
      </c>
      <c r="I55" s="7" t="s">
        <v>1387</v>
      </c>
      <c r="J55" s="7" t="s">
        <v>1388</v>
      </c>
      <c r="K55" s="7" t="s">
        <v>1389</v>
      </c>
    </row>
    <row r="56" ht="14.25" customHeight="1">
      <c r="A56" s="4">
        <v>55.0</v>
      </c>
      <c r="B56" s="5" t="str">
        <f>IFERROR(__xludf.DUMMYFUNCTION("GOOGLETRANSLATE(H56, ""th"", ""en"")
"),"You see that your teammates are starting to feel unsure, what do you do?")</f>
        <v>You see that your teammates are starting to feel unsure, what do you do?</v>
      </c>
      <c r="C56" s="5" t="str">
        <f>IFERROR(__xludf.DUMMYFUNCTION("GOOGLETRANSLATE(I56, ""th"", ""en"")
"),"A) Give him advice and encouragement to boost his confidence; B) Let him deal with his insecurities on his own; C) Blame him; D) Avoid talking about his insecurities.")</f>
        <v>A) Give him advice and encouragement to boost his confidence; B) Let him deal with his insecurities on his own; C) Blame him; D) Avoid talking about his insecurities.</v>
      </c>
      <c r="D56" s="5" t="str">
        <f>IFERROR(__xludf.DUMMYFUNCTION("GOOGLETRANSLATE(J56, ""th"", ""en"")
"),"A) Provide advice and encouragement to increase confidence.")</f>
        <v>A) Provide advice and encouragement to increase confidence.</v>
      </c>
      <c r="E56" s="5" t="str">
        <f>IFERROR(__xludf.DUMMYFUNCTION(" GOOGLETRANSLATE(K56, ""th"", ""en"")"),"Encouragement boosts teammates' confidence.")</f>
        <v>Encouragement boosts teammates' confidence.</v>
      </c>
      <c r="G56" s="6">
        <v>55.0</v>
      </c>
      <c r="H56" s="7" t="s">
        <v>1390</v>
      </c>
      <c r="I56" s="7" t="s">
        <v>1391</v>
      </c>
      <c r="J56" s="7" t="s">
        <v>1392</v>
      </c>
      <c r="K56" s="7" t="s">
        <v>1393</v>
      </c>
    </row>
    <row r="57" ht="14.25" customHeight="1">
      <c r="A57" s="4">
        <v>56.0</v>
      </c>
      <c r="B57" s="5" t="str">
        <f>IFERROR(__xludf.DUMMYFUNCTION("GOOGLETRANSLATE(H57, ""th"", ""en"")
"),"In a challenging boat race, you feel discouraged and tired, what do you do?")</f>
        <v>In a challenging boat race, you feel discouraged and tired, what do you do?</v>
      </c>
      <c r="C57" s="5" t="str">
        <f>IFERROR(__xludf.DUMMYFUNCTION("GOOGLETRANSLATE(I57, ""th"", ""en"")
"),"A) Try to regain your energy and keep fighting; B) Stop paddling and quit the race; C) Avoid trying to gain speed; D) Let the team do their thing.")</f>
        <v>A) Try to regain your energy and keep fighting; B) Stop paddling and quit the race; C) Avoid trying to gain speed; D) Let the team do their thing.</v>
      </c>
      <c r="D57" s="5" t="str">
        <f>IFERROR(__xludf.DUMMYFUNCTION("GOOGLETRANSLATE(J57, ""th"", ""en"")
"),"A) Try to regain your strength and keep fighting.")</f>
        <v>A) Try to regain your strength and keep fighting.</v>
      </c>
      <c r="E57" s="5" t="str">
        <f>IFERROR(__xludf.DUMMYFUNCTION(" GOOGLETRANSLATE(K57, ""th"", ""en"")"),"Restoring energy and fighting will increase your chances of competing.")</f>
        <v>Restoring energy and fighting will increase your chances of competing.</v>
      </c>
      <c r="G57" s="6">
        <v>56.0</v>
      </c>
      <c r="H57" s="7" t="s">
        <v>1394</v>
      </c>
      <c r="I57" s="7" t="s">
        <v>1395</v>
      </c>
      <c r="J57" s="7" t="s">
        <v>1360</v>
      </c>
      <c r="K57" s="7" t="s">
        <v>1396</v>
      </c>
    </row>
    <row r="58" ht="14.25" customHeight="1">
      <c r="A58" s="4">
        <v>57.0</v>
      </c>
      <c r="B58" s="5" t="str">
        <f>IFERROR(__xludf.DUMMYFUNCTION("GOOGLETRANSLATE(H58, ""th"", ""en"")
"),"You feel like your ship is not heading in the right direction, what do you do?")</f>
        <v>You feel like your ship is not heading in the right direction, what do you do?</v>
      </c>
      <c r="C58" s="5" t="str">
        <f>IFERROR(__xludf.DUMMYFUNCTION("GOOGLETRANSLATE(I58, ""th"", ""en"")
"),"A) Adjust your paddle position and direction appropriately; B) Try to paddle faster without thinking about direction; C) Stop paddling; D) Notify your instructor and ask for help.")</f>
        <v>A) Adjust your paddle position and direction appropriately; B) Try to paddle faster without thinking about direction; C) Stop paddling; D) Notify your instructor and ask for help.</v>
      </c>
      <c r="D58" s="5" t="str">
        <f>IFERROR(__xludf.DUMMYFUNCTION("GOOGLETRANSLATE(J58, ""th"", ""en"")
"),"A) Adjust the paddle position and direction appropriately.")</f>
        <v>A) Adjust the paddle position and direction appropriately.</v>
      </c>
      <c r="E58" s="5" t="str">
        <f>IFERROR(__xludf.DUMMYFUNCTION(" GOOGLETRANSLATE(K58, ""th"", ""en"")"),"Adjusting the paddle direction helps keep the boat in the right direction and increases efficiency.")</f>
        <v>Adjusting the paddle direction helps keep the boat in the right direction and increases efficiency.</v>
      </c>
      <c r="G58" s="6">
        <v>57.0</v>
      </c>
      <c r="H58" s="7" t="s">
        <v>1397</v>
      </c>
      <c r="I58" s="7" t="s">
        <v>1398</v>
      </c>
      <c r="J58" s="7" t="s">
        <v>1399</v>
      </c>
      <c r="K58" s="7" t="s">
        <v>1400</v>
      </c>
    </row>
    <row r="59" ht="14.25" customHeight="1">
      <c r="A59" s="4">
        <v>58.0</v>
      </c>
      <c r="B59" s="5" t="str">
        <f>IFERROR(__xludf.DUMMYFUNCTION("GOOGLETRANSLATE(H59, ""th"", ""en"")
"),"You see that your ship is wasting a lot of time changing direction. What do you do?")</f>
        <v>You see that your ship is wasting a lot of time changing direction. What do you do?</v>
      </c>
      <c r="C59" s="5" t="str">
        <f>IFERROR(__xludf.DUMMYFUNCTION("GOOGLETRANSLATE(I59, ""th"", ""en"")
"),"A) Improve your paddle form to save time; B) Ignore the direction adjustment and try to continue paddling; C) Stop and ask the instructor for guidance; D) Slow down.")</f>
        <v>A) Improve your paddle form to save time; B) Ignore the direction adjustment and try to continue paddling; C) Stop and ask the instructor for guidance; D) Slow down.</v>
      </c>
      <c r="D59" s="5" t="str">
        <f>IFERROR(__xludf.DUMMYFUNCTION("GOOGLETRANSLATE(J59, ""th"", ""en"")
"),"A) Adjust your rowing position to be more agile so as not to waste time.")</f>
        <v>A) Adjust your rowing position to be more agile so as not to waste time.</v>
      </c>
      <c r="E59" s="5" t="str">
        <f>IFERROR(__xludf.DUMMYFUNCTION(" GOOGLETRANSLATE(K59, ""th"", ""en"")"),"Adjusting your paddle position reduces the time it takes to change direction and increases speed.")</f>
        <v>Adjusting your paddle position reduces the time it takes to change direction and increases speed.</v>
      </c>
      <c r="G59" s="6">
        <v>58.0</v>
      </c>
      <c r="H59" s="7" t="s">
        <v>1401</v>
      </c>
      <c r="I59" s="7" t="s">
        <v>1402</v>
      </c>
      <c r="J59" s="7" t="s">
        <v>1403</v>
      </c>
      <c r="K59" s="7" t="s">
        <v>1404</v>
      </c>
    </row>
    <row r="60" ht="14.25" customHeight="1">
      <c r="A60" s="4">
        <v>59.0</v>
      </c>
      <c r="B60" s="5" t="str">
        <f>IFERROR(__xludf.DUMMYFUNCTION("GOOGLETRANSLATE(H60, ""th"", ""en"")
"),"You see that your boat is becoming unstable in the water, what do you do?")</f>
        <v>You see that your boat is becoming unstable in the water, what do you do?</v>
      </c>
      <c r="C60" s="5" t="str">
        <f>IFERROR(__xludf.DUMMYFUNCTION("GOOGLETRANSLATE(I60, ""th"", ""en"")
"),"A) Adjust your paddle position to improve stability; B) Try to paddle faster; C) Let the boat drift in its direction; D) Stop paddling.")</f>
        <v>A) Adjust your paddle position to improve stability; B) Try to paddle faster; C) Let the boat drift in its direction; D) Stop paddling.</v>
      </c>
      <c r="D60" s="5" t="str">
        <f>IFERROR(__xludf.DUMMYFUNCTION("GOOGLETRANSLATE(J60, ""th"", ""en"")
"),"A) Adjust the rowing position to increase stability.")</f>
        <v>A) Adjust the rowing position to increase stability.</v>
      </c>
      <c r="E60" s="5" t="str">
        <f>IFERROR(__xludf.DUMMYFUNCTION(" GOOGLETRANSLATE(K60, ""th"", ""en"")"),"Adjusting the paddle position helps the boat to be more stable and competitive.")</f>
        <v>Adjusting the paddle position helps the boat to be more stable and competitive.</v>
      </c>
      <c r="G60" s="6">
        <v>59.0</v>
      </c>
      <c r="H60" s="7" t="s">
        <v>1405</v>
      </c>
      <c r="I60" s="7" t="s">
        <v>1406</v>
      </c>
      <c r="J60" s="7" t="s">
        <v>1407</v>
      </c>
      <c r="K60" s="7" t="s">
        <v>1408</v>
      </c>
    </row>
    <row r="61" ht="14.25" customHeight="1">
      <c r="A61" s="4">
        <v>60.0</v>
      </c>
      <c r="B61" s="5" t="str">
        <f>IFERROR(__xludf.DUMMYFUNCTION("GOOGLETRANSLATE(H61, ""th"", ""en"")
"),"During the competition, there is a problem with team coordination. What should you do?")</f>
        <v>During the competition, there is a problem with team coordination. What should you do?</v>
      </c>
      <c r="C61" s="5" t="str">
        <f>IFERROR(__xludf.DUMMYFUNCTION("GOOGLETRANSLATE(I61, ""th"", ""en"")
"),"A) Communicate and work together to solve problems; B) Let the team do its own thing; C) Blame teammates; D) Avoid talking about problems.")</f>
        <v>A) Communicate and work together to solve problems; B) Let the team do its own thing; C) Blame teammates; D) Avoid talking about problems.</v>
      </c>
      <c r="D61" s="5" t="str">
        <f>IFERROR(__xludf.DUMMYFUNCTION("GOOGLETRANSLATE(J61, ""th"", ""en"")
"),"A) Communicate and work together to solve problems.")</f>
        <v>A) Communicate and work together to solve problems.</v>
      </c>
      <c r="E61" s="5" t="str">
        <f>IFERROR(__xludf.DUMMYFUNCTION(" GOOGLETRANSLATE(K61, ""th"", ""en"")"),"Communication and collaboration help solve problems and increase team efficiency.")</f>
        <v>Communication and collaboration help solve problems and increase team efficiency.</v>
      </c>
      <c r="G61" s="6">
        <v>60.0</v>
      </c>
      <c r="H61" s="7" t="s">
        <v>1409</v>
      </c>
      <c r="I61" s="7" t="s">
        <v>1410</v>
      </c>
      <c r="J61" s="7" t="s">
        <v>1411</v>
      </c>
      <c r="K61" s="7" t="s">
        <v>1412</v>
      </c>
    </row>
    <row r="62" ht="14.25" customHeight="1">
      <c r="A62" s="4">
        <v>61.0</v>
      </c>
      <c r="B62" s="5" t="str">
        <f>IFERROR(__xludf.DUMMYFUNCTION("GOOGLETRANSLATE(H62, ""th"", ""en"")
"),"In a boat race, you find that your competitors are starting to make mistakes. What do you do?")</f>
        <v>In a boat race, you find that your competitors are starting to make mistakes. What do you do?</v>
      </c>
      <c r="C62" s="5" t="str">
        <f>IFERROR(__xludf.DUMMYFUNCTION("GOOGLETRANSLATE(I62, ""th"", ""en"")
"),"A) Use this opportunity to accelerate and score; B) Let your opponent make mistakes; C) Slow down and play safe; D) Avoid competition.")</f>
        <v>A) Use this opportunity to accelerate and score; B) Let your opponent make mistakes; C) Slow down and play safe; D) Avoid competition.</v>
      </c>
      <c r="D62" s="5" t="str">
        <f>IFERROR(__xludf.DUMMYFUNCTION("GOOGLETRANSLATE(J62, ""th"", ""en"")
"),"A) Use this opportunity to speed up and score.")</f>
        <v>A) Use this opportunity to speed up and score.</v>
      </c>
      <c r="E62" s="5" t="str">
        <f>IFERROR(__xludf.DUMMYFUNCTION(" GOOGLETRANSLATE(K62, ""th"", ""en"")"),"Using the opponent's mistakes as an opportunity gives the team an advantage.")</f>
        <v>Using the opponent's mistakes as an opportunity gives the team an advantage.</v>
      </c>
      <c r="G62" s="6">
        <v>61.0</v>
      </c>
      <c r="H62" s="7" t="s">
        <v>1413</v>
      </c>
      <c r="I62" s="7" t="s">
        <v>1414</v>
      </c>
      <c r="J62" s="7" t="s">
        <v>1415</v>
      </c>
      <c r="K62" s="7" t="s">
        <v>1416</v>
      </c>
    </row>
    <row r="63" ht="14.25" customHeight="1">
      <c r="A63" s="4">
        <v>62.0</v>
      </c>
      <c r="B63" s="5" t="str">
        <f>IFERROR(__xludf.DUMMYFUNCTION("GOOGLETRANSLATE(H63, ""th"", ""en"")
"),"Your team is experiencing fatigue. What should you do?")</f>
        <v>Your team is experiencing fatigue. What should you do?</v>
      </c>
      <c r="C63" s="5" t="str">
        <f>IFERROR(__xludf.DUMMYFUNCTION("GOOGLETRANSLATE(I63, ""th"", ""en"")
"),"A) motivate the team to regain energy; B) let the team do what is convenient; C) reduce effort and wait for the team to recover; D) stop rowing.")</f>
        <v>A) motivate the team to regain energy; B) let the team do what is convenient; C) reduce effort and wait for the team to recover; D) stop rowing.</v>
      </c>
      <c r="D63" s="5" t="str">
        <f>IFERROR(__xludf.DUMMYFUNCTION("GOOGLETRANSLATE(J63, ""th"", ""en"")
"),"A) Stimulate the team to regain energy.")</f>
        <v>A) Stimulate the team to regain energy.</v>
      </c>
      <c r="E63" s="5" t="str">
        <f>IFERROR(__xludf.DUMMYFUNCTION(" GOOGLETRANSLATE(K63, ""th"", ""en"")"),"Motivation and encouragement will help revitalize the team.")</f>
        <v>Motivation and encouragement will help revitalize the team.</v>
      </c>
      <c r="G63" s="6">
        <v>62.0</v>
      </c>
      <c r="H63" s="7" t="s">
        <v>1417</v>
      </c>
      <c r="I63" s="7" t="s">
        <v>1418</v>
      </c>
      <c r="J63" s="7" t="s">
        <v>1419</v>
      </c>
      <c r="K63" s="7" t="s">
        <v>1420</v>
      </c>
    </row>
    <row r="64" ht="14.25" customHeight="1">
      <c r="A64" s="4">
        <v>63.0</v>
      </c>
      <c r="B64" s="5" t="str">
        <f>IFERROR(__xludf.DUMMYFUNCTION("GOOGLETRANSLATE(H64, ""th"", ""en"")
"),"During the competition, you feel that you lack self-confidence. What should you do?")</f>
        <v>During the competition, you feel that you lack self-confidence. What should you do?</v>
      </c>
      <c r="C64" s="5" t="str">
        <f>IFERROR(__xludf.DUMMYFUNCTION("GOOGLETRANSLATE(I64, ""th"", ""en"")
"),"A) Take a moment to gather your confidence; B) Give up and stop paddling; C) Let your teammates handle it; D) Try to speed up your paddling.")</f>
        <v>A) Take a moment to gather your confidence; B) Give up and stop paddling; C) Let your teammates handle it; D) Try to speed up your paddling.</v>
      </c>
      <c r="D64" s="5" t="str">
        <f>IFERROR(__xludf.DUMMYFUNCTION("GOOGLETRANSLATE(J64, ""th"", ""en"")
"),"A) Take a moment to gather your confidence.")</f>
        <v>A) Take a moment to gather your confidence.</v>
      </c>
      <c r="E64" s="5" t="str">
        <f>IFERROR(__xludf.DUMMYFUNCTION(" GOOGLETRANSLATE(K64, ""th"", ""en"")"),"Building self-confidence improves your competitive performance.")</f>
        <v>Building self-confidence improves your competitive performance.</v>
      </c>
      <c r="G64" s="6">
        <v>63.0</v>
      </c>
      <c r="H64" s="7" t="s">
        <v>1421</v>
      </c>
      <c r="I64" s="7" t="s">
        <v>1422</v>
      </c>
      <c r="J64" s="7" t="s">
        <v>1423</v>
      </c>
      <c r="K64" s="7" t="s">
        <v>1424</v>
      </c>
    </row>
    <row r="65" ht="14.25" customHeight="1">
      <c r="A65" s="4">
        <v>64.0</v>
      </c>
      <c r="B65" s="5" t="str">
        <f>IFERROR(__xludf.DUMMYFUNCTION("GOOGLETRANSLATE(H65, ""th"", ""en"")
"),"You see that your ship is having speed problems, what do you do?")</f>
        <v>You see that your ship is having speed problems, what do you do?</v>
      </c>
      <c r="C65" s="5" t="str">
        <f>IFERROR(__xludf.DUMMYFUNCTION("GOOGLETRANSLATE(I65, ""th"", ""en"")
"),"A) Adjust your rowing form to be more efficient; B) Stop and ask the coach for help; C) Try to increase your speed without thinking about your rowing form; D) Let the team do their normal work.")</f>
        <v>A) Adjust your rowing form to be more efficient; B) Stop and ask the coach for help; C) Try to increase your speed without thinking about your rowing form; D) Let the team do their normal work.</v>
      </c>
      <c r="D65" s="5" t="str">
        <f>IFERROR(__xludf.DUMMYFUNCTION("GOOGLETRANSLATE(J65, ""th"", ""en"")
"),"A) Adjust the rowing position to be more efficient.")</f>
        <v>A) Adjust the rowing position to be more efficient.</v>
      </c>
      <c r="E65" s="5" t="str">
        <f>IFERROR(__xludf.DUMMYFUNCTION(" GOOGLETRANSLATE(K65, ""th"", ""en"")"),"Adjusting your paddle position can help you increase speed without risking injury.")</f>
        <v>Adjusting your paddle position can help you increase speed without risking injury.</v>
      </c>
      <c r="G65" s="6">
        <v>64.0</v>
      </c>
      <c r="H65" s="7" t="s">
        <v>1425</v>
      </c>
      <c r="I65" s="7" t="s">
        <v>1426</v>
      </c>
      <c r="J65" s="7" t="s">
        <v>1427</v>
      </c>
      <c r="K65" s="7" t="s">
        <v>1428</v>
      </c>
    </row>
    <row r="66" ht="14.25" customHeight="1">
      <c r="A66" s="4">
        <v>65.0</v>
      </c>
      <c r="B66" s="5" t="str">
        <f>IFERROR(__xludf.DUMMYFUNCTION("GOOGLETRANSLATE(H66, ""th"", ""en"")
"),"You feel like your team is losing focus in the match, what should you do?")</f>
        <v>You feel like your team is losing focus in the match, what should you do?</v>
      </c>
      <c r="C66" s="5" t="str">
        <f>IFERROR(__xludf.DUMMYFUNCTION("GOOGLETRANSLATE(I66, ""th"", ""en"")
"),"A) Help the team re-energize and refocus; B) Let the team solve their own problems; C) Reduce effort and wait for the game to end; D) Avoid triggering.")</f>
        <v>A) Help the team re-energize and refocus; B) Let the team solve their own problems; C) Reduce effort and wait for the game to end; D) Avoid triggering.</v>
      </c>
      <c r="D66" s="5" t="str">
        <f>IFERROR(__xludf.DUMMYFUNCTION("GOOGLETRANSLATE(J66, ""th"", ""en"")
"),"A) Help the team re-energize and refocus.")</f>
        <v>A) Help the team re-energize and refocus.</v>
      </c>
      <c r="E66" s="5" t="str">
        <f>IFERROR(__xludf.DUMMYFUNCTION(" GOOGLETRANSLATE(K66, ""th"", ""en"")"),"Reuniting and refocusing allows the team to get back in the game.")</f>
        <v>Reuniting and refocusing allows the team to get back in the game.</v>
      </c>
      <c r="G66" s="6">
        <v>65.0</v>
      </c>
      <c r="H66" s="7" t="s">
        <v>1429</v>
      </c>
      <c r="I66" s="7" t="s">
        <v>1430</v>
      </c>
      <c r="J66" s="7" t="s">
        <v>1431</v>
      </c>
      <c r="K66" s="7" t="s">
        <v>1432</v>
      </c>
    </row>
    <row r="67" ht="14.25" customHeight="1">
      <c r="A67" s="4">
        <v>66.0</v>
      </c>
      <c r="B67" s="5" t="str">
        <f>IFERROR(__xludf.DUMMYFUNCTION("GOOGLETRANSLATE(H67, ""th"", ""en"")
"),"In the middle of a match, you notice that your teammates are starting to get tired. What do you do?")</f>
        <v>In the middle of a match, you notice that your teammates are starting to get tired. What do you do?</v>
      </c>
      <c r="C67" s="5" t="str">
        <f>IFERROR(__xludf.DUMMYFUNCTION("GOOGLETRANSLATE(I67, ""th"", ""en"")
"),"A) Encourage him and ask him to relax; B) Let him try to continue on his own; C) Slow down so as not to tire; D) Try to row faster.")</f>
        <v>A) Encourage him and ask him to relax; B) Let him try to continue on his own; C) Slow down so as not to tire; D) Try to row faster.</v>
      </c>
      <c r="D67" s="5" t="str">
        <f>IFERROR(__xludf.DUMMYFUNCTION("GOOGLETRANSLATE(J67, ""th"", ""en"")
"),"A) Encourage him and ask him to relax.")</f>
        <v>A) Encourage him and ask him to relax.</v>
      </c>
      <c r="E67" s="5" t="str">
        <f>IFERROR(__xludf.DUMMYFUNCTION(" GOOGLETRANSLATE(K67, ""th"", ""en"")"),"Encouragement helps teammates regain their energy and confidence.")</f>
        <v>Encouragement helps teammates regain their energy and confidence.</v>
      </c>
      <c r="G67" s="6">
        <v>66.0</v>
      </c>
      <c r="H67" s="7" t="s">
        <v>1433</v>
      </c>
      <c r="I67" s="7" t="s">
        <v>1434</v>
      </c>
      <c r="J67" s="7" t="s">
        <v>1435</v>
      </c>
      <c r="K67" s="7" t="s">
        <v>1436</v>
      </c>
    </row>
    <row r="68" ht="14.25" customHeight="1">
      <c r="A68" s="4">
        <v>67.0</v>
      </c>
      <c r="B68" s="5" t="str">
        <f>IFERROR(__xludf.DUMMYFUNCTION("GOOGLETRANSLATE(H68, ""th"", ""en"")
"),"You feel like you're starting to make mistakes in the competition, what do you do?")</f>
        <v>You feel like you're starting to make mistakes in the competition, what do you do?</v>
      </c>
      <c r="C68" s="5" t="str">
        <f>IFERROR(__xludf.DUMMYFUNCTION("GOOGLETRANSLATE(I68, ""th"", ""en"")
"),"A) Apologize and try to fix the mistake; B) Avoid trying to improve; C) Blame your teammates; D) Give up and stop the game.")</f>
        <v>A) Apologize and try to fix the mistake; B) Avoid trying to improve; C) Blame your teammates; D) Give up and stop the game.</v>
      </c>
      <c r="D68" s="5" t="str">
        <f>IFERROR(__xludf.DUMMYFUNCTION("GOOGLETRANSLATE(J68, ""th"", ""en"")
"),"A) Apologize and try to fix the mistake.")</f>
        <v>A) Apologize and try to fix the mistake.</v>
      </c>
      <c r="E68" s="5" t="str">
        <f>IFERROR(__xludf.DUMMYFUNCTION(" GOOGLETRANSLATE(K68, ""th"", ""en"")"),"Admitting and correcting mistakes helps build trust within the team.")</f>
        <v>Admitting and correcting mistakes helps build trust within the team.</v>
      </c>
      <c r="G68" s="6">
        <v>67.0</v>
      </c>
      <c r="H68" s="7" t="s">
        <v>1437</v>
      </c>
      <c r="I68" s="7" t="s">
        <v>1438</v>
      </c>
      <c r="J68" s="7" t="s">
        <v>1439</v>
      </c>
      <c r="K68" s="7" t="s">
        <v>1440</v>
      </c>
    </row>
    <row r="69" ht="14.25" customHeight="1">
      <c r="A69" s="4">
        <v>68.0</v>
      </c>
      <c r="B69" s="5" t="str">
        <f>IFERROR(__xludf.DUMMYFUNCTION("GOOGLETRANSLATE(H69, ""th"", ""en"")
"),"The boat race is reaching its most challenging stage. What will you do?")</f>
        <v>The boat race is reaching its most challenging stage. What will you do?</v>
      </c>
      <c r="C69" s="5" t="str">
        <f>IFERROR(__xludf.DUMMYFUNCTION("GOOGLETRANSLATE(I69, ""th"", ""en"")
"),"A) Maintain focus and follow the strategy; B) Quickly accelerate to escape the situation; C) Avoid increasing effort; D) Stop paddling.")</f>
        <v>A) Maintain focus and follow the strategy; B) Quickly accelerate to escape the situation; C) Avoid increasing effort; D) Stop paddling.</v>
      </c>
      <c r="D69" s="5" t="str">
        <f>IFERROR(__xludf.DUMMYFUNCTION("GOOGLETRANSLATE(J69, ""th"", ""en"")
"),"A) Stay focused and follow the strategy.")</f>
        <v>A) Stay focused and follow the strategy.</v>
      </c>
      <c r="E69" s="5" t="str">
        <f>IFERROR(__xludf.DUMMYFUNCTION(" GOOGLETRANSLATE(K69, ""th"", ""en"")"),"Maintaining focus and following a strategy allows the team to face challenging situations.")</f>
        <v>Maintaining focus and following a strategy allows the team to face challenging situations.</v>
      </c>
      <c r="G69" s="6">
        <v>68.0</v>
      </c>
      <c r="H69" s="7" t="s">
        <v>1441</v>
      </c>
      <c r="I69" s="7" t="s">
        <v>1442</v>
      </c>
      <c r="J69" s="7" t="s">
        <v>1443</v>
      </c>
      <c r="K69" s="7" t="s">
        <v>1444</v>
      </c>
    </row>
    <row r="70" ht="14.25" customHeight="1">
      <c r="A70" s="4">
        <v>69.0</v>
      </c>
      <c r="B70" s="5" t="str">
        <f>IFERROR(__xludf.DUMMYFUNCTION("GOOGLETRANSLATE(H70, ""th"", ""en"")
"),"You see your teammate looking unsure about his rowing, what do you do?")</f>
        <v>You see your teammate looking unsure about his rowing, what do you do?</v>
      </c>
      <c r="C70" s="5" t="str">
        <f>IFERROR(__xludf.DUMMYFUNCTION("GOOGLETRANSLATE(I70, ""th"", ""en"")
"),"A) Talk to him and give him advice to boost his confidence; B) Let him handle his insecurities on his own; C) Avoid talking about them; D) Reduce his competitiveness.")</f>
        <v>A) Talk to him and give him advice to boost his confidence; B) Let him handle his insecurities on his own; C) Avoid talking about them; D) Reduce his competitiveness.</v>
      </c>
      <c r="D70" s="5" t="str">
        <f>IFERROR(__xludf.DUMMYFUNCTION("GOOGLETRANSLATE(J70, ""th"", ""en"")
"),"A) Talk and give advice to increase confidence.")</f>
        <v>A) Talk and give advice to increase confidence.</v>
      </c>
      <c r="E70" s="5" t="str">
        <f>IFERROR(__xludf.DUMMYFUNCTION(" GOOGLETRANSLATE(K70, ""th"", ""en"")"),"Supporting and assisting teammates builds confidence in the competition.")</f>
        <v>Supporting and assisting teammates builds confidence in the competition.</v>
      </c>
      <c r="G70" s="6">
        <v>69.0</v>
      </c>
      <c r="H70" s="7" t="s">
        <v>1445</v>
      </c>
      <c r="I70" s="7" t="s">
        <v>1446</v>
      </c>
      <c r="J70" s="7" t="s">
        <v>1447</v>
      </c>
      <c r="K70" s="7" t="s">
        <v>1448</v>
      </c>
    </row>
    <row r="71" ht="14.25" customHeight="1">
      <c r="A71" s="4">
        <v>70.0</v>
      </c>
      <c r="B71" s="5" t="str">
        <f>IFERROR(__xludf.DUMMYFUNCTION("GOOGLETRANSLATE(H71, ""th"", ""en"")
"),"You want to change your rowing strategy, but your team doesn't agree. What should you do?")</f>
        <v>You want to change your rowing strategy, but your team doesn't agree. What should you do?</v>
      </c>
      <c r="C71" s="5" t="str">
        <f>IFERROR(__xludf.DUMMYFUNCTION("GOOGLETRANSLATE(I71, ""th"", ""en"")
"),"A) Explain the rationale and work together to make adjustments; B) Accept and stick with the original strategy; C) Let the team make their own decisions; D) Avoid discussing the issue.")</f>
        <v>A) Explain the rationale and work together to make adjustments; B) Accept and stick with the original strategy; C) Let the team make their own decisions; D) Avoid discussing the issue.</v>
      </c>
      <c r="D71" s="5" t="str">
        <f>IFERROR(__xludf.DUMMYFUNCTION("GOOGLETRANSLATE(J71, ""th"", ""en"")
"),"A) Explain the reasons and work together to make changes.")</f>
        <v>A) Explain the reasons and work together to make changes.</v>
      </c>
      <c r="E71" s="5" t="str">
        <f>IFERROR(__xludf.DUMMYFUNCTION(" GOOGLETRANSLATE(K71, ""th"", ""en"")"),"Explaining the reasons and working together makes strategy adjustments effective.")</f>
        <v>Explaining the reasons and working together makes strategy adjustments effective.</v>
      </c>
      <c r="G71" s="6">
        <v>70.0</v>
      </c>
      <c r="H71" s="7" t="s">
        <v>1449</v>
      </c>
      <c r="I71" s="7" t="s">
        <v>1450</v>
      </c>
      <c r="J71" s="7" t="s">
        <v>1451</v>
      </c>
      <c r="K71" s="7" t="s">
        <v>1452</v>
      </c>
    </row>
    <row r="72" ht="14.25" customHeight="1">
      <c r="A72" s="4">
        <v>71.0</v>
      </c>
      <c r="B72" s="5" t="str">
        <f>IFERROR(__xludf.DUMMYFUNCTION("GOOGLETRANSLATE(H72, ""th"", ""en"")
"),"During the competition, you feel that the coordination in the team is not as good as it should be. What should you do?")</f>
        <v>During the competition, you feel that the coordination in the team is not as good as it should be. What should you do?</v>
      </c>
      <c r="C72" s="5" t="str">
        <f>IFERROR(__xludf.DUMMYFUNCTION("GOOGLETRANSLATE(I72, ""th"", ""en"")
"),"A) Try to communicate and improve coordination; B) Let the team do its own thing; C) Avoid talking about it; D) Reduce the effort to compete.")</f>
        <v>A) Try to communicate and improve coordination; B) Let the team do its own thing; C) Avoid talking about it; D) Reduce the effort to compete.</v>
      </c>
      <c r="D72" s="5" t="str">
        <f>IFERROR(__xludf.DUMMYFUNCTION("GOOGLETRANSLATE(J72, ""th"", ""en"")
"),"A) Try to communicate and improve coordination.")</f>
        <v>A) Try to communicate and improve coordination.</v>
      </c>
      <c r="E72" s="5" t="str">
        <f>IFERROR(__xludf.DUMMYFUNCTION(" GOOGLETRANSLATE(K72, ""th"", ""en"")"),"Good communication helps improve team coordination and competitiveness.")</f>
        <v>Good communication helps improve team coordination and competitiveness.</v>
      </c>
      <c r="G72" s="6">
        <v>71.0</v>
      </c>
      <c r="H72" s="7" t="s">
        <v>1453</v>
      </c>
      <c r="I72" s="7" t="s">
        <v>1454</v>
      </c>
      <c r="J72" s="7" t="s">
        <v>1455</v>
      </c>
      <c r="K72" s="7" t="s">
        <v>1456</v>
      </c>
    </row>
    <row r="73" ht="14.25" customHeight="1">
      <c r="A73" s="4">
        <v>72.0</v>
      </c>
      <c r="B73" s="5" t="str">
        <f>IFERROR(__xludf.DUMMYFUNCTION("GOOGLETRANSLATE(H73, ""th"", ""en"")
"),"During the competition, you feel like you are losing confidence in your skills. What should you do?")</f>
        <v>During the competition, you feel like you are losing confidence in your skills. What should you do?</v>
      </c>
      <c r="C73" s="5" t="str">
        <f>IFERROR(__xludf.DUMMYFUNCTION("GOOGLETRANSLATE(I73, ""th"", ""en"")
"),"A) Go back and review the practice and keep relenting; B) Stop and let the team do the work; C) Let insecurity affect the performance; D) Avoid trying to improve.")</f>
        <v>A) Go back and review the practice and keep relenting; B) Stop and let the team do the work; C) Let insecurity affect the performance; D) Avoid trying to improve.</v>
      </c>
      <c r="D73" s="5" t="str">
        <f>IFERROR(__xludf.DUMMYFUNCTION("GOOGLETRANSLATE(J73, ""th"", ""en"")
"),"A) Review your training and stay focused.")</f>
        <v>A) Review your training and stay focused.</v>
      </c>
      <c r="E73" s="5" t="str">
        <f>IFERROR(__xludf.DUMMYFUNCTION(" GOOGLETRANSLATE(K73, ""th"", ""en"")"),"Reviewing your training sessions helps increase confidence and performance.")</f>
        <v>Reviewing your training sessions helps increase confidence and performance.</v>
      </c>
      <c r="G73" s="6">
        <v>72.0</v>
      </c>
      <c r="H73" s="7" t="s">
        <v>1457</v>
      </c>
      <c r="I73" s="7" t="s">
        <v>1458</v>
      </c>
      <c r="J73" s="7" t="s">
        <v>1459</v>
      </c>
      <c r="K73" s="7" t="s">
        <v>1460</v>
      </c>
    </row>
    <row r="74" ht="14.25" customHeight="1">
      <c r="A74" s="4">
        <v>73.0</v>
      </c>
      <c r="B74" s="5" t="str">
        <f>IFERROR(__xludf.DUMMYFUNCTION("GOOGLETRANSLATE(H74, ""th"", ""en"")
"),"Your team is facing a stressful situation. What will you do?")</f>
        <v>Your team is facing a stressful situation. What will you do?</v>
      </c>
      <c r="C74" s="5" t="str">
        <f>IFERROR(__xludf.DUMMYFUNCTION("GOOGLETRANSLATE(I74, ""th"", ""en"")
"),"A) Calm the team and encourage them to work together; B) Avoid talking about the situation; C) Reduce effort and wait for the situation to end; D) Blame a teammate.")</f>
        <v>A) Calm the team and encourage them to work together; B) Avoid talking about the situation; C) Reduce effort and wait for the situation to end; D) Blame a teammate.</v>
      </c>
      <c r="D74" s="5" t="str">
        <f>IFERROR(__xludf.DUMMYFUNCTION("GOOGLETRANSLATE(J74, ""th"", ""en"")
"),"A) Calm the team and encourage them to work together.")</f>
        <v>A) Calm the team and encourage them to work together.</v>
      </c>
      <c r="E74" s="5" t="str">
        <f>IFERROR(__xludf.DUMMYFUNCTION(" GOOGLETRANSLATE(K74, ""th"", ""en"")"),"Keeping the team calm helps them navigate stressful situations.")</f>
        <v>Keeping the team calm helps them navigate stressful situations.</v>
      </c>
      <c r="G74" s="6">
        <v>73.0</v>
      </c>
      <c r="H74" s="7" t="s">
        <v>1461</v>
      </c>
      <c r="I74" s="7" t="s">
        <v>1462</v>
      </c>
      <c r="J74" s="7" t="s">
        <v>1463</v>
      </c>
      <c r="K74" s="7" t="s">
        <v>1464</v>
      </c>
    </row>
    <row r="75" ht="14.25" customHeight="1">
      <c r="A75" s="4">
        <v>74.0</v>
      </c>
      <c r="B75" s="5" t="str">
        <f>IFERROR(__xludf.DUMMYFUNCTION("GOOGLETRANSLATE(H75, ""th"", ""en"")
"),"You feel like your boat has too much drag, what should you do?")</f>
        <v>You feel like your boat has too much drag, what should you do?</v>
      </c>
      <c r="C75" s="5" t="str">
        <f>IFERROR(__xludf.DUMMYFUNCTION("GOOGLETRANSLATE(I75, ""th"", ""en"")
"),"A) Adjust your paddling motion to suit the resistance; B) Try to paddle faster to overcome the resistance; C) Stop paddling immediately; D) Let it happen naturally.")</f>
        <v>A) Adjust your paddling motion to suit the resistance; B) Try to paddle faster to overcome the resistance; C) Stop paddling immediately; D) Let it happen naturally.</v>
      </c>
      <c r="D75" s="5" t="str">
        <f>IFERROR(__xludf.DUMMYFUNCTION("GOOGLETRANSLATE(J75, ""th"", ""en"")
"),"A) Adjust the paddling to suit the resistance.")</f>
        <v>A) Adjust the paddling to suit the resistance.</v>
      </c>
      <c r="E75" s="5" t="str">
        <f>IFERROR(__xludf.DUMMYFUNCTION(" GOOGLETRANSLATE(K75, ""th"", ""en"")"),"Adjusting your paddling strategy can help you overcome resistance.")</f>
        <v>Adjusting your paddling strategy can help you overcome resistance.</v>
      </c>
      <c r="G75" s="6">
        <v>74.0</v>
      </c>
      <c r="H75" s="7" t="s">
        <v>1465</v>
      </c>
      <c r="I75" s="7" t="s">
        <v>1466</v>
      </c>
      <c r="J75" s="7" t="s">
        <v>1467</v>
      </c>
      <c r="K75" s="7" t="s">
        <v>1468</v>
      </c>
    </row>
    <row r="76" ht="14.25" customHeight="1">
      <c r="A76" s="4">
        <v>75.0</v>
      </c>
      <c r="B76" s="5" t="str">
        <f>IFERROR(__xludf.DUMMYFUNCTION("GOOGLETRANSLATE(H76, ""th"", ""en"")
"),"During a match, you find that your team is getting tired quickly. What do you do?")</f>
        <v>During a match, you find that your team is getting tired quickly. What do you do?</v>
      </c>
      <c r="C76" s="5" t="str">
        <f>IFERROR(__xludf.DUMMYFUNCTION("GOOGLETRANSLATE(I76, ""th"", ""en"")
"),"A) Encourage the team to regain energy and keep fighting; B) Avoid encouraging and let everyone do their normal routine; C) Reduce effort and wait for the race to end; D) Stop rowing.")</f>
        <v>A) Encourage the team to regain energy and keep fighting; B) Avoid encouraging and let everyone do their normal routine; C) Reduce effort and wait for the race to end; D) Stop rowing.</v>
      </c>
      <c r="D76" s="5" t="str">
        <f>IFERROR(__xludf.DUMMYFUNCTION("GOOGLETRANSLATE(J76, ""th"", ""en"")
"),"A) Stimulate the team to recover and continue fighting.")</f>
        <v>A) Stimulate the team to recover and continue fighting.</v>
      </c>
      <c r="E76" s="5" t="str">
        <f>IFERROR(__xludf.DUMMYFUNCTION(" GOOGLETRANSLATE(K76, ""th"", ""en"")"),"Stimulation and rejuvenation help the team compete until the end.")</f>
        <v>Stimulation and rejuvenation help the team compete until the end.</v>
      </c>
      <c r="G76" s="6">
        <v>75.0</v>
      </c>
      <c r="H76" s="7" t="s">
        <v>1469</v>
      </c>
      <c r="I76" s="7" t="s">
        <v>1470</v>
      </c>
      <c r="J76" s="7" t="s">
        <v>1471</v>
      </c>
      <c r="K76" s="7" t="s">
        <v>1472</v>
      </c>
    </row>
    <row r="77" ht="14.25" customHeight="1">
      <c r="A77" s="4">
        <v>76.0</v>
      </c>
      <c r="B77" s="5" t="str">
        <f>IFERROR(__xludf.DUMMYFUNCTION("GOOGLETRANSLATE(H77, ""th"", ""en"")
"),"The race is approaching its final stretch. What can you do to increase your speed?")</f>
        <v>The race is approaching its final stretch. What can you do to increase your speed?</v>
      </c>
      <c r="C77" s="5" t="str">
        <f>IFERROR(__xludf.DUMMYFUNCTION("GOOGLETRANSLATE(I77, ""th"", ""en"")
"),"A) Increase effort and paddle as fast as possible; B) Decrease effort and maintain stability; C) Try to keep the team at the same pace; D) Avoid increasing speed.")</f>
        <v>A) Increase effort and paddle as fast as possible; B) Decrease effort and maintain stability; C) Try to keep the team at the same pace; D) Avoid increasing speed.</v>
      </c>
      <c r="D77" s="5" t="str">
        <f>IFERROR(__xludf.DUMMYFUNCTION("GOOGLETRANSLATE(J77, ""th"", ""en"")
"),"A) Increase your effort and row as fast as you can.")</f>
        <v>A) Increase your effort and row as fast as you can.</v>
      </c>
      <c r="E77" s="5" t="str">
        <f>IFERROR(__xludf.DUMMYFUNCTION(" GOOGLETRANSLATE(K77, ""th"", ""en"")"),"Increasing your late efforts allows your team to score more points.")</f>
        <v>Increasing your late efforts allows your team to score more points.</v>
      </c>
      <c r="G77" s="6">
        <v>76.0</v>
      </c>
      <c r="H77" s="7" t="s">
        <v>1473</v>
      </c>
      <c r="I77" s="7" t="s">
        <v>1474</v>
      </c>
      <c r="J77" s="7" t="s">
        <v>1475</v>
      </c>
      <c r="K77" s="7" t="s">
        <v>1476</v>
      </c>
    </row>
    <row r="78" ht="14.25" customHeight="1">
      <c r="A78" s="4">
        <v>77.0</v>
      </c>
      <c r="B78" s="5" t="str">
        <f>IFERROR(__xludf.DUMMYFUNCTION("GOOGLETRANSLATE(H78, ""th"", ""en"")
"),"You see your teammates getting tired towards the end, what do you do?")</f>
        <v>You see your teammates getting tired towards the end, what do you do?</v>
      </c>
      <c r="C78" s="5" t="str">
        <f>IFERROR(__xludf.DUMMYFUNCTION("GOOGLETRANSLATE(I78, ""th"", ""en"")
"),"A) Encourage him to relax and offer encouragement; B) Let him rest as needed; C) Reduce his effort and wait for the race to end; D) Try to row faster.")</f>
        <v>A) Encourage him to relax and offer encouragement; B) Let him rest as needed; C) Reduce his effort and wait for the race to end; D) Try to row faster.</v>
      </c>
      <c r="D78" s="5" t="str">
        <f>IFERROR(__xludf.DUMMYFUNCTION("GOOGLETRANSLATE(J78, ""th"", ""en"")
"),"A) Encourage him to relax and be encouraging.")</f>
        <v>A) Encourage him to relax and be encouraging.</v>
      </c>
      <c r="E78" s="5" t="str">
        <f>IFERROR(__xludf.DUMMYFUNCTION(" GOOGLETRANSLATE(K78, ""th"", ""en"")"),"Motivation helps teammates recharge and work better together.")</f>
        <v>Motivation helps teammates recharge and work better together.</v>
      </c>
      <c r="G78" s="6">
        <v>77.0</v>
      </c>
      <c r="H78" s="7" t="s">
        <v>1477</v>
      </c>
      <c r="I78" s="7" t="s">
        <v>1478</v>
      </c>
      <c r="J78" s="7" t="s">
        <v>1479</v>
      </c>
      <c r="K78" s="7" t="s">
        <v>1480</v>
      </c>
    </row>
    <row r="79" ht="14.25" customHeight="1">
      <c r="A79" s="4">
        <v>78.0</v>
      </c>
      <c r="B79" s="5" t="str">
        <f>IFERROR(__xludf.DUMMYFUNCTION("GOOGLETRANSLATE(H79, ""th"", ""en"")
"),"During the match, you notice your opponent using a new strategy. What do you do?")</f>
        <v>During the match, you notice your opponent using a new strategy. What do you do?</v>
      </c>
      <c r="C79" s="5" t="str">
        <f>IFERROR(__xludf.DUMMYFUNCTION("GOOGLETRANSLATE(I79, ""th"", ""en"")
"),"A) Adjust your strategy to counter; B) Let competitors follow their own strategy; C) Avoid changing strategies; D) Reduce your competitive effort.")</f>
        <v>A) Adjust your strategy to counter; B) Let competitors follow their own strategy; C) Avoid changing strategies; D) Reduce your competitive effort.</v>
      </c>
      <c r="D79" s="5" t="str">
        <f>IFERROR(__xludf.DUMMYFUNCTION("GOOGLETRANSLATE(J79, ""th"", ""en"")
"),"A) Adjust your strategy to counter it.")</f>
        <v>A) Adjust your strategy to counter it.</v>
      </c>
      <c r="E79" s="5" t="str">
        <f>IFERROR(__xludf.DUMMYFUNCTION(" GOOGLETRANSLATE(K79, ""th"", ""en"")"),"Adapting strategies to the situation allows the team to beat the opponent.")</f>
        <v>Adapting strategies to the situation allows the team to beat the opponent.</v>
      </c>
      <c r="G79" s="6">
        <v>78.0</v>
      </c>
      <c r="H79" s="7" t="s">
        <v>1481</v>
      </c>
      <c r="I79" s="7" t="s">
        <v>1482</v>
      </c>
      <c r="J79" s="7" t="s">
        <v>1483</v>
      </c>
      <c r="K79" s="7" t="s">
        <v>1484</v>
      </c>
    </row>
    <row r="80" ht="14.25" customHeight="1">
      <c r="A80" s="4">
        <v>79.0</v>
      </c>
      <c r="B80" s="5" t="str">
        <f>IFERROR(__xludf.DUMMYFUNCTION("GOOGLETRANSLATE(H80, ""th"", ""en"")
"),"During the race, you find that your boat is starting to have stability problems. What do you do?")</f>
        <v>During the race, you find that your boat is starting to have stability problems. What do you do?</v>
      </c>
      <c r="C80" s="5" t="str">
        <f>IFERROR(__xludf.DUMMYFUNCTION("GOOGLETRANSLATE(I80, ""th"", ""en"")
"),"A) Adjust your paddle and find a solution to make the boat more stable; B) Try to paddle faster; C) Stop paddling and ask for help; D) Let the boat go on its way.")</f>
        <v>A) Adjust your paddle and find a solution to make the boat more stable; B) Try to paddle faster; C) Stop paddling and ask for help; D) Let the boat go on its way.</v>
      </c>
      <c r="D80" s="5" t="str">
        <f>IFERROR(__xludf.DUMMYFUNCTION("GOOGLETRANSLATE(J80, ""th"", ""en"")
"),"A) Adjust the paddle position and find solutions to make the boat more stable.")</f>
        <v>A) Adjust the paddle position and find solutions to make the boat more stable.</v>
      </c>
      <c r="E80" s="5" t="str">
        <f>IFERROR(__xludf.DUMMYFUNCTION(" GOOGLETRANSLATE(K80, ""th"", ""en"")"),"Adjusting the paddle position helps the boat to be stable and maintain speed.")</f>
        <v>Adjusting the paddle position helps the boat to be stable and maintain speed.</v>
      </c>
      <c r="G80" s="6">
        <v>79.0</v>
      </c>
      <c r="H80" s="7" t="s">
        <v>1485</v>
      </c>
      <c r="I80" s="7" t="s">
        <v>1486</v>
      </c>
      <c r="J80" s="7" t="s">
        <v>1487</v>
      </c>
      <c r="K80" s="7" t="s">
        <v>1488</v>
      </c>
    </row>
    <row r="81" ht="14.25" customHeight="1">
      <c r="A81" s="4">
        <v>80.0</v>
      </c>
      <c r="B81" s="5" t="str">
        <f>IFERROR(__xludf.DUMMYFUNCTION("GOOGLETRANSLATE(H81, ""th"", ""en"")
"),"You feel like your team lacks unity. What should you do?")</f>
        <v>You feel like your team lacks unity. What should you do?</v>
      </c>
      <c r="C81" s="5" t="str">
        <f>IFERROR(__xludf.DUMMYFUNCTION("GOOGLETRANSLATE(I81, ""th"", ""en"")
"),"A) Communicate and work together to build unity; B) Let the team work its own way; C) Reduce effort and wait for the game to end; D) Avoid talking about problems.")</f>
        <v>A) Communicate and work together to build unity; B) Let the team work its own way; C) Reduce effort and wait for the game to end; D) Avoid talking about problems.</v>
      </c>
      <c r="D81" s="5" t="str">
        <f>IFERROR(__xludf.DUMMYFUNCTION("GOOGLETRANSLATE(J81, ""th"", ""en"")
"),"A) Communicate and work together to strengthen unity.")</f>
        <v>A) Communicate and work together to strengthen unity.</v>
      </c>
      <c r="E81" s="5" t="str">
        <f>IFERROR(__xludf.DUMMYFUNCTION(" GOOGLETRANSLATE(K81, ""th"", ""en"")"),"Collaboration and communication help build team unity.")</f>
        <v>Collaboration and communication help build team unity.</v>
      </c>
      <c r="G81" s="6">
        <v>80.0</v>
      </c>
      <c r="H81" s="7" t="s">
        <v>1489</v>
      </c>
      <c r="I81" s="7" t="s">
        <v>1490</v>
      </c>
      <c r="J81" s="7" t="s">
        <v>1491</v>
      </c>
      <c r="K81" s="7" t="s">
        <v>1492</v>
      </c>
    </row>
    <row r="82" ht="14.25" customHeight="1">
      <c r="A82" s="4">
        <v>81.0</v>
      </c>
      <c r="B82" s="5" t="str">
        <f>IFERROR(__xludf.DUMMYFUNCTION("GOOGLETRANSLATE(H82, ""th"", ""en"")
"),"You notice that there is a mistake in your rowing position. What do you do?")</f>
        <v>You notice that there is a mistake in your rowing position. What do you do?</v>
      </c>
      <c r="C82" s="5" t="str">
        <f>IFERROR(__xludf.DUMMYFUNCTION("GOOGLETRANSLATE(I82, ""th"", ""en"")
"),"A) Adjust your paddle form and try again; B) Avoid adjusting your paddle form and continue paddling; C) Reduce your speed; D) Inform your instructor.")</f>
        <v>A) Adjust your paddle form and try again; B) Avoid adjusting your paddle form and continue paddling; C) Reduce your speed; D) Inform your instructor.</v>
      </c>
      <c r="D82" s="5" t="str">
        <f>IFERROR(__xludf.DUMMYFUNCTION("GOOGLETRANSLATE(J82, ""th"", ""en"")
"),"A) Adjust your paddle position and try again.")</f>
        <v>A) Adjust your paddle position and try again.</v>
      </c>
      <c r="E82" s="5" t="str">
        <f>IFERROR(__xludf.DUMMYFUNCTION(" GOOGLETRANSLATE(K82, ""th"", ""en"")"),"Adjusting your rowing position allows you to improve your efficiency and speed.")</f>
        <v>Adjusting your rowing position allows you to improve your efficiency and speed.</v>
      </c>
      <c r="G82" s="6">
        <v>81.0</v>
      </c>
      <c r="H82" s="7" t="s">
        <v>1493</v>
      </c>
      <c r="I82" s="7" t="s">
        <v>1494</v>
      </c>
      <c r="J82" s="7" t="s">
        <v>1495</v>
      </c>
      <c r="K82" s="7" t="s">
        <v>1496</v>
      </c>
    </row>
    <row r="83" ht="14.25" customHeight="1">
      <c r="A83" s="4">
        <v>82.0</v>
      </c>
      <c r="B83" s="5" t="str">
        <f>IFERROR(__xludf.DUMMYFUNCTION("GOOGLETRANSLATE(H83, ""th"", ""en"")
"),"You find your boat is starting to lose balance during a race, what do you do?")</f>
        <v>You find your boat is starting to lose balance during a race, what do you do?</v>
      </c>
      <c r="C83" s="5" t="str">
        <f>IFERROR(__xludf.DUMMYFUNCTION("GOOGLETRANSLATE(I83, ""th"", ""en"")
"),"A) Adjust the paddle position to increase stability; B) Try to paddle faster without considering stability; C) Stop paddling; D) Order the team to make a balance adjustment.")</f>
        <v>A) Adjust the paddle position to increase stability; B) Try to paddle faster without considering stability; C) Stop paddling; D) Order the team to make a balance adjustment.</v>
      </c>
      <c r="D83" s="5" t="str">
        <f>IFERROR(__xludf.DUMMYFUNCTION("GOOGLETRANSLATE(J83, ""th"", ""en"")
"),"A) Adjust the rowing position to increase stability.")</f>
        <v>A) Adjust the rowing position to increase stability.</v>
      </c>
      <c r="E83" s="5" t="str">
        <f>IFERROR(__xludf.DUMMYFUNCTION(" GOOGLETRANSLATE(K83, ""th"", ""en"")"),"Adjusting the paddle position helps to improve stability and control of the boat.")</f>
        <v>Adjusting the paddle position helps to improve stability and control of the boat.</v>
      </c>
      <c r="G83" s="6">
        <v>82.0</v>
      </c>
      <c r="H83" s="7" t="s">
        <v>1497</v>
      </c>
      <c r="I83" s="7" t="s">
        <v>1498</v>
      </c>
      <c r="J83" s="7" t="s">
        <v>1499</v>
      </c>
      <c r="K83" s="7" t="s">
        <v>1500</v>
      </c>
    </row>
    <row r="84" ht="14.25" customHeight="1">
      <c r="A84" s="4">
        <v>83.0</v>
      </c>
      <c r="B84" s="5" t="str">
        <f>IFERROR(__xludf.DUMMYFUNCTION("GOOGLETRANSLATE(H84, ""th"", ""en"")
"),"Your team starts to lose motivation during the match. What do you do?")</f>
        <v>Your team starts to lose motivation during the match. What do you do?</v>
      </c>
      <c r="C84" s="5" t="str">
        <f>IFERROR(__xludf.DUMMYFUNCTION("GOOGLETRANSLATE(I84, ""th"", ""en"")
"),"A) Motivate the team and work together to recharge; B) Let the team try to do it themselves; C) Reduce effort and play passively; D) Avoid talking about the issue.")</f>
        <v>A) Motivate the team and work together to recharge; B) Let the team try to do it themselves; C) Reduce effort and play passively; D) Avoid talking about the issue.</v>
      </c>
      <c r="D84" s="5" t="str">
        <f>IFERROR(__xludf.DUMMYFUNCTION("GOOGLETRANSLATE(J84, ""th"", ""en"")
"),"A) Motivate the team and work together to revitalize.")</f>
        <v>A) Motivate the team and work together to revitalize.</v>
      </c>
      <c r="E84" s="5" t="str">
        <f>IFERROR(__xludf.DUMMYFUNCTION(" GOOGLETRANSLATE(K84, ""th"", ""en"")"),"Motivating your team will help them regain their energy and be able to work effectively.")</f>
        <v>Motivating your team will help them regain their energy and be able to work effectively.</v>
      </c>
      <c r="G84" s="6">
        <v>83.0</v>
      </c>
      <c r="H84" s="7" t="s">
        <v>1501</v>
      </c>
      <c r="I84" s="7" t="s">
        <v>1502</v>
      </c>
      <c r="J84" s="7" t="s">
        <v>1503</v>
      </c>
      <c r="K84" s="7" t="s">
        <v>1504</v>
      </c>
    </row>
    <row r="85" ht="14.25" customHeight="1">
      <c r="A85" s="4">
        <v>84.0</v>
      </c>
      <c r="B85" s="5" t="str">
        <f>IFERROR(__xludf.DUMMYFUNCTION("GOOGLETRANSLATE(H85, ""th"", ""en"")
"),"During the match, you see that your team is not coordinating well. What will you do?")</f>
        <v>During the match, you see that your team is not coordinating well. What will you do?</v>
      </c>
      <c r="C85" s="5" t="str">
        <f>IFERROR(__xludf.DUMMYFUNCTION("GOOGLETRANSLATE(I85, ""th"", ""en"")
"),"A) Communicate and coordinate; B) Let the team do its own thing; C) Avoid communicating to avoid conflict; D) Reduce competitive effort.")</f>
        <v>A) Communicate and coordinate; B) Let the team do its own thing; C) Avoid communicating to avoid conflict; D) Reduce competitive effort.</v>
      </c>
      <c r="D85" s="5" t="str">
        <f>IFERROR(__xludf.DUMMYFUNCTION("GOOGLETRANSLATE(J85, ""th"", ""en"")
"),"A) Communicate and coordinate.")</f>
        <v>A) Communicate and coordinate.</v>
      </c>
      <c r="E85" s="5" t="str">
        <f>IFERROR(__xludf.DUMMYFUNCTION(" GOOGLETRANSLATE(K85, ""th"", ""en"")"),"Communication and collaboration will help your team be more effective in the competition.")</f>
        <v>Communication and collaboration will help your team be more effective in the competition.</v>
      </c>
      <c r="G85" s="6">
        <v>84.0</v>
      </c>
      <c r="H85" s="7" t="s">
        <v>1505</v>
      </c>
      <c r="I85" s="7" t="s">
        <v>1506</v>
      </c>
      <c r="J85" s="7" t="s">
        <v>1507</v>
      </c>
      <c r="K85" s="7" t="s">
        <v>1508</v>
      </c>
    </row>
    <row r="86" ht="14.25" customHeight="1">
      <c r="A86" s="4">
        <v>85.0</v>
      </c>
      <c r="B86" s="5" t="str">
        <f>IFERROR(__xludf.DUMMYFUNCTION("GOOGLETRANSLATE(H86, ""th"", ""en"")
"),"You feel like your boat is starting to slow down compared to your competitors, what do you do?")</f>
        <v>You feel like your boat is starting to slow down compared to your competitors, what do you do?</v>
      </c>
      <c r="C86" s="5" t="str">
        <f>IFERROR(__xludf.DUMMYFUNCTION("GOOGLETRANSLATE(I86, ""th"", ""en"")
"),"A) Adjust your paddle and try to increase your speed; B) Stop paddling to assess the situation; C) Reduce your effort and wait for your opponent to make a mistake; D) Let the boat move along its course.")</f>
        <v>A) Adjust your paddle and try to increase your speed; B) Stop paddling to assess the situation; C) Reduce your effort and wait for your opponent to make a mistake; D) Let the boat move along its course.</v>
      </c>
      <c r="D86" s="5" t="str">
        <f>IFERROR(__xludf.DUMMYFUNCTION("GOOGLETRANSLATE(J86, ""th"", ""en"")
"),"A) Adjust your paddle position and try to increase your speed.")</f>
        <v>A) Adjust your paddle position and try to increase your speed.</v>
      </c>
      <c r="E86" s="5" t="str">
        <f>IFERROR(__xludf.DUMMYFUNCTION(" GOOGLETRANSLATE(K86, ""th"", ""en"")"),"Paddle adjustments improve performance and speed in competition.")</f>
        <v>Paddle adjustments improve performance and speed in competition.</v>
      </c>
      <c r="G86" s="6">
        <v>85.0</v>
      </c>
      <c r="H86" s="7" t="s">
        <v>1509</v>
      </c>
      <c r="I86" s="7" t="s">
        <v>1510</v>
      </c>
      <c r="J86" s="7" t="s">
        <v>1511</v>
      </c>
      <c r="K86" s="7" t="s">
        <v>1512</v>
      </c>
    </row>
    <row r="87" ht="14.25" customHeight="1">
      <c r="A87" s="4">
        <v>86.0</v>
      </c>
      <c r="B87" s="5" t="str">
        <f>IFERROR(__xludf.DUMMYFUNCTION("GOOGLETRANSLATE(H87, ""th"", ""en"")
"),"You notice that your teammates are starting to show signs of fatigue during a match. What do you do?")</f>
        <v>You notice that your teammates are starting to show signs of fatigue during a match. What do you do?</v>
      </c>
      <c r="C87" s="5" t="str">
        <f>IFERROR(__xludf.DUMMYFUNCTION("GOOGLETRANSLATE(I87, ""th"", ""en"")
"),"A) Encourage him to relax and offer encouragement; B) Let him rest as he needs it; C) Reduce his competitive efforts; D) Avoid helping him.")</f>
        <v>A) Encourage him to relax and offer encouragement; B) Let him rest as he needs it; C) Reduce his competitive efforts; D) Avoid helping him.</v>
      </c>
      <c r="D87" s="5" t="str">
        <f>IFERROR(__xludf.DUMMYFUNCTION("GOOGLETRANSLATE(J87, ""th"", ""en"")
"),"A) Encourage him to relax and be encouraging.")</f>
        <v>A) Encourage him to relax and be encouraging.</v>
      </c>
      <c r="E87" s="5" t="str">
        <f>IFERROR(__xludf.DUMMYFUNCTION(" GOOGLETRANSLATE(K87, ""th"", ""en"")"),"Encouragement and support can boost your teammates' energy and commitment.")</f>
        <v>Encouragement and support can boost your teammates' energy and commitment.</v>
      </c>
      <c r="G87" s="6">
        <v>86.0</v>
      </c>
      <c r="H87" s="7" t="s">
        <v>1513</v>
      </c>
      <c r="I87" s="7" t="s">
        <v>1514</v>
      </c>
      <c r="J87" s="7" t="s">
        <v>1479</v>
      </c>
      <c r="K87" s="7" t="s">
        <v>1515</v>
      </c>
    </row>
    <row r="88" ht="14.25" customHeight="1">
      <c r="A88" s="4">
        <v>87.0</v>
      </c>
      <c r="B88" s="5" t="str">
        <f>IFERROR(__xludf.DUMMYFUNCTION("GOOGLETRANSLATE(H88, ""th"", ""en"")
"),"The boat race is coming to an end. What will you do to prevent your team from failing?")</f>
        <v>The boat race is coming to an end. What will you do to prevent your team from failing?</v>
      </c>
      <c r="C88" s="5" t="str">
        <f>IFERROR(__xludf.DUMMYFUNCTION("GOOGLETRANSLATE(I88, ""th"", ""en"")
"),"A) Maintain focus and increase effort; B) Avoid risks and play cautiously; C) Reduce effort and maintain balance; D) Stop rowing.")</f>
        <v>A) Maintain focus and increase effort; B) Avoid risks and play cautiously; C) Reduce effort and maintain balance; D) Stop rowing.</v>
      </c>
      <c r="D88" s="5" t="str">
        <f>IFERROR(__xludf.DUMMYFUNCTION("GOOGLETRANSLATE(J88, ""th"", ""en"")
"),"A) Maintain commitment and increase efforts.")</f>
        <v>A) Maintain commitment and increase efforts.</v>
      </c>
      <c r="E88" s="5" t="str">
        <f>IFERROR(__xludf.DUMMYFUNCTION(" GOOGLETRANSLATE(K88, ""th"", ""en"")"),"Maintaining focus and increasing effort in the final moments allows the team to fight until the end.")</f>
        <v>Maintaining focus and increasing effort in the final moments allows the team to fight until the end.</v>
      </c>
      <c r="G88" s="6">
        <v>87.0</v>
      </c>
      <c r="H88" s="7" t="s">
        <v>1516</v>
      </c>
      <c r="I88" s="7" t="s">
        <v>1517</v>
      </c>
      <c r="J88" s="7" t="s">
        <v>1518</v>
      </c>
      <c r="K88" s="7" t="s">
        <v>1519</v>
      </c>
    </row>
    <row r="89" ht="14.25" customHeight="1">
      <c r="A89" s="4">
        <v>88.0</v>
      </c>
      <c r="B89" s="5" t="str">
        <f>IFERROR(__xludf.DUMMYFUNCTION("GOOGLETRANSLATE(H89, ""th"", ""en"")
"),"You see that your team is not coordinating well in a match. What do you do?")</f>
        <v>You see that your team is not coordinating well in a match. What do you do?</v>
      </c>
      <c r="C89" s="5" t="str">
        <f>IFERROR(__xludf.DUMMYFUNCTION("GOOGLETRANSLATE(I89, ""th"", ""en"")
"),"A) Try to communicate and adjust strategies; B) Let the team do its own thing; C) Reduce the effort to compete; D) Avoid talking about the problem.")</f>
        <v>A) Try to communicate and adjust strategies; B) Let the team do its own thing; C) Reduce the effort to compete; D) Avoid talking about the problem.</v>
      </c>
      <c r="D89" s="5" t="str">
        <f>IFERROR(__xludf.DUMMYFUNCTION("GOOGLETRANSLATE(J89, ""th"", ""en"")
"),"A) Try to communicate and adjust strategies.")</f>
        <v>A) Try to communicate and adjust strategies.</v>
      </c>
      <c r="E89" s="5" t="str">
        <f>IFERROR(__xludf.DUMMYFUNCTION(" GOOGLETRANSLATE(K89, ""th"", ""en"")"),"Strategic adjustments and communication allow the team to come back stronger.")</f>
        <v>Strategic adjustments and communication allow the team to come back stronger.</v>
      </c>
      <c r="G89" s="6">
        <v>88.0</v>
      </c>
      <c r="H89" s="7" t="s">
        <v>1520</v>
      </c>
      <c r="I89" s="7" t="s">
        <v>1521</v>
      </c>
      <c r="J89" s="7" t="s">
        <v>1522</v>
      </c>
      <c r="K89" s="7" t="s">
        <v>1523</v>
      </c>
    </row>
    <row r="90" ht="14.25" customHeight="1">
      <c r="A90" s="4">
        <v>89.0</v>
      </c>
      <c r="B90" s="5" t="str">
        <f>IFERROR(__xludf.DUMMYFUNCTION("GOOGLETRANSLATE(H90, ""th"", ""en"")
"),"In a competition, your competitors try to use new strategies. What will you do?")</f>
        <v>In a competition, your competitors try to use new strategies. What will you do?</v>
      </c>
      <c r="C90" s="5" t="str">
        <f>IFERROR(__xludf.DUMMYFUNCTION("GOOGLETRANSLATE(I90, ""th"", ""en"")
"),"A) Adjust your strategy to cope with the new strategy; B) Let competitors follow their own strategy; C) Reduce their competitive effort; D) Avoid adjusting their strategy.")</f>
        <v>A) Adjust your strategy to cope with the new strategy; B) Let competitors follow their own strategy; C) Reduce their competitive effort; D) Avoid adjusting their strategy.</v>
      </c>
      <c r="D90" s="5" t="str">
        <f>IFERROR(__xludf.DUMMYFUNCTION("GOOGLETRANSLATE(J90, ""th"", ""en"")
"),"A) Adjust your strategy to cope with new strategies.")</f>
        <v>A) Adjust your strategy to cope with new strategies.</v>
      </c>
      <c r="E90" s="5" t="str">
        <f>IFERROR(__xludf.DUMMYFUNCTION(" GOOGLETRANSLATE(K90, ""th"", ""en"")"),"Optimizing your strategy allows your team to better cope with your opponents.")</f>
        <v>Optimizing your strategy allows your team to better cope with your opponents.</v>
      </c>
      <c r="G90" s="6">
        <v>89.0</v>
      </c>
      <c r="H90" s="7" t="s">
        <v>1524</v>
      </c>
      <c r="I90" s="7" t="s">
        <v>1525</v>
      </c>
      <c r="J90" s="7" t="s">
        <v>1526</v>
      </c>
      <c r="K90" s="7" t="s">
        <v>1527</v>
      </c>
    </row>
    <row r="91" ht="14.25" customHeight="1">
      <c r="A91" s="4">
        <v>90.0</v>
      </c>
      <c r="B91" s="5" t="str">
        <f>IFERROR(__xludf.DUMMYFUNCTION("GOOGLETRANSLATE(H91, ""th"", ""en"")
"),"Your team starts making the same mistakes over and over again. What do you do?")</f>
        <v>Your team starts making the same mistakes over and over again. What do you do?</v>
      </c>
      <c r="C91" s="5" t="str">
        <f>IFERROR(__xludf.DUMMYFUNCTION("GOOGLETRANSLATE(I91, ""th"", ""en"")
"),"A) Help correct mistakes and work together; B) Let the team do its own thing; C) Avoid talking about mistakes; D) Reduce competition.")</f>
        <v>A) Help correct mistakes and work together; B) Let the team do its own thing; C) Avoid talking about mistakes; D) Reduce competition.</v>
      </c>
      <c r="D91" s="5" t="str">
        <f>IFERROR(__xludf.DUMMYFUNCTION("GOOGLETRANSLATE(J91, ""th"", ""en"")
"),"A) Help correct errors and work together.")</f>
        <v>A) Help correct errors and work together.</v>
      </c>
      <c r="E91" s="5" t="str">
        <f>IFERROR(__xludf.DUMMYFUNCTION(" GOOGLETRANSLATE(K91, ""th"", ""en"")"),"Working together to correct mistakes allows the team to develop better strategies.")</f>
        <v>Working together to correct mistakes allows the team to develop better strategies.</v>
      </c>
      <c r="G91" s="6">
        <v>90.0</v>
      </c>
      <c r="H91" s="7" t="s">
        <v>1528</v>
      </c>
      <c r="I91" s="7" t="s">
        <v>1529</v>
      </c>
      <c r="J91" s="7" t="s">
        <v>1530</v>
      </c>
      <c r="K91" s="7" t="s">
        <v>1531</v>
      </c>
    </row>
    <row r="92" ht="14.25" customHeight="1">
      <c r="A92" s="4">
        <v>91.0</v>
      </c>
      <c r="B92" s="5" t="str">
        <f>IFERROR(__xludf.DUMMYFUNCTION("GOOGLETRANSLATE(H92, ""th"", ""en"")
"),"You notice that your teammates are lacking confidence in their skills. What do you do?")</f>
        <v>You notice that your teammates are lacking confidence in their skills. What do you do?</v>
      </c>
      <c r="C92" s="5" t="str">
        <f>IFERROR(__xludf.DUMMYFUNCTION("GOOGLETRANSLATE(I92, ""th"", ""en"")
"),"A) Talk to him and give him advice to boost his confidence; B) Let him do what he wants; C) Avoid talking about it; D) Reduce his competitiveness.")</f>
        <v>A) Talk to him and give him advice to boost his confidence; B) Let him do what he wants; C) Avoid talking about it; D) Reduce his competitiveness.</v>
      </c>
      <c r="D92" s="5" t="str">
        <f>IFERROR(__xludf.DUMMYFUNCTION("GOOGLETRANSLATE(J92, ""th"", ""en"")
"),"A) Talk and give advice to increase confidence.")</f>
        <v>A) Talk and give advice to increase confidence.</v>
      </c>
      <c r="E92" s="5" t="str">
        <f>IFERROR(__xludf.DUMMYFUNCTION(" GOOGLETRANSLATE(K92, ""th"", ""en"")"),"Giving advice and assistance to teammates builds confidence.")</f>
        <v>Giving advice and assistance to teammates builds confidence.</v>
      </c>
      <c r="G92" s="6">
        <v>91.0</v>
      </c>
      <c r="H92" s="7" t="s">
        <v>1532</v>
      </c>
      <c r="I92" s="7" t="s">
        <v>1533</v>
      </c>
      <c r="J92" s="7" t="s">
        <v>1447</v>
      </c>
      <c r="K92" s="7" t="s">
        <v>1534</v>
      </c>
    </row>
    <row r="93" ht="14.25" customHeight="1">
      <c r="A93" s="4">
        <v>92.0</v>
      </c>
      <c r="B93" s="5" t="str">
        <f>IFERROR(__xludf.DUMMYFUNCTION("GOOGLETRANSLATE(H93, ""th"", ""en"")
"),"The competition is in its final stages. What can you do to increase your chances of winning?")</f>
        <v>The competition is in its final stages. What can you do to increase your chances of winning?</v>
      </c>
      <c r="C93" s="5" t="str">
        <f>IFERROR(__xludf.DUMMYFUNCTION("GOOGLETRANSLATE(I93, ""th"", ""en"")
"),"A) Increase effort and never give up; B) Decrease effort and let the team do the same thing; C) Try to maintain the same pace; D) Avoid taking risks.")</f>
        <v>A) Increase effort and never give up; B) Decrease effort and let the team do the same thing; C) Try to maintain the same pace; D) Avoid taking risks.</v>
      </c>
      <c r="D93" s="5" t="str">
        <f>IFERROR(__xludf.DUMMYFUNCTION("GOOGLETRANSLATE(J93, ""th"", ""en"")
"),"A) Increase your effort and never give up.")</f>
        <v>A) Increase your effort and never give up.</v>
      </c>
      <c r="E93" s="5" t="str">
        <f>IFERROR(__xludf.DUMMYFUNCTION(" GOOGLETRANSLATE(K93, ""th"", ""en"")"),"Adding more effort at the end increases your chances of winning.")</f>
        <v>Adding more effort at the end increases your chances of winning.</v>
      </c>
      <c r="G93" s="6">
        <v>92.0</v>
      </c>
      <c r="H93" s="7" t="s">
        <v>1535</v>
      </c>
      <c r="I93" s="7" t="s">
        <v>1536</v>
      </c>
      <c r="J93" s="7" t="s">
        <v>1537</v>
      </c>
      <c r="K93" s="7" t="s">
        <v>1538</v>
      </c>
    </row>
    <row r="94" ht="14.25" customHeight="1">
      <c r="A94" s="4">
        <v>93.0</v>
      </c>
      <c r="B94" s="5" t="str">
        <f>IFERROR(__xludf.DUMMYFUNCTION("GOOGLETRANSLATE(H94, ""th"", ""en"")
"),"Your team is starting to feel tired. What should you do?")</f>
        <v>Your team is starting to feel tired. What should you do?</v>
      </c>
      <c r="C94" s="5" t="str">
        <f>IFERROR(__xludf.DUMMYFUNCTION("GOOGLETRANSLATE(I94, ""th"", ""en"")
"),"A) Motivate and inspire the team; B) Let the team do its own thing; C) Reduce competitive effort; D) Avoid stimulation.")</f>
        <v>A) Motivate and inspire the team; B) Let the team do its own thing; C) Reduce competitive effort; D) Avoid stimulation.</v>
      </c>
      <c r="D94" s="5" t="str">
        <f>IFERROR(__xludf.DUMMYFUNCTION("GOOGLETRANSLATE(J94, ""th"", ""en"")
"),"A) Motivate and inspire the team.")</f>
        <v>A) Motivate and inspire the team.</v>
      </c>
      <c r="E94" s="5" t="str">
        <f>IFERROR(__xludf.DUMMYFUNCTION(" GOOGLETRANSLATE(K94, ""th"", ""en"")"),"Motivating the team allows them to recharge and work efficiently.")</f>
        <v>Motivating the team allows them to recharge and work efficiently.</v>
      </c>
      <c r="G94" s="6">
        <v>93.0</v>
      </c>
      <c r="H94" s="7" t="s">
        <v>1539</v>
      </c>
      <c r="I94" s="7" t="s">
        <v>1540</v>
      </c>
      <c r="J94" s="7" t="s">
        <v>1541</v>
      </c>
      <c r="K94" s="7" t="s">
        <v>1542</v>
      </c>
    </row>
    <row r="95" ht="14.25" customHeight="1">
      <c r="A95" s="4">
        <v>94.0</v>
      </c>
      <c r="B95" s="5" t="str">
        <f>IFERROR(__xludf.DUMMYFUNCTION("GOOGLETRANSLATE(H95, ""th"", ""en"")
"),"You see that your ship is moving unsteadily, what do you do?")</f>
        <v>You see that your ship is moving unsteadily, what do you do?</v>
      </c>
      <c r="C95" s="5" t="str">
        <f>IFERROR(__xludf.DUMMYFUNCTION("GOOGLETRANSLATE(I95, ""th"", ""en"")
"),"A) Adjust your paddle position to increase stability; B) Try to paddle faster; C) Stop paddling and ask for directions; D) Let the boat move along its course.")</f>
        <v>A) Adjust your paddle position to increase stability; B) Try to paddle faster; C) Stop paddling and ask for directions; D) Let the boat move along its course.</v>
      </c>
      <c r="D95" s="5" t="str">
        <f>IFERROR(__xludf.DUMMYFUNCTION("GOOGLETRANSLATE(J95, ""th"", ""en"")
"),"A) Adjust the paddle position to increase stability.")</f>
        <v>A) Adjust the paddle position to increase stability.</v>
      </c>
      <c r="E95" s="5" t="str">
        <f>IFERROR(__xludf.DUMMYFUNCTION(" GOOGLETRANSLATE(K95, ""th"", ""en"")"),"Adjusting the paddle position improves boat stability and control.")</f>
        <v>Adjusting the paddle position improves boat stability and control.</v>
      </c>
      <c r="G95" s="6">
        <v>94.0</v>
      </c>
      <c r="H95" s="7" t="s">
        <v>1543</v>
      </c>
      <c r="I95" s="7" t="s">
        <v>1544</v>
      </c>
      <c r="J95" s="7" t="s">
        <v>1545</v>
      </c>
      <c r="K95" s="7" t="s">
        <v>1546</v>
      </c>
    </row>
    <row r="96" ht="14.25" customHeight="1">
      <c r="A96" s="4">
        <v>95.0</v>
      </c>
      <c r="B96" s="5" t="str">
        <f>IFERROR(__xludf.DUMMYFUNCTION("GOOGLETRANSLATE(H96, ""th"", ""en"")
"),"You notice that your team is losing focus during a match. What should you do?")</f>
        <v>You notice that your team is losing focus during a match. What should you do?</v>
      </c>
      <c r="C96" s="5" t="str">
        <f>IFERROR(__xludf.DUMMYFUNCTION("GOOGLETRANSLATE(I96, ""th"", ""en"")
"),"A) encourage the team to regain focus and return to play; B) let the team do its own thing; C) avoid talking about the issue; D) reduce the effort required to compete.")</f>
        <v>A) encourage the team to regain focus and return to play; B) let the team do its own thing; C) avoid talking about the issue; D) reduce the effort required to compete.</v>
      </c>
      <c r="D96" s="5" t="str">
        <f>IFERROR(__xludf.DUMMYFUNCTION("GOOGLETRANSLATE(J96, ""th"", ""en"")
"),"A) Encourage the team to regain focus and return to play.")</f>
        <v>A) Encourage the team to regain focus and return to play.</v>
      </c>
      <c r="E96" s="5" t="str">
        <f>IFERROR(__xludf.DUMMYFUNCTION(" GOOGLETRANSLATE(K96, ""th"", ""en"")"),"Encouraging the team to regain focus helps improve performance in the competition.")</f>
        <v>Encouraging the team to regain focus helps improve performance in the competition.</v>
      </c>
      <c r="G96" s="6">
        <v>95.0</v>
      </c>
      <c r="H96" s="7" t="s">
        <v>1547</v>
      </c>
      <c r="I96" s="7" t="s">
        <v>1548</v>
      </c>
      <c r="J96" s="7" t="s">
        <v>1549</v>
      </c>
      <c r="K96" s="7" t="s">
        <v>1550</v>
      </c>
    </row>
    <row r="97" ht="14.25" customHeight="1">
      <c r="A97" s="4">
        <v>96.0</v>
      </c>
      <c r="B97" s="5" t="str">
        <f>IFERROR(__xludf.DUMMYFUNCTION("GOOGLETRANSLATE(H97, ""th"", ""en"")
"),"You find that your team is starting to experience communication problems. What should you do?")</f>
        <v>You find that your team is starting to experience communication problems. What should you do?</v>
      </c>
      <c r="C97" s="5" t="str">
        <f>IFERROR(__xludf.DUMMYFUNCTION("GOOGLETRANSLATE(I97, ""th"", ""en"")
"),"A) Try to improve communication within the team; B) Let the team do its own thing; C) Avoid talking about the issue; D) Reduce the effort to compete.")</f>
        <v>A) Try to improve communication within the team; B) Let the team do its own thing; C) Avoid talking about the issue; D) Reduce the effort to compete.</v>
      </c>
      <c r="D97" s="5" t="str">
        <f>IFERROR(__xludf.DUMMYFUNCTION("GOOGLETRANSLATE(J97, ""th"", ""en"")
"),"A) Try to improve communication within the team.")</f>
        <v>A) Try to improve communication within the team.</v>
      </c>
      <c r="E97" s="5" t="str">
        <f>IFERROR(__xludf.DUMMYFUNCTION(" GOOGLETRANSLATE(K97, ""th"", ""en"")"),"Good communication allows teams to work together effectively.")</f>
        <v>Good communication allows teams to work together effectively.</v>
      </c>
      <c r="G97" s="6">
        <v>96.0</v>
      </c>
      <c r="H97" s="7" t="s">
        <v>1551</v>
      </c>
      <c r="I97" s="7" t="s">
        <v>1552</v>
      </c>
      <c r="J97" s="7" t="s">
        <v>1553</v>
      </c>
      <c r="K97" s="7" t="s">
        <v>1554</v>
      </c>
    </row>
    <row r="98" ht="14.25" customHeight="1">
      <c r="A98" s="4">
        <v>97.0</v>
      </c>
      <c r="B98" s="5" t="str">
        <f>IFERROR(__xludf.DUMMYFUNCTION("GOOGLETRANSLATE(H98, ""th"", ""en"")
"),"The competition is almost over and you need to boost your team. What should you do?")</f>
        <v>The competition is almost over and you need to boost your team. What should you do?</v>
      </c>
      <c r="C98" s="5" t="str">
        <f>IFERROR(__xludf.DUMMYFUNCTION("GOOGLETRANSLATE(I98, ""th"", ""en"")
"),"A) Motivate the team and increase their competitive energy; B) Reduce their effort and wait for the competition to end; C) Avoid stimulation to avoid stress; D) Let the team relax and wait for the outcome of the competition.")</f>
        <v>A) Motivate the team and increase their competitive energy; B) Reduce their effort and wait for the competition to end; C) Avoid stimulation to avoid stress; D) Let the team relax and wait for the outcome of the competition.</v>
      </c>
      <c r="D98" s="5" t="str">
        <f>IFERROR(__xludf.DUMMYFUNCTION("GOOGLETRANSLATE(J98, ""th"", ""en"")
"),"A) Motivate the team and increase competitive energy.")</f>
        <v>A) Motivate the team and increase competitive energy.</v>
      </c>
      <c r="E98" s="5" t="str">
        <f>IFERROR(__xludf.DUMMYFUNCTION(" GOOGLETRANSLATE(K98, ""th"", ""en"")"),"A late boost to the team's motivation and competitive spirit.")</f>
        <v>A late boost to the team's motivation and competitive spirit.</v>
      </c>
      <c r="G98" s="6">
        <v>97.0</v>
      </c>
      <c r="H98" s="7" t="s">
        <v>1555</v>
      </c>
      <c r="I98" s="7" t="s">
        <v>1556</v>
      </c>
      <c r="J98" s="7" t="s">
        <v>1557</v>
      </c>
      <c r="K98" s="7" t="s">
        <v>1558</v>
      </c>
    </row>
    <row r="99" ht="14.25" customHeight="1">
      <c r="A99" s="4">
        <v>98.0</v>
      </c>
      <c r="B99" s="5" t="str">
        <f>IFERROR(__xludf.DUMMYFUNCTION("GOOGLETRANSLATE(H99, ""th"", ""en"")
"),"You feel like your team is lacking cooperation. What should you do?")</f>
        <v>You feel like your team is lacking cooperation. What should you do?</v>
      </c>
      <c r="C99" s="5" t="str">
        <f>IFERROR(__xludf.DUMMYFUNCTION("GOOGLETRANSLATE(I99, ""th"", ""en"")
"),"A) Communicate and work together to strengthen cooperation; B) Let the team do its own thing; C) Avoid discussing the issue; D) Reduce competitive efforts.")</f>
        <v>A) Communicate and work together to strengthen cooperation; B) Let the team do its own thing; C) Avoid discussing the issue; D) Reduce competitive efforts.</v>
      </c>
      <c r="D99" s="5" t="str">
        <f>IFERROR(__xludf.DUMMYFUNCTION("GOOGLETRANSLATE(J99, ""th"", ""en"")
"),"A) Communicate and work together to strengthen cooperation.")</f>
        <v>A) Communicate and work together to strengthen cooperation.</v>
      </c>
      <c r="E99" s="5" t="str">
        <f>IFERROR(__xludf.DUMMYFUNCTION(" GOOGLETRANSLATE(K99, ""th"", ""en"")"),"Working together allows teams to strengthen their cooperation and achieve success.")</f>
        <v>Working together allows teams to strengthen their cooperation and achieve success.</v>
      </c>
      <c r="G99" s="6">
        <v>98.0</v>
      </c>
      <c r="H99" s="7" t="s">
        <v>1559</v>
      </c>
      <c r="I99" s="7" t="s">
        <v>1560</v>
      </c>
      <c r="J99" s="7" t="s">
        <v>1561</v>
      </c>
      <c r="K99" s="7" t="s">
        <v>1562</v>
      </c>
    </row>
    <row r="100" ht="14.25" customHeight="1">
      <c r="A100" s="4">
        <v>99.0</v>
      </c>
      <c r="B100" s="5" t="str">
        <f>IFERROR(__xludf.DUMMYFUNCTION("GOOGLETRANSLATE(H100, ""th"", ""en"")
"),"Your team has players who don't understand their roles. What do you do?")</f>
        <v>Your team has players who don't understand their roles. What do you do?</v>
      </c>
      <c r="C100" s="5" t="str">
        <f>IFERROR(__xludf.DUMMYFUNCTION("GOOGLETRANSLATE(I100, ""th"", ""en"")
"),"A) Explain each person's role clearly; B) Let players do what they want; C) Avoid discussing roles; D) Reduce the effort required to compete.")</f>
        <v>A) Explain each person's role clearly; B) Let players do what they want; C) Avoid discussing roles; D) Reduce the effort required to compete.</v>
      </c>
      <c r="D100" s="5" t="str">
        <f>IFERROR(__xludf.DUMMYFUNCTION("GOOGLETRANSLATE(J100, ""th"", ""en"")
"),"A) Clearly explain each person's role.")</f>
        <v>A) Clearly explain each person's role.</v>
      </c>
      <c r="E100" s="5" t="str">
        <f>IFERROR(__xludf.DUMMYFUNCTION(" GOOGLETRANSLATE(K100, ""th"", ""en"")"),"Clearly defining roles helps players understand their roles and work better together.")</f>
        <v>Clearly defining roles helps players understand their roles and work better together.</v>
      </c>
      <c r="G100" s="6">
        <v>99.0</v>
      </c>
      <c r="H100" s="7" t="s">
        <v>1563</v>
      </c>
      <c r="I100" s="7" t="s">
        <v>1564</v>
      </c>
      <c r="J100" s="7" t="s">
        <v>1565</v>
      </c>
      <c r="K100" s="7" t="s">
        <v>1566</v>
      </c>
    </row>
    <row r="101" ht="14.25" customHeight="1">
      <c r="A101" s="4">
        <v>100.0</v>
      </c>
      <c r="B101" s="5" t="str">
        <f>IFERROR(__xludf.DUMMYFUNCTION("GOOGLETRANSLATE(H101, ""th"", ""en"")
"),"During the race, you find your boat is out of balance. What do you do?")</f>
        <v>During the race, you find your boat is out of balance. What do you do?</v>
      </c>
      <c r="C101" s="5" t="str">
        <f>IFERROR(__xludf.DUMMYFUNCTION("GOOGLETRANSLATE(I101, ""th"", ""en"")
"),"A) Adjust your oar position and find a way to stabilize the boat; B) Try to row faster; C) Stop paddling and call for help; D) Let the boat go on its way.")</f>
        <v>A) Adjust your oar position and find a way to stabilize the boat; B) Try to row faster; C) Stop paddling and call for help; D) Let the boat go on its way.</v>
      </c>
      <c r="D101" s="5" t="str">
        <f>IFERROR(__xludf.DUMMYFUNCTION("GOOGLETRANSLATE(J101, ""th"", ""en"")
"),"A) Adjust your paddle position and find ways to make the boat more stable.")</f>
        <v>A) Adjust your paddle position and find ways to make the boat more stable.</v>
      </c>
      <c r="E101" s="5" t="str">
        <f>IFERROR(__xludf.DUMMYFUNCTION(" GOOGLETRANSLATE(K101, ""th"", ""en"")"),"Adjusting the paddle position helps the boat to regain stability and improve its ability to compete.")</f>
        <v>Adjusting the paddle position helps the boat to regain stability and improve its ability to compete.</v>
      </c>
      <c r="G101" s="6">
        <v>100.0</v>
      </c>
      <c r="H101" s="7" t="s">
        <v>1567</v>
      </c>
      <c r="I101" s="7" t="s">
        <v>1568</v>
      </c>
      <c r="J101" s="7" t="s">
        <v>1569</v>
      </c>
      <c r="K101" s="7" t="s">
        <v>1570</v>
      </c>
    </row>
    <row r="102" ht="14.25" customHeight="1">
      <c r="A102" s="4">
        <v>101.0</v>
      </c>
      <c r="B102" s="5" t="str">
        <f>IFERROR(__xludf.DUMMYFUNCTION("GOOGLETRANSLATE(H102, ""th"", ""en"")
"),"You feel that your teammates often make mistakes during the match. What should you do?")</f>
        <v>You feel that your teammates often make mistakes during the match. What should you do?</v>
      </c>
      <c r="C102" s="5" t="str">
        <f>IFERROR(__xludf.DUMMYFUNCTION("GOOGLETRANSLATE(I102, ""th"", ""en"")
"),"A) Help him correct his mistake; B) Blame him loudly; C) Let him do it himself; D) Avoid talking about the problem.")</f>
        <v>A) Help him correct his mistake; B) Blame him loudly; C) Let him do it himself; D) Avoid talking about the problem.</v>
      </c>
      <c r="D102" s="5" t="str">
        <f>IFERROR(__xludf.DUMMYFUNCTION("GOOGLETRANSLATE(J102, ""th"", ""en"")
"),"A) Help him correct his mistakes.")</f>
        <v>A) Help him correct his mistakes.</v>
      </c>
      <c r="E102" s="5" t="str">
        <f>IFERROR(__xludf.DUMMYFUNCTION(" GOOGLETRANSLATE(K102, ""th"", ""en"")"),"Helping your teammates correct their mistakes makes the team stronger.")</f>
        <v>Helping your teammates correct their mistakes makes the team stronger.</v>
      </c>
      <c r="G102" s="6">
        <v>101.0</v>
      </c>
      <c r="H102" s="7" t="s">
        <v>1571</v>
      </c>
      <c r="I102" s="7" t="s">
        <v>1572</v>
      </c>
      <c r="J102" s="7" t="s">
        <v>1573</v>
      </c>
      <c r="K102" s="7" t="s">
        <v>1574</v>
      </c>
    </row>
    <row r="103" ht="14.25" customHeight="1">
      <c r="A103" s="4">
        <v>102.0</v>
      </c>
      <c r="B103" s="5" t="str">
        <f>IFERROR(__xludf.DUMMYFUNCTION("GOOGLETRANSLATE(H103, ""th"", ""en"")
"),"Your team starts to lose focus in the middle of the match. What do you do?")</f>
        <v>Your team starts to lose focus in the middle of the match. What do you do?</v>
      </c>
      <c r="C103" s="5" t="str">
        <f>IFERROR(__xludf.DUMMYFUNCTION("GOOGLETRANSLATE(I103, ""th"", ""en"")
"),"A) motivate the team to refocus and increase their effort; B) let the team do its own thing; C) avoid stimulation; D) reduce competitive effort.")</f>
        <v>A) motivate the team to refocus and increase their effort; B) let the team do its own thing; C) avoid stimulation; D) reduce competitive effort.</v>
      </c>
      <c r="D103" s="5" t="str">
        <f>IFERROR(__xludf.DUMMYFUNCTION("GOOGLETRANSLATE(J103, ""th"", ""en"")
"),"A) Encourage the team to refocus and increase their efforts.")</f>
        <v>A) Encourage the team to refocus and increase their efforts.</v>
      </c>
      <c r="E103" s="5" t="str">
        <f>IFERROR(__xludf.DUMMYFUNCTION(" GOOGLETRANSLATE(K103, ""th"", ""en"")"),"Encouraging the team to regain focus will help the team come back stronger.")</f>
        <v>Encouraging the team to regain focus will help the team come back stronger.</v>
      </c>
      <c r="G103" s="6">
        <v>102.0</v>
      </c>
      <c r="H103" s="7" t="s">
        <v>1575</v>
      </c>
      <c r="I103" s="7" t="s">
        <v>1576</v>
      </c>
      <c r="J103" s="7" t="s">
        <v>1577</v>
      </c>
      <c r="K103" s="7" t="s">
        <v>1578</v>
      </c>
    </row>
    <row r="104" ht="14.25" customHeight="1">
      <c r="A104" s="4">
        <v>103.0</v>
      </c>
      <c r="B104" s="5" t="str">
        <f>IFERROR(__xludf.DUMMYFUNCTION("GOOGLETRANSLATE(H104, ""th"", ""en"")
"),"You feel that your boat is slippery and unstable during the race. What should you do?")</f>
        <v>You feel that your boat is slippery and unstable during the race. What should you do?</v>
      </c>
      <c r="C104" s="5" t="str">
        <f>IFERROR(__xludf.DUMMYFUNCTION("GOOGLETRANSLATE(I104, ""th"", ""en"")
"),"A) Adjust your paddle position to make the boat more stable; B) Try to paddle faster; C) Stop paddling and call for help; D) Let the boat move along its course.")</f>
        <v>A) Adjust your paddle position to make the boat more stable; B) Try to paddle faster; C) Stop paddling and call for help; D) Let the boat move along its course.</v>
      </c>
      <c r="D104" s="5" t="str">
        <f>IFERROR(__xludf.DUMMYFUNCTION("GOOGLETRANSLATE(J104, ""th"", ""en"")
"),"A) Adjust the rowing position to make the boat more stable.")</f>
        <v>A) Adjust the rowing position to make the boat more stable.</v>
      </c>
      <c r="E104" s="5" t="str">
        <f>IFERROR(__xludf.DUMMYFUNCTION(" GOOGLETRANSLATE(K104, ""th"", ""en"")"),"Adjusting the paddle position will improve the stability and control of the boat.")</f>
        <v>Adjusting the paddle position will improve the stability and control of the boat.</v>
      </c>
      <c r="G104" s="6">
        <v>103.0</v>
      </c>
      <c r="H104" s="7" t="s">
        <v>1579</v>
      </c>
      <c r="I104" s="7" t="s">
        <v>1580</v>
      </c>
      <c r="J104" s="7" t="s">
        <v>1581</v>
      </c>
      <c r="K104" s="7" t="s">
        <v>1582</v>
      </c>
    </row>
    <row r="105" ht="14.25" customHeight="1">
      <c r="A105" s="4">
        <v>104.0</v>
      </c>
      <c r="B105" s="5" t="str">
        <f>IFERROR(__xludf.DUMMYFUNCTION("GOOGLETRANSLATE(H105, ""th"", ""en"")
"),"Your competitor is trying a new strategy you've never encountered before. What will you do?")</f>
        <v>Your competitor is trying a new strategy you've never encountered before. What will you do?</v>
      </c>
      <c r="C105" s="5" t="str">
        <f>IFERROR(__xludf.DUMMYFUNCTION("GOOGLETRANSLATE(I105, ""th"", ""en"")
"),"A) Adjust your strategy to counter; B) Let competitors use their own strategies; C) Avoid changing strategies; D) Reduce your competitive efforts.")</f>
        <v>A) Adjust your strategy to counter; B) Let competitors use their own strategies; C) Avoid changing strategies; D) Reduce your competitive efforts.</v>
      </c>
      <c r="D105" s="5" t="str">
        <f>IFERROR(__xludf.DUMMYFUNCTION("GOOGLETRANSLATE(J105, ""th"", ""en"")
"),"A) Adjust your strategy to counter it.")</f>
        <v>A) Adjust your strategy to counter it.</v>
      </c>
      <c r="E105" s="5" t="str">
        <f>IFERROR(__xludf.DUMMYFUNCTION(" GOOGLETRANSLATE(K105, ""th"", ""en"")"),"Optimizing your strategy allows you to better compete with your competitors.")</f>
        <v>Optimizing your strategy allows you to better compete with your competitors.</v>
      </c>
      <c r="G105" s="6">
        <v>104.0</v>
      </c>
      <c r="H105" s="7" t="s">
        <v>1583</v>
      </c>
      <c r="I105" s="7" t="s">
        <v>1584</v>
      </c>
      <c r="J105" s="7" t="s">
        <v>1483</v>
      </c>
      <c r="K105" s="7" t="s">
        <v>1585</v>
      </c>
    </row>
    <row r="106" ht="14.25" customHeight="1">
      <c r="A106" s="4">
        <v>105.0</v>
      </c>
      <c r="B106" s="5" t="str">
        <f>IFERROR(__xludf.DUMMYFUNCTION("GOOGLETRANSLATE(H106, ""th"", ""en"")
"),"You notice that your teammate looks unsure. What do you do?")</f>
        <v>You notice that your teammate looks unsure. What do you do?</v>
      </c>
      <c r="C106" s="5" t="str">
        <f>IFERROR(__xludf.DUMMYFUNCTION("GOOGLETRANSLATE(I106, ""th"", ""en"")
"),"A) Talk to him and give him advice to boost his confidence; B) Let him do what he wants; C) Avoid talking about it; D) Reduce his competitiveness.")</f>
        <v>A) Talk to him and give him advice to boost his confidence; B) Let him do what he wants; C) Avoid talking about it; D) Reduce his competitiveness.</v>
      </c>
      <c r="D106" s="5" t="str">
        <f>IFERROR(__xludf.DUMMYFUNCTION("GOOGLETRANSLATE(J106, ""th"", ""en"")
"),"A) Talk and give advice to increase confidence.")</f>
        <v>A) Talk and give advice to increase confidence.</v>
      </c>
      <c r="E106" s="5" t="str">
        <f>IFERROR(__xludf.DUMMYFUNCTION(" GOOGLETRANSLATE(K106, ""th"", ""en"")"),"Providing guidance will help boost your confidence and improve your game.")</f>
        <v>Providing guidance will help boost your confidence and improve your game.</v>
      </c>
      <c r="G106" s="6">
        <v>105.0</v>
      </c>
      <c r="H106" s="7" t="s">
        <v>1586</v>
      </c>
      <c r="I106" s="7" t="s">
        <v>1533</v>
      </c>
      <c r="J106" s="7" t="s">
        <v>1447</v>
      </c>
      <c r="K106" s="7" t="s">
        <v>1587</v>
      </c>
    </row>
    <row r="107" ht="14.25" customHeight="1">
      <c r="A107" s="4">
        <v>106.0</v>
      </c>
      <c r="B107" s="5" t="str">
        <f>IFERROR(__xludf.DUMMYFUNCTION("GOOGLETRANSLATE(H107, ""th"", ""en"")
"),"Towards the end of the race, you feel the boat starting to slow down. What do you do?")</f>
        <v>Towards the end of the race, you feel the boat starting to slow down. What do you do?</v>
      </c>
      <c r="C107" s="5" t="str">
        <f>IFERROR(__xludf.DUMMYFUNCTION("GOOGLETRANSLATE(I107, ""th"", ""en"")
"),"A) Try to increase your speed by adjusting your paddle stroke; B) Decrease your effort and paddle more slowly; C) Stop paddling and ask for directions; D) Maintain your speed.")</f>
        <v>A) Try to increase your speed by adjusting your paddle stroke; B) Decrease your effort and paddle more slowly; C) Stop paddling and ask for directions; D) Maintain your speed.</v>
      </c>
      <c r="D107" s="5" t="str">
        <f>IFERROR(__xludf.DUMMYFUNCTION("GOOGLETRANSLATE(J107, ""th"", ""en"")
"),"A) Try to increase your speed by adjusting your paddle position.")</f>
        <v>A) Try to increase your speed by adjusting your paddle position.</v>
      </c>
      <c r="E107" s="5" t="str">
        <f>IFERROR(__xludf.DUMMYFUNCTION(" GOOGLETRANSLATE(K107, ""th"", ""en"")"),"Paddle adjustments help increase speed and performance in competition.")</f>
        <v>Paddle adjustments help increase speed and performance in competition.</v>
      </c>
      <c r="G107" s="6">
        <v>106.0</v>
      </c>
      <c r="H107" s="7" t="s">
        <v>1588</v>
      </c>
      <c r="I107" s="7" t="s">
        <v>1589</v>
      </c>
      <c r="J107" s="7" t="s">
        <v>1590</v>
      </c>
      <c r="K107" s="7" t="s">
        <v>1591</v>
      </c>
    </row>
    <row r="108" ht="14.25" customHeight="1">
      <c r="A108" s="4">
        <v>107.0</v>
      </c>
      <c r="B108" s="5" t="str">
        <f>IFERROR(__xludf.DUMMYFUNCTION("GOOGLETRANSLATE(H108, ""th"", ""en"")
"),"You notice that your boat is unstable during the race, what do you do?")</f>
        <v>You notice that your boat is unstable during the race, what do you do?</v>
      </c>
      <c r="C108" s="5" t="str">
        <f>IFERROR(__xludf.DUMMYFUNCTION("GOOGLETRANSLATE(I108, ""th"", ""en"")
"),"A) Adjust your paddle position to make the boat more stable; B) Try to paddle faster; C) Stop paddling and call for help; D) Let the boat move along its course.")</f>
        <v>A) Adjust your paddle position to make the boat more stable; B) Try to paddle faster; C) Stop paddling and call for help; D) Let the boat move along its course.</v>
      </c>
      <c r="D108" s="5" t="str">
        <f>IFERROR(__xludf.DUMMYFUNCTION("GOOGLETRANSLATE(J108, ""th"", ""en"")
"),"A) Adjust the rowing position to make the boat more stable.")</f>
        <v>A) Adjust the rowing position to make the boat more stable.</v>
      </c>
      <c r="E108" s="5" t="str">
        <f>IFERROR(__xludf.DUMMYFUNCTION(" GOOGLETRANSLATE(K108, ""th"", ""en"")"),"Adjusting your paddle position will help improve stability and control of your boat.")</f>
        <v>Adjusting your paddle position will help improve stability and control of your boat.</v>
      </c>
      <c r="G108" s="6">
        <v>107.0</v>
      </c>
      <c r="H108" s="7" t="s">
        <v>1592</v>
      </c>
      <c r="I108" s="7" t="s">
        <v>1580</v>
      </c>
      <c r="J108" s="7" t="s">
        <v>1581</v>
      </c>
      <c r="K108" s="7" t="s">
        <v>1593</v>
      </c>
    </row>
    <row r="109" ht="14.25" customHeight="1">
      <c r="A109" s="4">
        <v>108.0</v>
      </c>
      <c r="B109" s="5" t="str">
        <f>IFERROR(__xludf.DUMMYFUNCTION("GOOGLETRANSLATE(H109, ""th"", ""en"")
"),"Your team is starting to feel tired towards the end of the match, what do you do?")</f>
        <v>Your team is starting to feel tired towards the end of the match, what do you do?</v>
      </c>
      <c r="C109" s="5" t="str">
        <f>IFERROR(__xludf.DUMMYFUNCTION("GOOGLETRANSLATE(I109, ""th"", ""en"")
"),"A) Stimulate the team to recharge and increase effort; B) Let the team do its own thing; C) Reduce competitive effort; D) Avoid stimulation.")</f>
        <v>A) Stimulate the team to recharge and increase effort; B) Let the team do its own thing; C) Reduce competitive effort; D) Avoid stimulation.</v>
      </c>
      <c r="D109" s="5" t="str">
        <f>IFERROR(__xludf.DUMMYFUNCTION("GOOGLETRANSLATE(J109, ""th"", ""en"")
"),"A) Stimulate the team to recharge and increase their efforts.")</f>
        <v>A) Stimulate the team to recharge and increase their efforts.</v>
      </c>
      <c r="E109" s="5" t="str">
        <f>IFERROR(__xludf.DUMMYFUNCTION(" GOOGLETRANSLATE(K109, ""th"", ""en"")"),"Giving your team a final push will boost their energy and commitment.")</f>
        <v>Giving your team a final push will boost their energy and commitment.</v>
      </c>
      <c r="G109" s="6">
        <v>108.0</v>
      </c>
      <c r="H109" s="7" t="s">
        <v>1594</v>
      </c>
      <c r="I109" s="7" t="s">
        <v>1595</v>
      </c>
      <c r="J109" s="7" t="s">
        <v>1596</v>
      </c>
      <c r="K109" s="7" t="s">
        <v>1597</v>
      </c>
    </row>
    <row r="110" ht="14.25" customHeight="1">
      <c r="A110" s="4">
        <v>109.0</v>
      </c>
      <c r="B110" s="5" t="str">
        <f>IFERROR(__xludf.DUMMYFUNCTION("GOOGLETRANSLATE(H110, ""th"", ""en"")
"),"You find that a team member is making repeated mistakes, what do you do?")</f>
        <v>You find that a team member is making repeated mistakes, what do you do?</v>
      </c>
      <c r="C110" s="5" t="str">
        <f>IFERROR(__xludf.DUMMYFUNCTION("GOOGLETRANSLATE(I110, ""th"", ""en"")
"),"A) Give him advice and help; B) Blame him loudly; C) Let him do it himself; D) Avoid talking about it.")</f>
        <v>A) Give him advice and help; B) Blame him loudly; C) Let him do it himself; D) Avoid talking about it.</v>
      </c>
      <c r="D110" s="5" t="str">
        <f>IFERROR(__xludf.DUMMYFUNCTION("GOOGLETRANSLATE(J110, ""th"", ""en"")
"),"A) Give him advice and help.")</f>
        <v>A) Give him advice and help.</v>
      </c>
      <c r="E110" s="5" t="str">
        <f>IFERROR(__xludf.DUMMYFUNCTION(" GOOGLETRANSLATE(K110, ""th"", ""en"")"),"Providing support and guidance helps teams collaborate and achieve success.")</f>
        <v>Providing support and guidance helps teams collaborate and achieve success.</v>
      </c>
      <c r="G110" s="6">
        <v>109.0</v>
      </c>
      <c r="H110" s="7" t="s">
        <v>1598</v>
      </c>
      <c r="I110" s="7" t="s">
        <v>1599</v>
      </c>
      <c r="J110" s="7" t="s">
        <v>1600</v>
      </c>
      <c r="K110" s="7" t="s">
        <v>1601</v>
      </c>
    </row>
    <row r="111" ht="14.25" customHeight="1">
      <c r="A111" s="4">
        <v>110.0</v>
      </c>
      <c r="B111" s="5" t="str">
        <f>IFERROR(__xludf.DUMMYFUNCTION("GOOGLETRANSLATE(H111, ""th"", ""en"")
"),"Your team starts making repeated mistakes during the match. What should you do?")</f>
        <v>Your team starts making repeated mistakes during the match. What should you do?</v>
      </c>
      <c r="C111" s="5" t="str">
        <f>IFERROR(__xludf.DUMMYFUNCTION("GOOGLETRANSLATE(I111, ""th"", ""en"")
"),"A) Work together to fix mistakes; B) Let the team do its own thing; C) Avoid talking about problems; D) Reduce competitive effort.")</f>
        <v>A) Work together to fix mistakes; B) Let the team do its own thing; C) Avoid talking about problems; D) Reduce competitive effort.</v>
      </c>
      <c r="D111" s="5" t="str">
        <f>IFERROR(__xludf.DUMMYFUNCTION("GOOGLETRANSLATE(J111, ""th"", ""en"")
"),"A) Work together to correct errors.")</f>
        <v>A) Work together to correct errors.</v>
      </c>
      <c r="E111" s="5" t="str">
        <f>IFERROR(__xludf.DUMMYFUNCTION(" GOOGLETRANSLATE(K111, ""th"", ""en"")"),"Working together to fix mistakes allows the team to come back stronger.")</f>
        <v>Working together to fix mistakes allows the team to come back stronger.</v>
      </c>
      <c r="G111" s="6">
        <v>110.0</v>
      </c>
      <c r="H111" s="7" t="s">
        <v>1602</v>
      </c>
      <c r="I111" s="7" t="s">
        <v>1603</v>
      </c>
      <c r="J111" s="7" t="s">
        <v>1604</v>
      </c>
      <c r="K111" s="7" t="s">
        <v>1605</v>
      </c>
    </row>
    <row r="112" ht="14.25" customHeight="1">
      <c r="A112" s="4">
        <v>111.0</v>
      </c>
      <c r="B112" s="5" t="str">
        <f>IFERROR(__xludf.DUMMYFUNCTION("GOOGLETRANSLATE(H112, ""th"", ""en"")
"),"You see your teammates starting to show signs of stress, what do you do?")</f>
        <v>You see your teammates starting to show signs of stress, what do you do?</v>
      </c>
      <c r="C112" s="5" t="str">
        <f>IFERROR(__xludf.DUMMYFUNCTION("GOOGLETRANSLATE(I112, ""th"", ""en"")
"),"A) Talk and help him to reduce stress; B) Let him do his own thing; C) Avoid talking about it; D) Reduce his competitiveness.")</f>
        <v>A) Talk and help him to reduce stress; B) Let him do his own thing; C) Avoid talking about it; D) Reduce his competitiveness.</v>
      </c>
      <c r="D112" s="5" t="str">
        <f>IFERROR(__xludf.DUMMYFUNCTION("GOOGLETRANSLATE(J112, ""th"", ""en"")
"),"A) Talk and help to reduce stress.")</f>
        <v>A) Talk and help to reduce stress.</v>
      </c>
      <c r="E112" s="5" t="str">
        <f>IFERROR(__xludf.DUMMYFUNCTION(" GOOGLETRANSLATE(K112, ""th"", ""en"")"),"Talking and helping can reduce stress and re-energize the team.")</f>
        <v>Talking and helping can reduce stress and re-energize the team.</v>
      </c>
      <c r="G112" s="6">
        <v>111.0</v>
      </c>
      <c r="H112" s="7" t="s">
        <v>1606</v>
      </c>
      <c r="I112" s="7" t="s">
        <v>1607</v>
      </c>
      <c r="J112" s="7" t="s">
        <v>1608</v>
      </c>
      <c r="K112" s="7" t="s">
        <v>1609</v>
      </c>
    </row>
    <row r="113" ht="14.25" customHeight="1">
      <c r="A113" s="4">
        <v>112.0</v>
      </c>
      <c r="B113" s="5" t="str">
        <f>IFERROR(__xludf.DUMMYFUNCTION("GOOGLETRANSLATE(H113, ""th"", ""en"")
"),"You feel like your team lacks unity. What should you do?")</f>
        <v>You feel like your team lacks unity. What should you do?</v>
      </c>
      <c r="C113" s="5" t="str">
        <f>IFERROR(__xludf.DUMMYFUNCTION("GOOGLETRANSLATE(I113, ""th"", ""en"")
"),"A) Communicate and work together to foster unity; B) Let the team do its own thing; C) Avoid discussing the issue; D) Reduce competitive efforts.")</f>
        <v>A) Communicate and work together to foster unity; B) Let the team do its own thing; C) Avoid discussing the issue; D) Reduce competitive efforts.</v>
      </c>
      <c r="D113" s="5" t="str">
        <f>IFERROR(__xludf.DUMMYFUNCTION("GOOGLETRANSLATE(J113, ""th"", ""en"")
"),"A) Communicate and work together to strengthen unity.")</f>
        <v>A) Communicate and work together to strengthen unity.</v>
      </c>
      <c r="E113" s="5" t="str">
        <f>IFERROR(__xludf.DUMMYFUNCTION(" GOOGLETRANSLATE(K113, ""th"", ""en"")"),"Communication and collaboration help build team unity.")</f>
        <v>Communication and collaboration help build team unity.</v>
      </c>
      <c r="G113" s="6">
        <v>112.0</v>
      </c>
      <c r="H113" s="7" t="s">
        <v>1489</v>
      </c>
      <c r="I113" s="7" t="s">
        <v>1610</v>
      </c>
      <c r="J113" s="7" t="s">
        <v>1491</v>
      </c>
      <c r="K113" s="7" t="s">
        <v>1611</v>
      </c>
    </row>
    <row r="114" ht="14.25" customHeight="1">
      <c r="A114" s="4">
        <v>113.0</v>
      </c>
      <c r="B114" s="5" t="str">
        <f>IFERROR(__xludf.DUMMYFUNCTION("GOOGLETRANSLATE(H114, ""th"", ""en"")
"),"During the race, you feel that your boat is unstable. What do you do?")</f>
        <v>During the race, you feel that your boat is unstable. What do you do?</v>
      </c>
      <c r="C114" s="5" t="str">
        <f>IFERROR(__xludf.DUMMYFUNCTION("GOOGLETRANSLATE(I114, ""th"", ""en"")
"),"A) Adjust your paddle position to increase stability; B) Try to paddle faster; C) Stop paddling and call for help; D) Let the boat move along its course.")</f>
        <v>A) Adjust your paddle position to increase stability; B) Try to paddle faster; C) Stop paddling and call for help; D) Let the boat move along its course.</v>
      </c>
      <c r="D114" s="5" t="str">
        <f>IFERROR(__xludf.DUMMYFUNCTION("GOOGLETRANSLATE(J114, ""th"", ""en"")
"),"A) Adjust the paddle position to increase stability.")</f>
        <v>A) Adjust the paddle position to increase stability.</v>
      </c>
      <c r="E114" s="5" t="str">
        <f>IFERROR(__xludf.DUMMYFUNCTION(" GOOGLETRANSLATE(K114, ""th"", ""en"")"),"Adjusting the paddle position to improve stability will help the boat handle better.")</f>
        <v>Adjusting the paddle position to improve stability will help the boat handle better.</v>
      </c>
      <c r="G114" s="6">
        <v>113.0</v>
      </c>
      <c r="H114" s="7" t="s">
        <v>1612</v>
      </c>
      <c r="I114" s="7" t="s">
        <v>1613</v>
      </c>
      <c r="J114" s="7" t="s">
        <v>1545</v>
      </c>
      <c r="K114" s="7" t="s">
        <v>1614</v>
      </c>
    </row>
    <row r="115" ht="14.25" customHeight="1">
      <c r="A115" s="4">
        <v>114.0</v>
      </c>
      <c r="B115" s="5" t="str">
        <f>IFERROR(__xludf.DUMMYFUNCTION("GOOGLETRANSLATE(H115, ""th"", ""en"")
"),"Your team is feeling fatigued in the middle of a match, what do you do?")</f>
        <v>Your team is feeling fatigued in the middle of a match, what do you do?</v>
      </c>
      <c r="C115" s="5" t="str">
        <f>IFERROR(__xludf.DUMMYFUNCTION("GOOGLETRANSLATE(I115, ""th"", ""en"")
"),"A) Encourage the team to rest and recharge; B) Let the team do its own thing; C) Reduce the effort required to compete; D) Avoid discussing the issue.")</f>
        <v>A) Encourage the team to rest and recharge; B) Let the team do its own thing; C) Reduce the effort required to compete; D) Avoid discussing the issue.</v>
      </c>
      <c r="D115" s="5" t="str">
        <f>IFERROR(__xludf.DUMMYFUNCTION("GOOGLETRANSLATE(J115, ""th"", ""en"")
"),"A) Encourage the team to rest and recharge.")</f>
        <v>A) Encourage the team to rest and recharge.</v>
      </c>
      <c r="E115" s="5" t="str">
        <f>IFERROR(__xludf.DUMMYFUNCTION(" GOOGLETRANSLATE(K115, ""th"", ""en"")"),"Motivating and giving your team breaks will help boost energy and refreshment.")</f>
        <v>Motivating and giving your team breaks will help boost energy and refreshment.</v>
      </c>
      <c r="G115" s="6">
        <v>114.0</v>
      </c>
      <c r="H115" s="7" t="s">
        <v>1615</v>
      </c>
      <c r="I115" s="7" t="s">
        <v>1616</v>
      </c>
      <c r="J115" s="7" t="s">
        <v>1617</v>
      </c>
      <c r="K115" s="7" t="s">
        <v>1618</v>
      </c>
    </row>
    <row r="116" ht="14.25" customHeight="1">
      <c r="A116" s="4">
        <v>115.0</v>
      </c>
      <c r="B116" s="5" t="str">
        <f>IFERROR(__xludf.DUMMYFUNCTION("GOOGLETRANSLATE(H116, ""th"", ""en"")
"),"You see your boat starting to slow down towards the end of the race, what do you do?")</f>
        <v>You see your boat starting to slow down towards the end of the race, what do you do?</v>
      </c>
      <c r="C116" s="5" t="str">
        <f>IFERROR(__xludf.DUMMYFUNCTION("GOOGLETRANSLATE(I116, ""th"", ""en"")
"),"A) Adjust your paddle position to increase speed; B) Try to paddle faster without thinking about control; C) Stop paddling and ask for advice; D) Reduce your effort and wait for the race to end.")</f>
        <v>A) Adjust your paddle position to increase speed; B) Try to paddle faster without thinking about control; C) Stop paddling and ask for advice; D) Reduce your effort and wait for the race to end.</v>
      </c>
      <c r="D116" s="5" t="str">
        <f>IFERROR(__xludf.DUMMYFUNCTION("GOOGLETRANSLATE(J116, ""th"", ""en"")
"),"A) Adjust the paddle position to increase speed.")</f>
        <v>A) Adjust the paddle position to increase speed.</v>
      </c>
      <c r="E116" s="5" t="str">
        <f>IFERROR(__xludf.DUMMYFUNCTION(" GOOGLETRANSLATE(K116, ""th"", ""en"")"),"Adjusting your paddle position will improve your performance in competition.")</f>
        <v>Adjusting your paddle position will improve your performance in competition.</v>
      </c>
      <c r="G116" s="6">
        <v>115.0</v>
      </c>
      <c r="H116" s="7" t="s">
        <v>1619</v>
      </c>
      <c r="I116" s="7" t="s">
        <v>1620</v>
      </c>
      <c r="J116" s="7" t="s">
        <v>1621</v>
      </c>
      <c r="K116" s="7" t="s">
        <v>1622</v>
      </c>
    </row>
    <row r="117" ht="14.25" customHeight="1">
      <c r="A117" s="4">
        <v>116.0</v>
      </c>
      <c r="B117" s="5" t="str">
        <f>IFERROR(__xludf.DUMMYFUNCTION("GOOGLETRANSLATE(H117, ""th"", ""en"")
"),"Your team is starting to experience communication problems. What should you do?")</f>
        <v>Your team is starting to experience communication problems. What should you do?</v>
      </c>
      <c r="C117" s="5" t="str">
        <f>IFERROR(__xludf.DUMMYFUNCTION("GOOGLETRANSLATE(I117, ""th"", ""en"")
"),"A) Try to improve communication within the team; B) Let the team do its own thing; C) Avoid talking about the issue; D) Reduce the effort to compete.")</f>
        <v>A) Try to improve communication within the team; B) Let the team do its own thing; C) Avoid talking about the issue; D) Reduce the effort to compete.</v>
      </c>
      <c r="D117" s="5" t="str">
        <f>IFERROR(__xludf.DUMMYFUNCTION("GOOGLETRANSLATE(J117, ""th"", ""en"")
"),"A) Try to improve communication within the team.")</f>
        <v>A) Try to improve communication within the team.</v>
      </c>
      <c r="E117" s="5" t="str">
        <f>IFERROR(__xludf.DUMMYFUNCTION(" GOOGLETRANSLATE(K117, ""th"", ""en"")"),"Good communication helps teams work together effectively.")</f>
        <v>Good communication helps teams work together effectively.</v>
      </c>
      <c r="G117" s="6">
        <v>116.0</v>
      </c>
      <c r="H117" s="7" t="s">
        <v>1623</v>
      </c>
      <c r="I117" s="7" t="s">
        <v>1552</v>
      </c>
      <c r="J117" s="7" t="s">
        <v>1553</v>
      </c>
      <c r="K117" s="7" t="s">
        <v>1624</v>
      </c>
    </row>
    <row r="118" ht="14.25" customHeight="1">
      <c r="A118" s="4">
        <v>117.0</v>
      </c>
      <c r="B118" s="5" t="str">
        <f>IFERROR(__xludf.DUMMYFUNCTION("GOOGLETRANSLATE(H118, ""th"", ""en"")
"),"During the match, your opponent starts using a new strategy. What will you do?")</f>
        <v>During the match, your opponent starts using a new strategy. What will you do?</v>
      </c>
      <c r="C118" s="5" t="str">
        <f>IFERROR(__xludf.DUMMYFUNCTION("GOOGLETRANSLATE(I118, ""th"", ""en"")
"),"A) Adjust your strategy to cope; B) Let competitors use their own strategies; C) Avoid changing strategies; D) Reduce your competitive efforts.")</f>
        <v>A) Adjust your strategy to cope; B) Let competitors use their own strategies; C) Avoid changing strategies; D) Reduce your competitive efforts.</v>
      </c>
      <c r="D118" s="5" t="str">
        <f>IFERROR(__xludf.DUMMYFUNCTION("GOOGLETRANSLATE(J118, ""th"", ""en"")
"),"A) Adjust your strategy to cope.")</f>
        <v>A) Adjust your strategy to cope.</v>
      </c>
      <c r="E118" s="5" t="str">
        <f>IFERROR(__xludf.DUMMYFUNCTION(" GOOGLETRANSLATE(K118, ""th"", ""en"")"),"Optimizing your strategy allows you to better compete with your competitors.")</f>
        <v>Optimizing your strategy allows you to better compete with your competitors.</v>
      </c>
      <c r="G118" s="6">
        <v>117.0</v>
      </c>
      <c r="H118" s="7" t="s">
        <v>1625</v>
      </c>
      <c r="I118" s="7" t="s">
        <v>1626</v>
      </c>
      <c r="J118" s="7" t="s">
        <v>1627</v>
      </c>
      <c r="K118" s="7" t="s">
        <v>1585</v>
      </c>
    </row>
    <row r="119" ht="14.25" customHeight="1">
      <c r="A119" s="4">
        <v>118.0</v>
      </c>
      <c r="B119" s="5" t="str">
        <f>IFERROR(__xludf.DUMMYFUNCTION("GOOGLETRANSLATE(H119, ""th"", ""en"")
"),"A teammate has a minor injury during a game. What do you do?")</f>
        <v>A teammate has a minor injury during a game. What do you do?</v>
      </c>
      <c r="C119" s="5" t="str">
        <f>IFERROR(__xludf.DUMMYFUNCTION("GOOGLETRANSLATE(I119, ""th"", ""en"")
"),"A) Ask him to rest and be monitored; B) Let him continue playing; C) Avoid talking about the injury; D) Reduce his effort in the match.")</f>
        <v>A) Ask him to rest and be monitored; B) Let him continue playing; C) Avoid talking about the injury; D) Reduce his effort in the match.</v>
      </c>
      <c r="D119" s="5" t="str">
        <f>IFERROR(__xludf.DUMMYFUNCTION("GOOGLETRANSLATE(J119, ""th"", ""en"")
"),"A) Ask him to rest and check his symptoms.")</f>
        <v>A) Ask him to rest and check his symptoms.</v>
      </c>
      <c r="E119" s="5" t="str">
        <f>IFERROR(__xludf.DUMMYFUNCTION(" GOOGLETRANSLATE(K119, ""th"", ""en"")"),"Taking care of your teammates will help them recover and return to play faster.")</f>
        <v>Taking care of your teammates will help them recover and return to play faster.</v>
      </c>
      <c r="G119" s="6">
        <v>118.0</v>
      </c>
      <c r="H119" s="7" t="s">
        <v>1628</v>
      </c>
      <c r="I119" s="7" t="s">
        <v>1629</v>
      </c>
      <c r="J119" s="7" t="s">
        <v>1630</v>
      </c>
      <c r="K119" s="7" t="s">
        <v>1631</v>
      </c>
    </row>
    <row r="120" ht="14.25" customHeight="1">
      <c r="A120" s="4">
        <v>119.0</v>
      </c>
      <c r="B120" s="5" t="str">
        <f>IFERROR(__xludf.DUMMYFUNCTION("GOOGLETRANSLATE(H120, ""th"", ""en"")
"),"Your team makes a substitution during the match. What do you do?")</f>
        <v>Your team makes a substitution during the match. What do you do?</v>
      </c>
      <c r="C120" s="5" t="str">
        <f>IFERROR(__xludf.DUMMYFUNCTION("GOOGLETRANSLATE(I120, ""th"", ""en"")
"),"A) Encourage the new player and help him settle in; B) Let him do what he wants; C) Avoid talking about substitutions; D) Reduce the effort required to compete.")</f>
        <v>A) Encourage the new player and help him settle in; B) Let him do what he wants; C) Avoid talking about substitutions; D) Reduce the effort required to compete.</v>
      </c>
      <c r="D120" s="5" t="str">
        <f>IFERROR(__xludf.DUMMYFUNCTION("GOOGLETRANSLATE(J120, ""th"", ""en"")
"),"A) Encourage new players and help them adapt.")</f>
        <v>A) Encourage new players and help them adapt.</v>
      </c>
      <c r="E120" s="5" t="str">
        <f>IFERROR(__xludf.DUMMYFUNCTION(" GOOGLETRANSLATE(K120, ""th"", ""en"")"),"Supporting new players will help them perform better.")</f>
        <v>Supporting new players will help them perform better.</v>
      </c>
      <c r="G120" s="6">
        <v>119.0</v>
      </c>
      <c r="H120" s="7" t="s">
        <v>1632</v>
      </c>
      <c r="I120" s="7" t="s">
        <v>1633</v>
      </c>
      <c r="J120" s="7" t="s">
        <v>1634</v>
      </c>
      <c r="K120" s="7" t="s">
        <v>1635</v>
      </c>
    </row>
    <row r="121" ht="14.25" customHeight="1">
      <c r="A121" s="4">
        <v>120.0</v>
      </c>
      <c r="B121" s="5" t="str">
        <f>IFERROR(__xludf.DUMMYFUNCTION("GOOGLETRANSLATE(H121, ""th"", ""en"")
"),"You notice that your boat is starting to roll to one side. What do you do?")</f>
        <v>You notice that your boat is starting to roll to one side. What do you do?</v>
      </c>
      <c r="C121" s="5" t="str">
        <f>IFERROR(__xludf.DUMMYFUNCTION("GOOGLETRANSLATE(I121, ""th"", ""en"")
"),"A) Adjust your oar position to straighten the boat back out; B) Try to row faster; C) Stop paddling and call for help; D) Let the boat move along its course.")</f>
        <v>A) Adjust your oar position to straighten the boat back out; B) Try to row faster; C) Stop paddling and call for help; D) Let the boat move along its course.</v>
      </c>
      <c r="D121" s="5" t="str">
        <f>IFERROR(__xludf.DUMMYFUNCTION("GOOGLETRANSLATE(J121, ""th"", ""en"")
"),"A) Adjust the rowing position to bring the boat back straight.")</f>
        <v>A) Adjust the rowing position to bring the boat back straight.</v>
      </c>
      <c r="E121" s="5" t="str">
        <f>IFERROR(__xludf.DUMMYFUNCTION(" GOOGLETRANSLATE(K121, ""th"", ""en"")"),"Adjusting the paddle position helps the boat return to a straight course.")</f>
        <v>Adjusting the paddle position helps the boat return to a straight course.</v>
      </c>
      <c r="G121" s="6">
        <v>120.0</v>
      </c>
      <c r="H121" s="7" t="s">
        <v>1636</v>
      </c>
      <c r="I121" s="7" t="s">
        <v>1637</v>
      </c>
      <c r="J121" s="7" t="s">
        <v>1638</v>
      </c>
      <c r="K121" s="7" t="s">
        <v>1639</v>
      </c>
    </row>
    <row r="122" ht="14.25" customHeight="1">
      <c r="A122" s="4">
        <v>121.0</v>
      </c>
      <c r="B122" s="5" t="str">
        <f>IFERROR(__xludf.DUMMYFUNCTION("GOOGLETRANSLATE(H122, ""th"", ""en"")
"),"You find your boat starting to tilt to one side during a race, what do you do?")</f>
        <v>You find your boat starting to tilt to one side during a race, what do you do?</v>
      </c>
      <c r="C122" s="5" t="str">
        <f>IFERROR(__xludf.DUMMYFUNCTION("GOOGLETRANSLATE(I122, ""th"", ""en"")
"),"A) Adjust your paddle position to regain stability; B) Try to row faster; C) Stop paddling and call for help; D) Let the boat go on its way.")</f>
        <v>A) Adjust your paddle position to regain stability; B) Try to row faster; C) Stop paddling and call for help; D) Let the boat go on its way.</v>
      </c>
      <c r="D122" s="5" t="str">
        <f>IFERROR(__xludf.DUMMYFUNCTION("GOOGLETRANSLATE(J122, ""th"", ""en"")
"),"A) Adjust the paddle position to balance the boat to regain stability.")</f>
        <v>A) Adjust the paddle position to balance the boat to regain stability.</v>
      </c>
      <c r="E122" s="5" t="str">
        <f>IFERROR(__xludf.DUMMYFUNCTION(" GOOGLETRANSLATE(K122, ""th"", ""en"")"),"Adjusting the paddle position will help the boat maintain stability and improve its performance in the race.")</f>
        <v>Adjusting the paddle position will help the boat maintain stability and improve its performance in the race.</v>
      </c>
      <c r="G122" s="6">
        <v>121.0</v>
      </c>
      <c r="H122" s="7" t="s">
        <v>1640</v>
      </c>
      <c r="I122" s="7" t="s">
        <v>1641</v>
      </c>
      <c r="J122" s="7" t="s">
        <v>1642</v>
      </c>
      <c r="K122" s="7" t="s">
        <v>1643</v>
      </c>
    </row>
    <row r="123" ht="14.25" customHeight="1">
      <c r="A123" s="4">
        <v>122.0</v>
      </c>
      <c r="B123" s="5" t="str">
        <f>IFERROR(__xludf.DUMMYFUNCTION("GOOGLETRANSLATE(H123, ""th"", ""en"")
"),"You see your teammates starting to lose focus, what do you do?")</f>
        <v>You see your teammates starting to lose focus, what do you do?</v>
      </c>
      <c r="C123" s="5" t="str">
        <f>IFERROR(__xludf.DUMMYFUNCTION("GOOGLETRANSLATE(I123, ""th"", ""en"")
"),"A) Encourage him to regain focus; B) Let him do it his own way; C) Avoid talking about it; D) Reduce his competitiveness.")</f>
        <v>A) Encourage him to regain focus; B) Let him do it his own way; C) Avoid talking about it; D) Reduce his competitiveness.</v>
      </c>
      <c r="D123" s="5" t="str">
        <f>IFERROR(__xludf.DUMMYFUNCTION("GOOGLETRANSLATE(J123, ""th"", ""en"")
"),"A) Encourage him to regain focus.")</f>
        <v>A) Encourage him to regain focus.</v>
      </c>
      <c r="E123" s="5" t="str">
        <f>IFERROR(__xludf.DUMMYFUNCTION(" GOOGLETRANSLATE(K123, ""th"", ""en"")"),"Motivating your teammates will help them regain focus and improve their performance in the match.")</f>
        <v>Motivating your teammates will help them regain focus and improve their performance in the match.</v>
      </c>
      <c r="G123" s="6">
        <v>122.0</v>
      </c>
      <c r="H123" s="7" t="s">
        <v>1644</v>
      </c>
      <c r="I123" s="7" t="s">
        <v>1645</v>
      </c>
      <c r="J123" s="7" t="s">
        <v>1646</v>
      </c>
      <c r="K123" s="7" t="s">
        <v>1647</v>
      </c>
    </row>
    <row r="124" ht="14.25" customHeight="1">
      <c r="A124" s="4">
        <v>123.0</v>
      </c>
      <c r="B124" s="5" t="str">
        <f>IFERROR(__xludf.DUMMYFUNCTION("GOOGLETRANSLATE(H124, ""th"", ""en"")
"),"You feel your boat is out of balance during the race, what do you do?")</f>
        <v>You feel your boat is out of balance during the race, what do you do?</v>
      </c>
      <c r="C124" s="5" t="str">
        <f>IFERROR(__xludf.DUMMYFUNCTION("GOOGLETRANSLATE(I124, ""th"", ""en"")
"),"A) Adjust your paddle position to increase the stability of the boat; B) Try to paddle faster; C) Stop paddling and call for help; D) Let the boat move along its course.")</f>
        <v>A) Adjust your paddle position to increase the stability of the boat; B) Try to paddle faster; C) Stop paddling and call for help; D) Let the boat move along its course.</v>
      </c>
      <c r="D124" s="5" t="str">
        <f>IFERROR(__xludf.DUMMYFUNCTION("GOOGLETRANSLATE(J124, ""th"", ""en"")
"),"A) Adjust the paddle position to increase the stability of the boat.")</f>
        <v>A) Adjust the paddle position to increase the stability of the boat.</v>
      </c>
      <c r="E124" s="5" t="str">
        <f>IFERROR(__xludf.DUMMYFUNCTION(" GOOGLETRANSLATE(K124, ""th"", ""en"")"),"Adjusting your paddle position will help stabilize your boat and improve your ability to compete.")</f>
        <v>Adjusting your paddle position will help stabilize your boat and improve your ability to compete.</v>
      </c>
      <c r="G124" s="6">
        <v>123.0</v>
      </c>
      <c r="H124" s="7" t="s">
        <v>1648</v>
      </c>
      <c r="I124" s="7" t="s">
        <v>1649</v>
      </c>
      <c r="J124" s="7" t="s">
        <v>1650</v>
      </c>
      <c r="K124" s="7" t="s">
        <v>1651</v>
      </c>
    </row>
    <row r="125" ht="14.25" customHeight="1">
      <c r="A125" s="4">
        <v>124.0</v>
      </c>
      <c r="B125" s="5" t="str">
        <f>IFERROR(__xludf.DUMMYFUNCTION("GOOGLETRANSLATE(H125, ""th"", ""en"")
"),"Your team needs a change in strategy. What do you do?")</f>
        <v>Your team needs a change in strategy. What do you do?</v>
      </c>
      <c r="C125" s="5" t="str">
        <f>IFERROR(__xludf.DUMMYFUNCTION("GOOGLETRANSLATE(I125, ""th"", ""en"")
"),"A) Adjust strategies to suit the situation; B) Let the team do its own thing; C) Avoid changing strategies; D) Reduce the effort required to compete.")</f>
        <v>A) Adjust strategies to suit the situation; B) Let the team do its own thing; C) Avoid changing strategies; D) Reduce the effort required to compete.</v>
      </c>
      <c r="D125" s="5" t="str">
        <f>IFERROR(__xludf.DUMMYFUNCTION("GOOGLETRANSLATE(J125, ""th"", ""en"")
"),"A) Adjust strategies to suit the situation.")</f>
        <v>A) Adjust strategies to suit the situation.</v>
      </c>
      <c r="E125" s="5" t="str">
        <f>IFERROR(__xludf.DUMMYFUNCTION(" GOOGLETRANSLATE(K125, ""th"", ""en"")"),"Optimizing your strategy will help your team better cope with different situations.")</f>
        <v>Optimizing your strategy will help your team better cope with different situations.</v>
      </c>
      <c r="G125" s="6">
        <v>124.0</v>
      </c>
      <c r="H125" s="7" t="s">
        <v>1652</v>
      </c>
      <c r="I125" s="7" t="s">
        <v>1653</v>
      </c>
      <c r="J125" s="7" t="s">
        <v>1654</v>
      </c>
      <c r="K125" s="7" t="s">
        <v>1655</v>
      </c>
    </row>
    <row r="126" ht="14.25" customHeight="1">
      <c r="A126" s="4">
        <v>125.0</v>
      </c>
      <c r="B126" s="5" t="str">
        <f>IFERROR(__xludf.DUMMYFUNCTION("GOOGLETRANSLATE(H126, ""th"", ""en"")
"),"You see your teammates making a lot of mistakes during the match, what do you do?")</f>
        <v>You see your teammates making a lot of mistakes during the match, what do you do?</v>
      </c>
      <c r="C126" s="5" t="str">
        <f>IFERROR(__xludf.DUMMYFUNCTION("GOOGLETRANSLATE(I126, ""th"", ""en"")
"),"A) Help him correct his mistake; B) Blame him loudly; C) Let him do it himself; D) Avoid talking about the problem.")</f>
        <v>A) Help him correct his mistake; B) Blame him loudly; C) Let him do it himself; D) Avoid talking about the problem.</v>
      </c>
      <c r="D126" s="5" t="str">
        <f>IFERROR(__xludf.DUMMYFUNCTION("GOOGLETRANSLATE(J126, ""th"", ""en"")
"),"A) Help him correct his mistakes.")</f>
        <v>A) Help him correct his mistakes.</v>
      </c>
      <c r="E126" s="5" t="str">
        <f>IFERROR(__xludf.DUMMYFUNCTION(" GOOGLETRANSLATE(K126, ""th"", ""en"")"),"Helping your teammates makes the team stronger and allows them to develop together.")</f>
        <v>Helping your teammates makes the team stronger and allows them to develop together.</v>
      </c>
      <c r="G126" s="6">
        <v>125.0</v>
      </c>
      <c r="H126" s="7" t="s">
        <v>1656</v>
      </c>
      <c r="I126" s="7" t="s">
        <v>1572</v>
      </c>
      <c r="J126" s="7" t="s">
        <v>1573</v>
      </c>
      <c r="K126" s="7" t="s">
        <v>1657</v>
      </c>
    </row>
    <row r="127" ht="14.25" customHeight="1">
      <c r="A127" s="4">
        <v>126.0</v>
      </c>
      <c r="B127" s="5" t="str">
        <f>IFERROR(__xludf.DUMMYFUNCTION("GOOGLETRANSLATE(H127, ""th"", ""en"")
"),"During the race, you notice that your boat is unstable. What do you do?")</f>
        <v>During the race, you notice that your boat is unstable. What do you do?</v>
      </c>
      <c r="C127" s="5" t="str">
        <f>IFERROR(__xludf.DUMMYFUNCTION("GOOGLETRANSLATE(I127, ""th"", ""en"")
"),"A) Adjust your paddle position to increase stability; B) Try to paddle faster; C) Stop paddling and ask for directions; D) Let the boat move along its course.")</f>
        <v>A) Adjust your paddle position to increase stability; B) Try to paddle faster; C) Stop paddling and ask for directions; D) Let the boat move along its course.</v>
      </c>
      <c r="D127" s="5" t="str">
        <f>IFERROR(__xludf.DUMMYFUNCTION("GOOGLETRANSLATE(J127, ""th"", ""en"")
"),"A) Adjust the rowing position to increase stability.")</f>
        <v>A) Adjust the rowing position to increase stability.</v>
      </c>
      <c r="E127" s="5" t="str">
        <f>IFERROR(__xludf.DUMMYFUNCTION(" GOOGLETRANSLATE(K127, ""th"", ""en"")"),"Adjusting your paddle position will improve stability and boat control.")</f>
        <v>Adjusting your paddle position will improve stability and boat control.</v>
      </c>
      <c r="G127" s="6">
        <v>126.0</v>
      </c>
      <c r="H127" s="7" t="s">
        <v>1658</v>
      </c>
      <c r="I127" s="7" t="s">
        <v>1659</v>
      </c>
      <c r="J127" s="7" t="s">
        <v>1499</v>
      </c>
      <c r="K127" s="7" t="s">
        <v>1660</v>
      </c>
    </row>
    <row r="128" ht="14.25" customHeight="1">
      <c r="A128" s="4">
        <v>127.0</v>
      </c>
      <c r="B128" s="5" t="str">
        <f>IFERROR(__xludf.DUMMYFUNCTION("GOOGLETRANSLATE(H128, ""th"", ""en"")
"),"You notice that your teammates are stressed during a game. What do you do?")</f>
        <v>You notice that your teammates are stressed during a game. What do you do?</v>
      </c>
      <c r="C128" s="5" t="str">
        <f>IFERROR(__xludf.DUMMYFUNCTION("GOOGLETRANSLATE(I128, ""th"", ""en"")
"),"A) Talk and encourage him to reduce stress; B) Let him do his own thing; C) Avoid talking about stress; D) Reduce his competitiveness.")</f>
        <v>A) Talk and encourage him to reduce stress; B) Let him do his own thing; C) Avoid talking about stress; D) Reduce his competitiveness.</v>
      </c>
      <c r="D128" s="5" t="str">
        <f>IFERROR(__xludf.DUMMYFUNCTION("GOOGLETRANSLATE(J128, ""th"", ""en"")
"),"A) Talk and provide encouragement to reduce stress.")</f>
        <v>A) Talk and provide encouragement to reduce stress.</v>
      </c>
      <c r="E128" s="5" t="str">
        <f>IFERROR(__xludf.DUMMYFUNCTION(" GOOGLETRANSLATE(K128, ""th"", ""en"")"),"Talking and giving encouragement can reduce stress and boost the morale of your teammates.")</f>
        <v>Talking and giving encouragement can reduce stress and boost the morale of your teammates.</v>
      </c>
      <c r="G128" s="6">
        <v>127.0</v>
      </c>
      <c r="H128" s="7" t="s">
        <v>1661</v>
      </c>
      <c r="I128" s="7" t="s">
        <v>1662</v>
      </c>
      <c r="J128" s="7" t="s">
        <v>1663</v>
      </c>
      <c r="K128" s="7" t="s">
        <v>1664</v>
      </c>
    </row>
    <row r="129" ht="14.25" customHeight="1">
      <c r="A129" s="4">
        <v>128.0</v>
      </c>
      <c r="B129" s="5" t="str">
        <f>IFERROR(__xludf.DUMMYFUNCTION("GOOGLETRANSLATE(H129, ""th"", ""en"")
"),"Your team is starting to lose unity. What should you do?")</f>
        <v>Your team is starting to lose unity. What should you do?</v>
      </c>
      <c r="C129" s="5" t="str">
        <f>IFERROR(__xludf.DUMMYFUNCTION("GOOGLETRANSLATE(I129, ""th"", ""en"")
"),"A) Communicate and work together to foster unity; B) Let the team do its own thing; C) Avoid discussing the issue; D) Reduce competitive efforts.")</f>
        <v>A) Communicate and work together to foster unity; B) Let the team do its own thing; C) Avoid discussing the issue; D) Reduce competitive efforts.</v>
      </c>
      <c r="D129" s="5" t="str">
        <f>IFERROR(__xludf.DUMMYFUNCTION("GOOGLETRANSLATE(J129, ""th"", ""en"")
"),"A) Communicate and work together to strengthen unity.")</f>
        <v>A) Communicate and work together to strengthen unity.</v>
      </c>
      <c r="E129" s="5" t="str">
        <f>IFERROR(__xludf.DUMMYFUNCTION(" GOOGLETRANSLATE(K129, ""th"", ""en"")"),"Working together helps build unity and efficiency in a team.")</f>
        <v>Working together helps build unity and efficiency in a team.</v>
      </c>
      <c r="G129" s="6">
        <v>128.0</v>
      </c>
      <c r="H129" s="7" t="s">
        <v>1665</v>
      </c>
      <c r="I129" s="7" t="s">
        <v>1610</v>
      </c>
      <c r="J129" s="7" t="s">
        <v>1491</v>
      </c>
      <c r="K129" s="7" t="s">
        <v>1666</v>
      </c>
    </row>
    <row r="130" ht="14.25" customHeight="1">
      <c r="A130" s="4">
        <v>129.0</v>
      </c>
      <c r="B130" s="5" t="str">
        <f>IFERROR(__xludf.DUMMYFUNCTION("GOOGLETRANSLATE(H130, ""th"", ""en"")
"),"Towards the end of the race, you start to feel your boat slowing down. What do you do?")</f>
        <v>Towards the end of the race, you start to feel your boat slowing down. What do you do?</v>
      </c>
      <c r="C130" s="5" t="str">
        <f>IFERROR(__xludf.DUMMYFUNCTION("GOOGLETRANSLATE(I130, ""th"", ""en"")
"),"A) Adjust your paddle position to increase speed; B) Try to paddle faster; C) Stop paddling and ask for advice; D) Reduce your effort and wait for the race to end.")</f>
        <v>A) Adjust your paddle position to increase speed; B) Try to paddle faster; C) Stop paddling and ask for advice; D) Reduce your effort and wait for the race to end.</v>
      </c>
      <c r="D130" s="5" t="str">
        <f>IFERROR(__xludf.DUMMYFUNCTION("GOOGLETRANSLATE(J130, ""th"", ""en"")
"),"A) Adjust the paddle position to increase speed.")</f>
        <v>A) Adjust the paddle position to increase speed.</v>
      </c>
      <c r="E130" s="5" t="str">
        <f>IFERROR(__xludf.DUMMYFUNCTION(" GOOGLETRANSLATE(K130, ""th"", ""en"")"),"Proper adjustment of the paddle position will increase the speed of the boat.")</f>
        <v>Proper adjustment of the paddle position will increase the speed of the boat.</v>
      </c>
      <c r="G130" s="6">
        <v>129.0</v>
      </c>
      <c r="H130" s="7" t="s">
        <v>1667</v>
      </c>
      <c r="I130" s="7" t="s">
        <v>1668</v>
      </c>
      <c r="J130" s="7" t="s">
        <v>1621</v>
      </c>
      <c r="K130" s="7" t="s">
        <v>1669</v>
      </c>
    </row>
    <row r="131" ht="14.25" customHeight="1">
      <c r="A131" s="4">
        <v>130.0</v>
      </c>
      <c r="B131" s="5" t="str">
        <f>IFERROR(__xludf.DUMMYFUNCTION("GOOGLETRANSLATE(H131, ""th"", ""en"")
"),"You notice that your boat starts to tilt to one side during the race. What do you do?")</f>
        <v>You notice that your boat starts to tilt to one side during the race. What do you do?</v>
      </c>
      <c r="C131" s="5" t="str">
        <f>IFERROR(__xludf.DUMMYFUNCTION("GOOGLETRANSLATE(I131, ""th"", ""en"")
"),"A) Adjust your oar position to straighten the boat back out; B) Try to row faster; C) Stop paddling and call for help; D) Let the boat move along its course.")</f>
        <v>A) Adjust your oar position to straighten the boat back out; B) Try to row faster; C) Stop paddling and call for help; D) Let the boat move along its course.</v>
      </c>
      <c r="D131" s="5" t="str">
        <f>IFERROR(__xludf.DUMMYFUNCTION("GOOGLETRANSLATE(J131, ""th"", ""en"")
"),"A) Adjust the rowing position to bring the boat back straight.")</f>
        <v>A) Adjust the rowing position to bring the boat back straight.</v>
      </c>
      <c r="E131" s="5" t="str">
        <f>IFERROR(__xludf.DUMMYFUNCTION(" GOOGLETRANSLATE(K131, ""th"", ""en"")"),"Adjusting the paddle position will help keep the boat on a straight and stable course.")</f>
        <v>Adjusting the paddle position will help keep the boat on a straight and stable course.</v>
      </c>
      <c r="G131" s="6">
        <v>130.0</v>
      </c>
      <c r="H131" s="7" t="s">
        <v>1670</v>
      </c>
      <c r="I131" s="7" t="s">
        <v>1637</v>
      </c>
      <c r="J131" s="7" t="s">
        <v>1638</v>
      </c>
      <c r="K131" s="7" t="s">
        <v>1671</v>
      </c>
    </row>
    <row r="132" ht="14.25" customHeight="1">
      <c r="A132" s="4">
        <v>131.0</v>
      </c>
      <c r="B132" s="5" t="str">
        <f>IFERROR(__xludf.DUMMYFUNCTION("GOOGLETRANSLATE(H132, ""th"", ""en"")
"),"Your team is starting to experience communication problems. What should you do?")</f>
        <v>Your team is starting to experience communication problems. What should you do?</v>
      </c>
      <c r="C132" s="5" t="str">
        <f>IFERROR(__xludf.DUMMYFUNCTION("GOOGLETRANSLATE(I132, ""th"", ""en"")
"),"A) Try to improve communication within the team; B) Let the team do its own thing; C) Avoid talking about the issue; D) Reduce the effort to compete.")</f>
        <v>A) Try to improve communication within the team; B) Let the team do its own thing; C) Avoid talking about the issue; D) Reduce the effort to compete.</v>
      </c>
      <c r="D132" s="5" t="str">
        <f>IFERROR(__xludf.DUMMYFUNCTION("GOOGLETRANSLATE(J132, ""th"", ""en"")
"),"A) Try to improve communication within the team.")</f>
        <v>A) Try to improve communication within the team.</v>
      </c>
      <c r="E132" s="5" t="str">
        <f>IFERROR(__xludf.DUMMYFUNCTION(" GOOGLETRANSLATE(K132, ""th"", ""en"")"),"Good communication helps teams work together effectively.")</f>
        <v>Good communication helps teams work together effectively.</v>
      </c>
      <c r="G132" s="6">
        <v>131.0</v>
      </c>
      <c r="H132" s="7" t="s">
        <v>1623</v>
      </c>
      <c r="I132" s="7" t="s">
        <v>1552</v>
      </c>
      <c r="J132" s="7" t="s">
        <v>1553</v>
      </c>
      <c r="K132" s="7" t="s">
        <v>1672</v>
      </c>
    </row>
    <row r="133" ht="14.25" customHeight="1">
      <c r="A133" s="4">
        <v>132.0</v>
      </c>
      <c r="B133" s="5" t="str">
        <f>IFERROR(__xludf.DUMMYFUNCTION("GOOGLETRANSLATE(H133, ""th"", ""en"")
"),"During the match, you see that your team is making repeated mistakes. What do you do?")</f>
        <v>During the match, you see that your team is making repeated mistakes. What do you do?</v>
      </c>
      <c r="C133" s="5" t="str">
        <f>IFERROR(__xludf.DUMMYFUNCTION("GOOGLETRANSLATE(I133, ""th"", ""en"")
"),"A) Work together to fix the mistake; B) Let the team do its own thing; C) Avoid talking about the problem; D) Reduce the effort to compete.")</f>
        <v>A) Work together to fix the mistake; B) Let the team do its own thing; C) Avoid talking about the problem; D) Reduce the effort to compete.</v>
      </c>
      <c r="D133" s="5" t="str">
        <f>IFERROR(__xludf.DUMMYFUNCTION("GOOGLETRANSLATE(J133, ""th"", ""en"")
"),"A) Work together to correct errors.")</f>
        <v>A) Work together to correct errors.</v>
      </c>
      <c r="E133" s="5" t="str">
        <f>IFERROR(__xludf.DUMMYFUNCTION(" GOOGLETRANSLATE(K133, ""th"", ""en"")"),"Working together to correct mistakes allows the team to come back stronger.")</f>
        <v>Working together to correct mistakes allows the team to come back stronger.</v>
      </c>
      <c r="G133" s="6">
        <v>132.0</v>
      </c>
      <c r="H133" s="7" t="s">
        <v>1673</v>
      </c>
      <c r="I133" s="7" t="s">
        <v>1674</v>
      </c>
      <c r="J133" s="7" t="s">
        <v>1604</v>
      </c>
      <c r="K133" s="7" t="s">
        <v>1675</v>
      </c>
    </row>
    <row r="134" ht="14.25" customHeight="1">
      <c r="A134" s="4">
        <v>133.0</v>
      </c>
      <c r="B134" s="5" t="str">
        <f>IFERROR(__xludf.DUMMYFUNCTION("GOOGLETRANSLATE(H134, ""th"", ""en"")
"),"Your team is feeling fatigued in the middle of a match, what do you do?")</f>
        <v>Your team is feeling fatigued in the middle of a match, what do you do?</v>
      </c>
      <c r="C134" s="5" t="str">
        <f>IFERROR(__xludf.DUMMYFUNCTION("GOOGLETRANSLATE(I134, ""th"", ""en"")
"),"A) Encourage the team to rest and recharge; B) Let the team do its own thing; C) Reduce the effort required to compete; D) Avoid discussing the issue.")</f>
        <v>A) Encourage the team to rest and recharge; B) Let the team do its own thing; C) Reduce the effort required to compete; D) Avoid discussing the issue.</v>
      </c>
      <c r="D134" s="5" t="str">
        <f>IFERROR(__xludf.DUMMYFUNCTION("GOOGLETRANSLATE(J134, ""th"", ""en"")
"),"A) Encourage the team to rest and recharge.")</f>
        <v>A) Encourage the team to rest and recharge.</v>
      </c>
      <c r="E134" s="5" t="str">
        <f>IFERROR(__xludf.DUMMYFUNCTION(" GOOGLETRANSLATE(K134, ""th"", ""en"")"),"Giving the team a break will help them feel more energetic and refreshed for the match.")</f>
        <v>Giving the team a break will help them feel more energetic and refreshed for the match.</v>
      </c>
      <c r="G134" s="6">
        <v>133.0</v>
      </c>
      <c r="H134" s="7" t="s">
        <v>1615</v>
      </c>
      <c r="I134" s="7" t="s">
        <v>1616</v>
      </c>
      <c r="J134" s="7" t="s">
        <v>1617</v>
      </c>
      <c r="K134" s="7" t="s">
        <v>1676</v>
      </c>
    </row>
    <row r="135" ht="14.25" customHeight="1">
      <c r="A135" s="4">
        <v>134.0</v>
      </c>
      <c r="B135" s="5" t="str">
        <f>IFERROR(__xludf.DUMMYFUNCTION("GOOGLETRANSLATE(H135, ""th"", ""en"")
"),"During the race, you feel that your boat is slippery and unstable. What do you do?")</f>
        <v>During the race, you feel that your boat is slippery and unstable. What do you do?</v>
      </c>
      <c r="C135" s="5" t="str">
        <f>IFERROR(__xludf.DUMMYFUNCTION("GOOGLETRANSLATE(I135, ""th"", ""en"")
"),"A) Adjust your paddle position to increase stability; B) Try to paddle faster; C) Stop paddling and ask for directions; D) Let the boat move along its course.")</f>
        <v>A) Adjust your paddle position to increase stability; B) Try to paddle faster; C) Stop paddling and ask for directions; D) Let the boat move along its course.</v>
      </c>
      <c r="D135" s="5" t="str">
        <f>IFERROR(__xludf.DUMMYFUNCTION("GOOGLETRANSLATE(J135, ""th"", ""en"")
"),"A) Adjust the rowing position to increase stability.")</f>
        <v>A) Adjust the rowing position to increase stability.</v>
      </c>
      <c r="E135" s="5" t="str">
        <f>IFERROR(__xludf.DUMMYFUNCTION(" GOOGLETRANSLATE(K135, ""th"", ""en"")"),"Adjusting the paddle position helps improve boat stability and control.")</f>
        <v>Adjusting the paddle position helps improve boat stability and control.</v>
      </c>
      <c r="G135" s="6">
        <v>134.0</v>
      </c>
      <c r="H135" s="7" t="s">
        <v>1677</v>
      </c>
      <c r="I135" s="7" t="s">
        <v>1659</v>
      </c>
      <c r="J135" s="7" t="s">
        <v>1499</v>
      </c>
      <c r="K135" s="7" t="s">
        <v>1678</v>
      </c>
    </row>
    <row r="136" ht="14.25" customHeight="1">
      <c r="A136" s="4">
        <v>135.0</v>
      </c>
      <c r="B136" s="5" t="str">
        <f>IFERROR(__xludf.DUMMYFUNCTION("GOOGLETRANSLATE(H136, ""th"", ""en"")
"),"Your team starts to lose focus in the middle of the match. What do you do?")</f>
        <v>Your team starts to lose focus in the middle of the match. What do you do?</v>
      </c>
      <c r="C136" s="5" t="str">
        <f>IFERROR(__xludf.DUMMYFUNCTION("GOOGLETRANSLATE(I136, ""th"", ""en"")
"),"A) motivate the team to refocus and increase their effort; B) let the team do its own thing; C) avoid stimulation; D) reduce competitive effort.")</f>
        <v>A) motivate the team to refocus and increase their effort; B) let the team do its own thing; C) avoid stimulation; D) reduce competitive effort.</v>
      </c>
      <c r="D136" s="5" t="str">
        <f>IFERROR(__xludf.DUMMYFUNCTION("GOOGLETRANSLATE(J136, ""th"", ""en"")
"),"A) Encourage the team to refocus and increase their efforts.")</f>
        <v>A) Encourage the team to refocus and increase their efforts.</v>
      </c>
      <c r="E136" s="5" t="str">
        <f>IFERROR(__xludf.DUMMYFUNCTION(" GOOGLETRANSLATE(K136, ""th"", ""en"")"),"Encouraging the team to focus will help the team perform better.")</f>
        <v>Encouraging the team to focus will help the team perform better.</v>
      </c>
      <c r="G136" s="6">
        <v>135.0</v>
      </c>
      <c r="H136" s="7" t="s">
        <v>1575</v>
      </c>
      <c r="I136" s="7" t="s">
        <v>1576</v>
      </c>
      <c r="J136" s="7" t="s">
        <v>1577</v>
      </c>
      <c r="K136" s="7" t="s">
        <v>1679</v>
      </c>
    </row>
    <row r="137" ht="14.25" customHeight="1">
      <c r="A137" s="4">
        <v>136.0</v>
      </c>
      <c r="B137" s="5" t="str">
        <f>IFERROR(__xludf.DUMMYFUNCTION("GOOGLETRANSLATE(H137, ""th"", ""en"")
"),"You see your teammates starting to make frequent mistakes during the match, what do you do?")</f>
        <v>You see your teammates starting to make frequent mistakes during the match, what do you do?</v>
      </c>
      <c r="C137" s="5" t="str">
        <f>IFERROR(__xludf.DUMMYFUNCTION("GOOGLETRANSLATE(I137, ""th"", ""en"")
"),"A) Help him correct his mistake; B) Blame him loudly; C) Let him do it himself; D) Avoid talking about the problem.")</f>
        <v>A) Help him correct his mistake; B) Blame him loudly; C) Let him do it himself; D) Avoid talking about the problem.</v>
      </c>
      <c r="D137" s="5" t="str">
        <f>IFERROR(__xludf.DUMMYFUNCTION("GOOGLETRANSLATE(J137, ""th"", ""en"")
"),"A) Help him correct his mistakes.")</f>
        <v>A) Help him correct his mistakes.</v>
      </c>
      <c r="E137" s="5" t="str">
        <f>IFERROR(__xludf.DUMMYFUNCTION(" GOOGLETRANSLATE(K137, ""th"", ""en"")"),"Helping your teammates makes the team stronger and develops together.")</f>
        <v>Helping your teammates makes the team stronger and develops together.</v>
      </c>
      <c r="G137" s="6">
        <v>136.0</v>
      </c>
      <c r="H137" s="7" t="s">
        <v>1680</v>
      </c>
      <c r="I137" s="7" t="s">
        <v>1572</v>
      </c>
      <c r="J137" s="7" t="s">
        <v>1573</v>
      </c>
      <c r="K137" s="7" t="s">
        <v>1681</v>
      </c>
    </row>
    <row r="138" ht="14.25" customHeight="1">
      <c r="A138" s="4">
        <v>137.0</v>
      </c>
      <c r="B138" s="5" t="str">
        <f>IFERROR(__xludf.DUMMYFUNCTION("GOOGLETRANSLATE(H138, ""th"", ""en"")
"),"Your team is starting to suffer from stress. What should you do?")</f>
        <v>Your team is starting to suffer from stress. What should you do?</v>
      </c>
      <c r="C138" s="5" t="str">
        <f>IFERROR(__xludf.DUMMYFUNCTION("GOOGLETRANSLATE(I138, ""th"", ""en"")
"),"A) Talk and encourage each other to reduce stress; B) Let the team do its own thing; C) Avoid talking about stress; D) Reduce the effort required to compete.")</f>
        <v>A) Talk and encourage each other to reduce stress; B) Let the team do its own thing; C) Avoid talking about stress; D) Reduce the effort required to compete.</v>
      </c>
      <c r="D138" s="5" t="str">
        <f>IFERROR(__xludf.DUMMYFUNCTION("GOOGLETRANSLATE(J138, ""th"", ""en"")
"),"A) Talk and provide encouragement to reduce stress.")</f>
        <v>A) Talk and provide encouragement to reduce stress.</v>
      </c>
      <c r="E138" s="5" t="str">
        <f>IFERROR(__xludf.DUMMYFUNCTION(" GOOGLETRANSLATE(K138, ""th"", ""en"")"),"Talking and giving encouragement will help reduce stress and energize the team.")</f>
        <v>Talking and giving encouragement will help reduce stress and energize the team.</v>
      </c>
      <c r="G138" s="6">
        <v>137.0</v>
      </c>
      <c r="H138" s="7" t="s">
        <v>1682</v>
      </c>
      <c r="I138" s="7" t="s">
        <v>1683</v>
      </c>
      <c r="J138" s="7" t="s">
        <v>1663</v>
      </c>
      <c r="K138" s="7" t="s">
        <v>1684</v>
      </c>
    </row>
    <row r="139" ht="14.25" customHeight="1">
      <c r="A139" s="4">
        <v>138.0</v>
      </c>
      <c r="B139" s="5" t="str">
        <f>IFERROR(__xludf.DUMMYFUNCTION("GOOGLETRANSLATE(H139, ""th"", ""en"")
"),"You find that your teammates are getting tired during a match, what do you do?")</f>
        <v>You find that your teammates are getting tired during a match, what do you do?</v>
      </c>
      <c r="C139" s="5" t="str">
        <f>IFERROR(__xludf.DUMMYFUNCTION("GOOGLETRANSLATE(I139, ""th"", ""en"")
"),"A) Encourage him to rest and recharge; B) Let him do it his own way; C) Avoid talking about fatigue; D) Reduce his competitive effort.")</f>
        <v>A) Encourage him to rest and recharge; B) Let him do it his own way; C) Avoid talking about fatigue; D) Reduce his competitive effort.</v>
      </c>
      <c r="D139" s="5" t="str">
        <f>IFERROR(__xludf.DUMMYFUNCTION("GOOGLETRANSLATE(J139, ""th"", ""en"")
"),"A) Encourage him to rest and recharge.")</f>
        <v>A) Encourage him to rest and recharge.</v>
      </c>
      <c r="E139" s="5" t="str">
        <f>IFERROR(__xludf.DUMMYFUNCTION(" GOOGLETRANSLATE(K139, ""th"", ""en"")"),"Taking breaks allows teammates to recharge and return to better performance.")</f>
        <v>Taking breaks allows teammates to recharge and return to better performance.</v>
      </c>
      <c r="G139" s="6">
        <v>138.0</v>
      </c>
      <c r="H139" s="7" t="s">
        <v>1685</v>
      </c>
      <c r="I139" s="7" t="s">
        <v>1686</v>
      </c>
      <c r="J139" s="7" t="s">
        <v>1687</v>
      </c>
      <c r="K139" s="7" t="s">
        <v>1688</v>
      </c>
    </row>
    <row r="140" ht="14.25" customHeight="1">
      <c r="A140" s="4">
        <v>139.0</v>
      </c>
      <c r="B140" s="5" t="str">
        <f>IFERROR(__xludf.DUMMYFUNCTION("GOOGLETRANSLATE(H140, ""th"", ""en"")
"),"You feel like your team is losing unity during the match. What should you do?")</f>
        <v>You feel like your team is losing unity during the match. What should you do?</v>
      </c>
      <c r="C140" s="5" t="str">
        <f>IFERROR(__xludf.DUMMYFUNCTION("GOOGLETRANSLATE(I140, ""th"", ""en"")
"),"A) Communicate and work together to foster unity; B) Let the team do its own thing; C) Avoid discussing the issue; D) Reduce competitive efforts.")</f>
        <v>A) Communicate and work together to foster unity; B) Let the team do its own thing; C) Avoid discussing the issue; D) Reduce competitive efforts.</v>
      </c>
      <c r="D140" s="5" t="str">
        <f>IFERROR(__xludf.DUMMYFUNCTION("GOOGLETRANSLATE(J140, ""th"", ""en"")
"),"A) Communicate and work together to strengthen unity.")</f>
        <v>A) Communicate and work together to strengthen unity.</v>
      </c>
      <c r="E140" s="5" t="str">
        <f>IFERROR(__xludf.DUMMYFUNCTION(" GOOGLETRANSLATE(K140, ""th"", ""en"")"),"Communication and collaboration help build unity and improve team performance.")</f>
        <v>Communication and collaboration help build unity and improve team performance.</v>
      </c>
      <c r="G140" s="6">
        <v>139.0</v>
      </c>
      <c r="H140" s="7" t="s">
        <v>1689</v>
      </c>
      <c r="I140" s="7" t="s">
        <v>1610</v>
      </c>
      <c r="J140" s="7" t="s">
        <v>1491</v>
      </c>
      <c r="K140" s="7" t="s">
        <v>1690</v>
      </c>
    </row>
    <row r="141" ht="14.25" customHeight="1">
      <c r="A141" s="4">
        <v>140.0</v>
      </c>
      <c r="B141" s="5" t="str">
        <f>IFERROR(__xludf.DUMMYFUNCTION("GOOGLETRANSLATE(H141, ""th"", ""en"")
"),"You feel like your team is losing focus and not paying attention to the competition. What should you do?")</f>
        <v>You feel like your team is losing focus and not paying attention to the competition. What should you do?</v>
      </c>
      <c r="C141" s="5" t="str">
        <f>IFERROR(__xludf.DUMMYFUNCTION("GOOGLETRANSLATE(I141, ""th"", ""en"")
"),"A) motivate the team to refocus and increase their effort; B) let the team do its own thing; C) avoid stimulation; D) reduce competitive effort.")</f>
        <v>A) motivate the team to refocus and increase their effort; B) let the team do its own thing; C) avoid stimulation; D) reduce competitive effort.</v>
      </c>
      <c r="D141" s="5" t="str">
        <f>IFERROR(__xludf.DUMMYFUNCTION("GOOGLETRANSLATE(J141, ""th"", ""en"")
"),"A) Encourage the team to refocus and increase their efforts.")</f>
        <v>A) Encourage the team to refocus and increase their efforts.</v>
      </c>
      <c r="E141" s="5" t="str">
        <f>IFERROR(__xludf.DUMMYFUNCTION(" GOOGLETRANSLATE(K141, ""th"", ""en"")"),"Team motivation will increase commitment and bring the team back to focus on the competition.")</f>
        <v>Team motivation will increase commitment and bring the team back to focus on the competition.</v>
      </c>
      <c r="G141" s="6">
        <v>140.0</v>
      </c>
      <c r="H141" s="7" t="s">
        <v>1691</v>
      </c>
      <c r="I141" s="7" t="s">
        <v>1576</v>
      </c>
      <c r="J141" s="7" t="s">
        <v>1577</v>
      </c>
      <c r="K141" s="7" t="s">
        <v>1692</v>
      </c>
    </row>
    <row r="142" ht="14.25" customHeight="1">
      <c r="A142" s="4">
        <v>141.0</v>
      </c>
      <c r="B142" s="5" t="str">
        <f>IFERROR(__xludf.DUMMYFUNCTION("GOOGLETRANSLATE(H142, ""th"", ""en"")
"),"Your team is struggling with a lack of understanding of strategy. What can you do?")</f>
        <v>Your team is struggling with a lack of understanding of strategy. What can you do?</v>
      </c>
      <c r="C142" s="5" t="str">
        <f>IFERROR(__xludf.DUMMYFUNCTION("GOOGLETRANSLATE(I142, ""th"", ""en"")
"),"A) Explain and adjust the new strategy; B) Let the team do it their own way; C) Avoid discussing the issue; D) Reduce the effort required to compete.")</f>
        <v>A) Explain and adjust the new strategy; B) Let the team do it their own way; C) Avoid discussing the issue; D) Reduce the effort required to compete.</v>
      </c>
      <c r="D142" s="5" t="str">
        <f>IFERROR(__xludf.DUMMYFUNCTION("GOOGLETRANSLATE(J142, ""th"", ""en"")
"),"A) Explain and adjust the new strategy.")</f>
        <v>A) Explain and adjust the new strategy.</v>
      </c>
      <c r="E142" s="5" t="str">
        <f>IFERROR(__xludf.DUMMYFUNCTION(" GOOGLETRANSLATE(K142, ""th"", ""en"")"),"Explaining and adjusting strategies helps teams understand and work together better.")</f>
        <v>Explaining and adjusting strategies helps teams understand and work together better.</v>
      </c>
      <c r="G142" s="6">
        <v>141.0</v>
      </c>
      <c r="H142" s="7" t="s">
        <v>1693</v>
      </c>
      <c r="I142" s="7" t="s">
        <v>1694</v>
      </c>
      <c r="J142" s="7" t="s">
        <v>1695</v>
      </c>
      <c r="K142" s="7" t="s">
        <v>1696</v>
      </c>
    </row>
    <row r="143" ht="14.25" customHeight="1">
      <c r="A143" s="4">
        <v>142.0</v>
      </c>
      <c r="B143" s="5" t="str">
        <f>IFERROR(__xludf.DUMMYFUNCTION("GOOGLETRANSLATE(H143, ""th"", ""en"")
"),"You find that your boat is having trouble rowing in the right direction. What do you do?")</f>
        <v>You find that your boat is having trouble rowing in the right direction. What do you do?</v>
      </c>
      <c r="C143" s="5" t="str">
        <f>IFERROR(__xludf.DUMMYFUNCTION("GOOGLETRANSLATE(I143, ""th"", ""en"")
"),"A) Adjust your paddle position and direction; B) Try to paddle faster; C) Stop paddling and call for help; D) Let the boat move along its course.")</f>
        <v>A) Adjust your paddle position and direction; B) Try to paddle faster; C) Stop paddling and call for help; D) Let the boat move along its course.</v>
      </c>
      <c r="D143" s="5" t="str">
        <f>IFERROR(__xludf.DUMMYFUNCTION("GOOGLETRANSLATE(J143, ""th"", ""en"")
"),"A) Adjust the paddle position and control the direction.")</f>
        <v>A) Adjust the paddle position and control the direction.</v>
      </c>
      <c r="E143" s="5" t="str">
        <f>IFERROR(__xludf.DUMMYFUNCTION(" GOOGLETRANSLATE(K143, ""th"", ""en"")"),"Adjusting your paddle position will help you better control the direction of your boat.")</f>
        <v>Adjusting your paddle position will help you better control the direction of your boat.</v>
      </c>
      <c r="G143" s="6">
        <v>142.0</v>
      </c>
      <c r="H143" s="7" t="s">
        <v>1697</v>
      </c>
      <c r="I143" s="7" t="s">
        <v>1698</v>
      </c>
      <c r="J143" s="7" t="s">
        <v>1699</v>
      </c>
      <c r="K143" s="7" t="s">
        <v>1700</v>
      </c>
    </row>
    <row r="144" ht="14.25" customHeight="1">
      <c r="A144" s="4">
        <v>143.0</v>
      </c>
      <c r="B144" s="5" t="str">
        <f>IFERROR(__xludf.DUMMYFUNCTION("GOOGLETRANSLATE(H144, ""th"", ""en"")
"),"You feel like your team is getting tired in the second half of the match. What do you do?")</f>
        <v>You feel like your team is getting tired in the second half of the match. What do you do?</v>
      </c>
      <c r="C144" s="5" t="str">
        <f>IFERROR(__xludf.DUMMYFUNCTION("GOOGLETRANSLATE(I144, ""th"", ""en"")
"),"A) Encourage the team to rest and recharge; B) Let the team do its own thing; C) Avoid talking about fatigue; D) Reduce the effort required to compete.")</f>
        <v>A) Encourage the team to rest and recharge; B) Let the team do its own thing; C) Avoid talking about fatigue; D) Reduce the effort required to compete.</v>
      </c>
      <c r="D144" s="5" t="str">
        <f>IFERROR(__xludf.DUMMYFUNCTION("GOOGLETRANSLATE(J144, ""th"", ""en"")
"),"A) Encourage the team to rest and recharge.")</f>
        <v>A) Encourage the team to rest and recharge.</v>
      </c>
      <c r="E144" s="5" t="str">
        <f>IFERROR(__xludf.DUMMYFUNCTION(" GOOGLETRANSLATE(K144, ""th"", ""en"")"),"Giving the team time to rest and recharge allows them to come back stronger and refreshed.")</f>
        <v>Giving the team time to rest and recharge allows them to come back stronger and refreshed.</v>
      </c>
      <c r="G144" s="6">
        <v>143.0</v>
      </c>
      <c r="H144" s="7" t="s">
        <v>1701</v>
      </c>
      <c r="I144" s="7" t="s">
        <v>1702</v>
      </c>
      <c r="J144" s="7" t="s">
        <v>1617</v>
      </c>
      <c r="K144" s="7" t="s">
        <v>1703</v>
      </c>
    </row>
    <row r="145" ht="14.25" customHeight="1">
      <c r="A145" s="4">
        <v>144.0</v>
      </c>
      <c r="B145" s="5" t="str">
        <f>IFERROR(__xludf.DUMMYFUNCTION("GOOGLETRANSLATE(H145, ""th"", ""en"")
"),"You find that your teammates are not working well together. What do you do?")</f>
        <v>You find that your teammates are not working well together. What do you do?</v>
      </c>
      <c r="C145" s="5" t="str">
        <f>IFERROR(__xludf.DUMMYFUNCTION("GOOGLETRANSLATE(I145, ""th"", ""en"")
"),"A) Communicate and adjust how they work together; B) Let them do it their own way; C) Avoid bringing up the issue; D) Reduce competitive efforts.")</f>
        <v>A) Communicate and adjust how they work together; B) Let them do it their own way; C) Avoid bringing up the issue; D) Reduce competitive efforts.</v>
      </c>
      <c r="D145" s="5" t="str">
        <f>IFERROR(__xludf.DUMMYFUNCTION("GOOGLETRANSLATE(J145, ""th"", ""en"")
"),"A) Communicate and adjust working methods.")</f>
        <v>A) Communicate and adjust working methods.</v>
      </c>
      <c r="E145" s="5" t="str">
        <f>IFERROR(__xludf.DUMMYFUNCTION(" GOOGLETRANSLATE(K145, ""th"", ""en"")"),"Good communication helps teams work better together.")</f>
        <v>Good communication helps teams work better together.</v>
      </c>
      <c r="G145" s="6">
        <v>144.0</v>
      </c>
      <c r="H145" s="7" t="s">
        <v>1704</v>
      </c>
      <c r="I145" s="7" t="s">
        <v>1705</v>
      </c>
      <c r="J145" s="7" t="s">
        <v>1706</v>
      </c>
      <c r="K145" s="7" t="s">
        <v>1707</v>
      </c>
    </row>
    <row r="146" ht="14.25" customHeight="1">
      <c r="A146" s="4">
        <v>145.0</v>
      </c>
      <c r="B146" s="5" t="str">
        <f>IFERROR(__xludf.DUMMYFUNCTION("GOOGLETRANSLATE(H146, ""th"", ""en"")
"),"During the race, you feel that your boat is becoming unstable. What do you do?")</f>
        <v>During the race, you feel that your boat is becoming unstable. What do you do?</v>
      </c>
      <c r="C146" s="5" t="str">
        <f>IFERROR(__xludf.DUMMYFUNCTION("GOOGLETRANSLATE(I146, ""th"", ""en"")
"),"A) Adjust your paddle position to regain stability; B) Try to paddle faster; C) Stop paddling and ask for directions; D) Let the boat go on its course.")</f>
        <v>A) Adjust your paddle position to regain stability; B) Try to paddle faster; C) Stop paddling and ask for directions; D) Let the boat go on its course.</v>
      </c>
      <c r="D146" s="5" t="str">
        <f>IFERROR(__xludf.DUMMYFUNCTION("GOOGLETRANSLATE(J146, ""th"", ""en"")
"),"A) Adjust the paddle position to restore stability to the boat.")</f>
        <v>A) Adjust the paddle position to restore stability to the boat.</v>
      </c>
      <c r="E146" s="5" t="str">
        <f>IFERROR(__xludf.DUMMYFUNCTION(" GOOGLETRANSLATE(K146, ""th"", ""en"")"),"Adjusting the paddle position helps the boat regain stability and better control.")</f>
        <v>Adjusting the paddle position helps the boat regain stability and better control.</v>
      </c>
      <c r="G146" s="6">
        <v>145.0</v>
      </c>
      <c r="H146" s="7" t="s">
        <v>1708</v>
      </c>
      <c r="I146" s="7" t="s">
        <v>1709</v>
      </c>
      <c r="J146" s="7" t="s">
        <v>1710</v>
      </c>
      <c r="K146" s="7" t="s">
        <v>1711</v>
      </c>
    </row>
    <row r="147" ht="14.25" customHeight="1">
      <c r="A147" s="4">
        <v>146.0</v>
      </c>
      <c r="B147" s="5" t="str">
        <f>IFERROR(__xludf.DUMMYFUNCTION("GOOGLETRANSLATE(H147, ""th"", ""en"")
"),"You see your teammates making mistakes frequently, what do you do?")</f>
        <v>You see your teammates making mistakes frequently, what do you do?</v>
      </c>
      <c r="C147" s="5" t="str">
        <f>IFERROR(__xludf.DUMMYFUNCTION("GOOGLETRANSLATE(I147, ""th"", ""en"")
"),"A) Help him correct his mistake; B) Blame him loudly; C) Let him do it himself; D) Avoid talking about the problem.")</f>
        <v>A) Help him correct his mistake; B) Blame him loudly; C) Let him do it himself; D) Avoid talking about the problem.</v>
      </c>
      <c r="D147" s="5" t="str">
        <f>IFERROR(__xludf.DUMMYFUNCTION("GOOGLETRANSLATE(J147, ""th"", ""en"")
"),"A) Help him correct his mistakes.")</f>
        <v>A) Help him correct his mistakes.</v>
      </c>
      <c r="E147" s="5" t="str">
        <f>IFERROR(__xludf.DUMMYFUNCTION(" GOOGLETRANSLATE(K147, ""th"", ""en"")"),"Helping your teammates helps the team develop together.")</f>
        <v>Helping your teammates helps the team develop together.</v>
      </c>
      <c r="G147" s="6">
        <v>146.0</v>
      </c>
      <c r="H147" s="7" t="s">
        <v>1712</v>
      </c>
      <c r="I147" s="7" t="s">
        <v>1572</v>
      </c>
      <c r="J147" s="7" t="s">
        <v>1573</v>
      </c>
      <c r="K147" s="7" t="s">
        <v>1713</v>
      </c>
    </row>
    <row r="148" ht="14.25" customHeight="1">
      <c r="A148" s="4">
        <v>147.0</v>
      </c>
      <c r="B148" s="5" t="str">
        <f>IFERROR(__xludf.DUMMYFUNCTION("GOOGLETRANSLATE(H148, ""th"", ""en"")
"),"Your team needs a change of strategy during the match. What do you do?")</f>
        <v>Your team needs a change of strategy during the match. What do you do?</v>
      </c>
      <c r="C148" s="5" t="str">
        <f>IFERROR(__xludf.DUMMYFUNCTION("GOOGLETRANSLATE(I148, ""th"", ""en"")
"),"A) Adjust strategies to suit the situation; B) Let the team do its own thing; C) Avoid changing strategies; D) Reduce the effort required to compete.")</f>
        <v>A) Adjust strategies to suit the situation; B) Let the team do its own thing; C) Avoid changing strategies; D) Reduce the effort required to compete.</v>
      </c>
      <c r="D148" s="5" t="str">
        <f>IFERROR(__xludf.DUMMYFUNCTION("GOOGLETRANSLATE(J148, ""th"", ""en"")
"),"A) Adjust strategies to suit the situation.")</f>
        <v>A) Adjust strategies to suit the situation.</v>
      </c>
      <c r="E148" s="5" t="str">
        <f>IFERROR(__xludf.DUMMYFUNCTION(" GOOGLETRANSLATE(K148, ""th"", ""en"")"),"Optimizing your strategy allows your team to better handle situations.")</f>
        <v>Optimizing your strategy allows your team to better handle situations.</v>
      </c>
      <c r="G148" s="6">
        <v>147.0</v>
      </c>
      <c r="H148" s="7" t="s">
        <v>1714</v>
      </c>
      <c r="I148" s="7" t="s">
        <v>1715</v>
      </c>
      <c r="J148" s="7" t="s">
        <v>1716</v>
      </c>
      <c r="K148" s="7" t="s">
        <v>1717</v>
      </c>
    </row>
    <row r="149" ht="14.25" customHeight="1">
      <c r="A149" s="4">
        <v>148.0</v>
      </c>
      <c r="B149" s="5" t="str">
        <f>IFERROR(__xludf.DUMMYFUNCTION("GOOGLETRANSLATE(H149, ""th"", ""en"")
"),"You notice that your teammates are starting to lose focus during the match. What do you do?")</f>
        <v>You notice that your teammates are starting to lose focus during the match. What do you do?</v>
      </c>
      <c r="C149" s="5" t="str">
        <f>IFERROR(__xludf.DUMMYFUNCTION("GOOGLETRANSLATE(I149, ""th"", ""en"")
"),"A) Encourage him to regain focus; B) Let him do it his own way; C) Avoid talking about it; D) Reduce his competitiveness.")</f>
        <v>A) Encourage him to regain focus; B) Let him do it his own way; C) Avoid talking about it; D) Reduce his competitiveness.</v>
      </c>
      <c r="D149" s="5" t="str">
        <f>IFERROR(__xludf.DUMMYFUNCTION("GOOGLETRANSLATE(J149, ""th"", ""en"")
"),"A) Encourage him to regain focus.")</f>
        <v>A) Encourage him to regain focus.</v>
      </c>
      <c r="E149" s="5" t="str">
        <f>IFERROR(__xludf.DUMMYFUNCTION(" GOOGLETRANSLATE(K149, ""th"", ""en"")"),"Encouraging him to regain focus will help him to concentrate and perform better.")</f>
        <v>Encouraging him to regain focus will help him to concentrate and perform better.</v>
      </c>
      <c r="G149" s="6">
        <v>148.0</v>
      </c>
      <c r="H149" s="7" t="s">
        <v>1718</v>
      </c>
      <c r="I149" s="7" t="s">
        <v>1645</v>
      </c>
      <c r="J149" s="7" t="s">
        <v>1646</v>
      </c>
      <c r="K149" s="7" t="s">
        <v>1719</v>
      </c>
    </row>
    <row r="150" ht="14.25" customHeight="1">
      <c r="A150" s="4">
        <v>149.0</v>
      </c>
      <c r="B150" s="5" t="str">
        <f>IFERROR(__xludf.DUMMYFUNCTION("GOOGLETRANSLATE(H150, ""th"", ""en"")
"),"Your team is starting to lose unity. What should you do?")</f>
        <v>Your team is starting to lose unity. What should you do?</v>
      </c>
      <c r="C150" s="5" t="str">
        <f>IFERROR(__xludf.DUMMYFUNCTION("GOOGLETRANSLATE(I150, ""th"", ""en"")
"),"A) Communicate and work together to foster unity; B) Let the team do its own thing; C) Avoid discussing the issue; D) Reduce competitive efforts.")</f>
        <v>A) Communicate and work together to foster unity; B) Let the team do its own thing; C) Avoid discussing the issue; D) Reduce competitive efforts.</v>
      </c>
      <c r="D150" s="5" t="str">
        <f>IFERROR(__xludf.DUMMYFUNCTION("GOOGLETRANSLATE(J150, ""th"", ""en"")
"),"A) Communicate and work together to strengthen unity.")</f>
        <v>A) Communicate and work together to strengthen unity.</v>
      </c>
      <c r="E150" s="5" t="str">
        <f>IFERROR(__xludf.DUMMYFUNCTION(" GOOGLETRANSLATE(K150, ""th"", ""en"")"),"Good communication helps build team unity.")</f>
        <v>Good communication helps build team unity.</v>
      </c>
      <c r="G150" s="6">
        <v>149.0</v>
      </c>
      <c r="H150" s="7" t="s">
        <v>1665</v>
      </c>
      <c r="I150" s="7" t="s">
        <v>1610</v>
      </c>
      <c r="J150" s="7" t="s">
        <v>1491</v>
      </c>
      <c r="K150" s="7" t="s">
        <v>1720</v>
      </c>
    </row>
    <row r="151" ht="14.25" customHeight="1">
      <c r="A151" s="4">
        <v>150.0</v>
      </c>
      <c r="B151" s="5" t="str">
        <f>IFERROR(__xludf.DUMMYFUNCTION("GOOGLETRANSLATE(H151, ""th"", ""en"")
"),"During the race, you find that your boat is spinning. What do you do?")</f>
        <v>During the race, you find that your boat is spinning. What do you do?</v>
      </c>
      <c r="C151" s="5" t="str">
        <f>IFERROR(__xludf.DUMMYFUNCTION("GOOGLETRANSLATE(I151, ""th"", ""en"")
"),"A) Adjust your oar position to straighten the boat back out; B) Try to row faster; C) Stop paddling and call for help; D) Let the boat move along its course.")</f>
        <v>A) Adjust your oar position to straighten the boat back out; B) Try to row faster; C) Stop paddling and call for help; D) Let the boat move along its course.</v>
      </c>
      <c r="D151" s="5" t="str">
        <f>IFERROR(__xludf.DUMMYFUNCTION("GOOGLETRANSLATE(J151, ""th"", ""en"")
"),"A) Adjust the rowing position to bring the boat back straight.")</f>
        <v>A) Adjust the rowing position to bring the boat back straight.</v>
      </c>
      <c r="E151" s="5" t="str">
        <f>IFERROR(__xludf.DUMMYFUNCTION(" GOOGLETRANSLATE(K151, ""th"", ""en"")"),"Adjusting your paddle position will help your boat become more straight and stable.")</f>
        <v>Adjusting your paddle position will help your boat become more straight and stable.</v>
      </c>
      <c r="G151" s="6">
        <v>150.0</v>
      </c>
      <c r="H151" s="7" t="s">
        <v>1721</v>
      </c>
      <c r="I151" s="7" t="s">
        <v>1637</v>
      </c>
      <c r="J151" s="7" t="s">
        <v>1638</v>
      </c>
      <c r="K151" s="7" t="s">
        <v>1722</v>
      </c>
    </row>
    <row r="152" ht="14.25" customHeight="1">
      <c r="A152" s="4">
        <v>151.0</v>
      </c>
      <c r="B152" s="5" t="str">
        <f>IFERROR(__xludf.DUMMYFUNCTION("GOOGLETRANSLATE(H152, ""th"", ""en"")
"),"Your team is starting to suffer from stress. What should you do?")</f>
        <v>Your team is starting to suffer from stress. What should you do?</v>
      </c>
      <c r="C152" s="5" t="str">
        <f>IFERROR(__xludf.DUMMYFUNCTION("GOOGLETRANSLATE(I152, ""th"", ""en"")
"),"A) Talk and encourage each other to reduce stress; B) Let the team do its own thing; C) Avoid talking about stress; D) Reduce the effort required to compete.")</f>
        <v>A) Talk and encourage each other to reduce stress; B) Let the team do its own thing; C) Avoid talking about stress; D) Reduce the effort required to compete.</v>
      </c>
      <c r="D152" s="5" t="str">
        <f>IFERROR(__xludf.DUMMYFUNCTION("GOOGLETRANSLATE(J152, ""th"", ""en"")
"),"A) Talk and provide encouragement to reduce stress.")</f>
        <v>A) Talk and provide encouragement to reduce stress.</v>
      </c>
      <c r="E152" s="5" t="str">
        <f>IFERROR(__xludf.DUMMYFUNCTION(" GOOGLETRANSLATE(K152, ""th"", ""en"")"),"Talking and giving encouragement can reduce stress and boost team morale.")</f>
        <v>Talking and giving encouragement can reduce stress and boost team morale.</v>
      </c>
      <c r="G152" s="6">
        <v>151.0</v>
      </c>
      <c r="H152" s="7" t="s">
        <v>1682</v>
      </c>
      <c r="I152" s="7" t="s">
        <v>1683</v>
      </c>
      <c r="J152" s="7" t="s">
        <v>1663</v>
      </c>
      <c r="K152" s="7" t="s">
        <v>1723</v>
      </c>
    </row>
    <row r="153" ht="14.25" customHeight="1">
      <c r="A153" s="4">
        <v>152.0</v>
      </c>
      <c r="B153" s="5" t="str">
        <f>IFERROR(__xludf.DUMMYFUNCTION("GOOGLETRANSLATE(H153, ""th"", ""en"")
"),"You see your boat starting to veer off course during the race, what do you do?")</f>
        <v>You see your boat starting to veer off course during the race, what do you do?</v>
      </c>
      <c r="C153" s="5" t="str">
        <f>IFERROR(__xludf.DUMMYFUNCTION("GOOGLETRANSLATE(I153, ""th"", ""en"")
"),"A) Adjust your paddle position to straighten the boat back out; B) Try to paddle faster; C) Stop paddling and ask for directions; D) Let the boat go on its course.")</f>
        <v>A) Adjust your paddle position to straighten the boat back out; B) Try to paddle faster; C) Stop paddling and ask for directions; D) Let the boat go on its course.</v>
      </c>
      <c r="D153" s="5" t="str">
        <f>IFERROR(__xludf.DUMMYFUNCTION("GOOGLETRANSLATE(J153, ""th"", ""en"")
"),"A) Adjust the rowing position to bring the boat back straight.")</f>
        <v>A) Adjust the rowing position to bring the boat back straight.</v>
      </c>
      <c r="E153" s="5" t="str">
        <f>IFERROR(__xludf.DUMMYFUNCTION(" GOOGLETRANSLATE(K153, ""th"", ""en"")"),"Adjusting the paddle position will help get the boat back on track.")</f>
        <v>Adjusting the paddle position will help get the boat back on track.</v>
      </c>
      <c r="G153" s="6">
        <v>152.0</v>
      </c>
      <c r="H153" s="7" t="s">
        <v>1724</v>
      </c>
      <c r="I153" s="7" t="s">
        <v>1725</v>
      </c>
      <c r="J153" s="7" t="s">
        <v>1638</v>
      </c>
      <c r="K153" s="7" t="s">
        <v>1726</v>
      </c>
    </row>
    <row r="154" ht="14.25" customHeight="1">
      <c r="A154" s="4">
        <v>153.0</v>
      </c>
      <c r="B154" s="5" t="str">
        <f>IFERROR(__xludf.DUMMYFUNCTION("GOOGLETRANSLATE(H154, ""th"", ""en"")
"),"Your team is experiencing communication issues during the match. What should you do?")</f>
        <v>Your team is experiencing communication issues during the match. What should you do?</v>
      </c>
      <c r="C154" s="5" t="str">
        <f>IFERROR(__xludf.DUMMYFUNCTION("GOOGLETRANSLATE(I154, ""th"", ""en"")
"),"A) Try to improve communication within the team; B) Let the team do its own thing; C) Avoid talking about the issue; D) Reduce the effort to compete.")</f>
        <v>A) Try to improve communication within the team; B) Let the team do its own thing; C) Avoid talking about the issue; D) Reduce the effort to compete.</v>
      </c>
      <c r="D154" s="5" t="str">
        <f>IFERROR(__xludf.DUMMYFUNCTION("GOOGLETRANSLATE(J154, ""th"", ""en"")
"),"A) Try to improve communication within the team.")</f>
        <v>A) Try to improve communication within the team.</v>
      </c>
      <c r="E154" s="5" t="str">
        <f>IFERROR(__xludf.DUMMYFUNCTION(" GOOGLETRANSLATE(K154, ""th"", ""en"")"),"Good communication allows teams to work together effectively.")</f>
        <v>Good communication allows teams to work together effectively.</v>
      </c>
      <c r="G154" s="6">
        <v>153.0</v>
      </c>
      <c r="H154" s="7" t="s">
        <v>1727</v>
      </c>
      <c r="I154" s="7" t="s">
        <v>1552</v>
      </c>
      <c r="J154" s="7" t="s">
        <v>1553</v>
      </c>
      <c r="K154" s="7" t="s">
        <v>1728</v>
      </c>
    </row>
    <row r="155" ht="14.25" customHeight="1">
      <c r="A155" s="4">
        <v>154.0</v>
      </c>
      <c r="B155" s="5" t="str">
        <f>IFERROR(__xludf.DUMMYFUNCTION("GOOGLETRANSLATE(H155, ""th"", ""en"")
"),"You feel your boat starting to slip and become unstable, what do you do?")</f>
        <v>You feel your boat starting to slip and become unstable, what do you do?</v>
      </c>
      <c r="C155" s="5" t="str">
        <f>IFERROR(__xludf.DUMMYFUNCTION("GOOGLETRANSLATE(I155, ""th"", ""en"")
"),"A) Adjust your paddle position to increase stability; B) Try to paddle faster; C) Stop paddling and ask for directions; D) Let the boat move along its course.")</f>
        <v>A) Adjust your paddle position to increase stability; B) Try to paddle faster; C) Stop paddling and ask for directions; D) Let the boat move along its course.</v>
      </c>
      <c r="D155" s="5" t="str">
        <f>IFERROR(__xludf.DUMMYFUNCTION("GOOGLETRANSLATE(J155, ""th"", ""en"")
"),"A) Adjust the paddle position to increase stability.")</f>
        <v>A) Adjust the paddle position to increase stability.</v>
      </c>
      <c r="E155" s="5" t="str">
        <f>IFERROR(__xludf.DUMMYFUNCTION(" GOOGLETRANSLATE(K155, ""th"", ""en"")"),"Adjusting the paddle position helps to stabilize the boat and improve its performance in competition.")</f>
        <v>Adjusting the paddle position helps to stabilize the boat and improve its performance in competition.</v>
      </c>
      <c r="G155" s="6">
        <v>154.0</v>
      </c>
      <c r="H155" s="7" t="s">
        <v>1729</v>
      </c>
      <c r="I155" s="7" t="s">
        <v>1730</v>
      </c>
      <c r="J155" s="7" t="s">
        <v>1545</v>
      </c>
      <c r="K155" s="7" t="s">
        <v>1731</v>
      </c>
    </row>
    <row r="156" ht="14.25" customHeight="1">
      <c r="A156" s="4">
        <v>155.0</v>
      </c>
      <c r="B156" s="5" t="str">
        <f>IFERROR(__xludf.DUMMYFUNCTION("GOOGLETRANSLATE(H156, ""th"", ""en"")
"),"Your team starts to lose focus mid-game. What do you do?")</f>
        <v>Your team starts to lose focus mid-game. What do you do?</v>
      </c>
      <c r="C156" s="5" t="str">
        <f>IFERROR(__xludf.DUMMYFUNCTION("GOOGLETRANSLATE(I156, ""th"", ""en"")
"),"A) motivate the team to refocus and increase their effort; B) let the team do its own thing; C) avoid stimulation; D) reduce competitive effort.")</f>
        <v>A) motivate the team to refocus and increase their effort; B) let the team do its own thing; C) avoid stimulation; D) reduce competitive effort.</v>
      </c>
      <c r="D156" s="5" t="str">
        <f>IFERROR(__xludf.DUMMYFUNCTION("GOOGLETRANSLATE(J156, ""th"", ""en"")
"),"A) Encourage the team to refocus and increase their efforts.")</f>
        <v>A) Encourage the team to refocus and increase their efforts.</v>
      </c>
      <c r="E156" s="5" t="str">
        <f>IFERROR(__xludf.DUMMYFUNCTION(" GOOGLETRANSLATE(K156, ""th"", ""en"")"),"Motivating the team will help them regain focus and perform better.")</f>
        <v>Motivating the team will help them regain focus and perform better.</v>
      </c>
      <c r="G156" s="6">
        <v>155.0</v>
      </c>
      <c r="H156" s="7" t="s">
        <v>1732</v>
      </c>
      <c r="I156" s="7" t="s">
        <v>1576</v>
      </c>
      <c r="J156" s="7" t="s">
        <v>1577</v>
      </c>
      <c r="K156" s="7" t="s">
        <v>1733</v>
      </c>
    </row>
    <row r="157" ht="14.25" customHeight="1">
      <c r="A157" s="4">
        <v>156.0</v>
      </c>
      <c r="B157" s="5" t="str">
        <f>IFERROR(__xludf.DUMMYFUNCTION("GOOGLETRANSLATE(H157, ""th"", ""en"")
"),"You see your teammates making several mistakes during the match, what do you do?")</f>
        <v>You see your teammates making several mistakes during the match, what do you do?</v>
      </c>
      <c r="C157" s="5" t="str">
        <f>IFERROR(__xludf.DUMMYFUNCTION("GOOGLETRANSLATE(I157, ""th"", ""en"")
"),"A) Help him correct his mistake; B) Blame him loudly; C) Let him do it himself; D) Avoid talking about the problem.")</f>
        <v>A) Help him correct his mistake; B) Blame him loudly; C) Let him do it himself; D) Avoid talking about the problem.</v>
      </c>
      <c r="D157" s="5" t="str">
        <f>IFERROR(__xludf.DUMMYFUNCTION("GOOGLETRANSLATE(J157, ""th"", ""en"")
"),"A) Help him correct his mistakes.")</f>
        <v>A) Help him correct his mistakes.</v>
      </c>
      <c r="E157" s="5" t="str">
        <f>IFERROR(__xludf.DUMMYFUNCTION(" GOOGLETRANSLATE(K157, ""th"", ""en"")"),"Helping teammates allows the team to develop and work better together.")</f>
        <v>Helping teammates allows the team to develop and work better together.</v>
      </c>
      <c r="G157" s="6">
        <v>156.0</v>
      </c>
      <c r="H157" s="7" t="s">
        <v>1734</v>
      </c>
      <c r="I157" s="7" t="s">
        <v>1572</v>
      </c>
      <c r="J157" s="7" t="s">
        <v>1573</v>
      </c>
      <c r="K157" s="7" t="s">
        <v>1735</v>
      </c>
    </row>
    <row r="158" ht="14.25" customHeight="1">
      <c r="A158" s="4">
        <v>157.0</v>
      </c>
      <c r="B158" s="5" t="str">
        <f>IFERROR(__xludf.DUMMYFUNCTION("GOOGLETRANSLATE(H158, ""th"", ""en"")
"),"Your team is starting to lose focus during the match. What should you do?")</f>
        <v>Your team is starting to lose focus during the match. What should you do?</v>
      </c>
      <c r="C158" s="5" t="str">
        <f>IFERROR(__xludf.DUMMYFUNCTION("GOOGLETRANSLATE(I158, ""th"", ""en"")
"),"A) motivate the team to refocus and increase their effort; B) let the team do its own thing; C) avoid stimulation; D) reduce competitive effort.")</f>
        <v>A) motivate the team to refocus and increase their effort; B) let the team do its own thing; C) avoid stimulation; D) reduce competitive effort.</v>
      </c>
      <c r="D158" s="5" t="str">
        <f>IFERROR(__xludf.DUMMYFUNCTION("GOOGLETRANSLATE(J158, ""th"", ""en"")
"),"A) Encourage the team to refocus and increase their efforts.")</f>
        <v>A) Encourage the team to refocus and increase their efforts.</v>
      </c>
      <c r="E158" s="5" t="str">
        <f>IFERROR(__xludf.DUMMYFUNCTION(" GOOGLETRANSLATE(K158, ""th"", ""en"")"),"Team motivation will increase commitment and bring the team back to focus on the competition.")</f>
        <v>Team motivation will increase commitment and bring the team back to focus on the competition.</v>
      </c>
      <c r="G158" s="6">
        <v>157.0</v>
      </c>
      <c r="H158" s="7" t="s">
        <v>1736</v>
      </c>
      <c r="I158" s="7" t="s">
        <v>1576</v>
      </c>
      <c r="J158" s="7" t="s">
        <v>1577</v>
      </c>
      <c r="K158" s="7" t="s">
        <v>1692</v>
      </c>
    </row>
    <row r="159" ht="14.25" customHeight="1">
      <c r="A159" s="4">
        <v>158.0</v>
      </c>
      <c r="B159" s="5" t="str">
        <f>IFERROR(__xludf.DUMMYFUNCTION("GOOGLETRANSLATE(H159, ""th"", ""en"")
"),"Your team is starting to suffer from inexperience. What should you do?")</f>
        <v>Your team is starting to suffer from inexperience. What should you do?</v>
      </c>
      <c r="C159" s="5" t="str">
        <f>IFERROR(__xludf.DUMMYFUNCTION("GOOGLETRANSLATE(I159, ""th"", ""en"")
"),"A) Teach and give advice to gain experience; B) Let the team do it their own way; C) Avoid talking about the issue; D) Reduce the effort to compete.")</f>
        <v>A) Teach and give advice to gain experience; B) Let the team do it their own way; C) Avoid talking about the issue; D) Reduce the effort to compete.</v>
      </c>
      <c r="D159" s="5" t="str">
        <f>IFERROR(__xludf.DUMMYFUNCTION("GOOGLETRANSLATE(J159, ""th"", ""en"")
"),"A) Teach and give advice to increase experience.")</f>
        <v>A) Teach and give advice to increase experience.</v>
      </c>
      <c r="E159" s="5" t="str">
        <f>IFERROR(__xludf.DUMMYFUNCTION(" GOOGLETRANSLATE(K159, ""th"", ""en"")"),"Coaching and mentoring help improve experience and enhance the team's capabilities.")</f>
        <v>Coaching and mentoring help improve experience and enhance the team's capabilities.</v>
      </c>
      <c r="G159" s="6">
        <v>158.0</v>
      </c>
      <c r="H159" s="7" t="s">
        <v>1737</v>
      </c>
      <c r="I159" s="7" t="s">
        <v>1738</v>
      </c>
      <c r="J159" s="7" t="s">
        <v>1739</v>
      </c>
      <c r="K159" s="7" t="s">
        <v>1740</v>
      </c>
    </row>
    <row r="160" ht="14.25" customHeight="1">
      <c r="A160" s="4">
        <v>159.0</v>
      </c>
      <c r="B160" s="5" t="str">
        <f>IFERROR(__xludf.DUMMYFUNCTION("GOOGLETRANSLATE(H160, ""th"", ""en"")
"),"Your team is starting to feel stressed out from the pressure. What do you do?")</f>
        <v>Your team is starting to feel stressed out from the pressure. What do you do?</v>
      </c>
      <c r="C160" s="5" t="str">
        <f>IFERROR(__xludf.DUMMYFUNCTION("GOOGLETRANSLATE(I160, ""th"", ""en"")
"),"A) Talk and offer encouragement to help reduce stress; B) Let the team do its own thing; C) Avoid talking about stress; D) Reduce competitive effort.")</f>
        <v>A) Talk and offer encouragement to help reduce stress; B) Let the team do its own thing; C) Avoid talking about stress; D) Reduce competitive effort.</v>
      </c>
      <c r="D160" s="5" t="str">
        <f>IFERROR(__xludf.DUMMYFUNCTION("GOOGLETRANSLATE(J160, ""th"", ""en"")
"),"A) Talk and offer encouragement to help reduce stress.")</f>
        <v>A) Talk and offer encouragement to help reduce stress.</v>
      </c>
      <c r="E160" s="5" t="str">
        <f>IFERROR(__xludf.DUMMYFUNCTION(" GOOGLETRANSLATE(K160, ""th"", ""en"")"),"Encouragement reduces stress and keeps the team motivated to compete.")</f>
        <v>Encouragement reduces stress and keeps the team motivated to compete.</v>
      </c>
      <c r="G160" s="6">
        <v>159.0</v>
      </c>
      <c r="H160" s="7" t="s">
        <v>1741</v>
      </c>
      <c r="I160" s="7" t="s">
        <v>1742</v>
      </c>
      <c r="J160" s="7" t="s">
        <v>1743</v>
      </c>
      <c r="K160" s="7" t="s">
        <v>1744</v>
      </c>
    </row>
    <row r="161" ht="14.25" customHeight="1">
      <c r="A161" s="4">
        <v>160.0</v>
      </c>
      <c r="B161" s="5" t="str">
        <f>IFERROR(__xludf.DUMMYFUNCTION("GOOGLETRANSLATE(H161, ""th"", ""en"")
"),"You see that your teammates are starting to suffer from mental problems due to stress. What do you do?")</f>
        <v>You see that your teammates are starting to suffer from mental problems due to stress. What do you do?</v>
      </c>
      <c r="C161" s="5" t="str">
        <f>IFERROR(__xludf.DUMMYFUNCTION("GOOGLETRANSLATE(I161, ""th"", ""en"")
"),"A) Talk and offer encouragement to help him relax; B) Let him do his own thing; C) Avoid talking about stress; D) Reduce your competitiveness.")</f>
        <v>A) Talk and offer encouragement to help him relax; B) Let him do his own thing; C) Avoid talking about stress; D) Reduce your competitiveness.</v>
      </c>
      <c r="D161" s="5" t="str">
        <f>IFERROR(__xludf.DUMMYFUNCTION("GOOGLETRANSLATE(J161, ""th"", ""en"")
"),"A) Talk and give him encouragement to help him relax.")</f>
        <v>A) Talk and give him encouragement to help him relax.</v>
      </c>
      <c r="E161" s="5" t="str">
        <f>IFERROR(__xludf.DUMMYFUNCTION(" GOOGLETRANSLATE(K161, ""th"", ""en"")"),"Talking and giving encouragement reduces stress and makes teammates feel better.")</f>
        <v>Talking and giving encouragement reduces stress and makes teammates feel better.</v>
      </c>
      <c r="G161" s="6">
        <v>160.0</v>
      </c>
      <c r="H161" s="7" t="s">
        <v>1745</v>
      </c>
      <c r="I161" s="7" t="s">
        <v>1746</v>
      </c>
      <c r="J161" s="7" t="s">
        <v>1747</v>
      </c>
      <c r="K161" s="7" t="s">
        <v>1748</v>
      </c>
    </row>
    <row r="162" ht="14.25" customHeight="1">
      <c r="A162" s="4">
        <v>161.0</v>
      </c>
      <c r="B162" s="5" t="str">
        <f>IFERROR(__xludf.DUMMYFUNCTION("GOOGLETRANSLATE(H162, ""th"", ""en"")
"),"Your team starts making frequent mistakes during the match. What should you do?")</f>
        <v>Your team starts making frequent mistakes during the match. What should you do?</v>
      </c>
      <c r="C162" s="5" t="str">
        <f>IFERROR(__xludf.DUMMYFUNCTION("GOOGLETRANSLATE(I162, ""th"", ""en"")
"),"A) Provide advice and improve strategies; B) Let the team do it their own way; C) Avoid talking about mistakes; D) Reduce the effort required to compete.")</f>
        <v>A) Provide advice and improve strategies; B) Let the team do it their own way; C) Avoid talking about mistakes; D) Reduce the effort required to compete.</v>
      </c>
      <c r="D162" s="5" t="str">
        <f>IFERROR(__xludf.DUMMYFUNCTION("GOOGLETRANSLATE(J162, ""th"", ""en"")
"),"A) Provide advice and improve strategies.")</f>
        <v>A) Provide advice and improve strategies.</v>
      </c>
      <c r="E162" s="5" t="str">
        <f>IFERROR(__xludf.DUMMYFUNCTION(" GOOGLETRANSLATE(K162, ""th"", ""en"")"),"Providing advice and improving strategies will help the team perform better.")</f>
        <v>Providing advice and improving strategies will help the team perform better.</v>
      </c>
      <c r="G162" s="6">
        <v>161.0</v>
      </c>
      <c r="H162" s="7" t="s">
        <v>1749</v>
      </c>
      <c r="I162" s="7" t="s">
        <v>1750</v>
      </c>
      <c r="J162" s="7" t="s">
        <v>1751</v>
      </c>
      <c r="K162" s="7" t="s">
        <v>1752</v>
      </c>
    </row>
    <row r="163" ht="14.25" customHeight="1">
      <c r="A163" s="4">
        <v>162.0</v>
      </c>
      <c r="B163" s="5" t="str">
        <f>IFERROR(__xludf.DUMMYFUNCTION("GOOGLETRANSLATE(H163, ""th"", ""en"")
"),"You feel like your teammates are losing confidence in you, what should you do?")</f>
        <v>You feel like your teammates are losing confidence in you, what should you do?</v>
      </c>
      <c r="C163" s="5" t="str">
        <f>IFERROR(__xludf.DUMMYFUNCTION("GOOGLETRANSLATE(I163, ""th"", ""en"")
"),"A) Encourage and motivate him to increase his confidence; B) Let him do it his own way; C) Avoid talking about his insecurities; D) Reduce his competitiveness.")</f>
        <v>A) Encourage and motivate him to increase his confidence; B) Let him do it his own way; C) Avoid talking about his insecurities; D) Reduce his competitiveness.</v>
      </c>
      <c r="D163" s="5" t="str">
        <f>IFERROR(__xludf.DUMMYFUNCTION("GOOGLETRANSLATE(J163, ""th"", ""en"")
"),"A) Motivate and encourage to increase confidence.")</f>
        <v>A) Motivate and encourage to increase confidence.</v>
      </c>
      <c r="E163" s="5" t="str">
        <f>IFERROR(__xludf.DUMMYFUNCTION(" GOOGLETRANSLATE(K163, ""th"", ""en"")"),"Motivation and encouragement will help boost your teammates' self-confidence.")</f>
        <v>Motivation and encouragement will help boost your teammates' self-confidence.</v>
      </c>
      <c r="G163" s="6">
        <v>162.0</v>
      </c>
      <c r="H163" s="7" t="s">
        <v>1753</v>
      </c>
      <c r="I163" s="7" t="s">
        <v>1754</v>
      </c>
      <c r="J163" s="7" t="s">
        <v>1755</v>
      </c>
      <c r="K163" s="7" t="s">
        <v>1756</v>
      </c>
    </row>
    <row r="164" ht="14.25" customHeight="1">
      <c r="A164" s="4">
        <v>163.0</v>
      </c>
      <c r="B164" s="5" t="str">
        <f>IFERROR(__xludf.DUMMYFUNCTION("GOOGLETRANSLATE(H164, ""th"", ""en"")
"),"Your team is having trouble coordinating among its members. What should you do?")</f>
        <v>Your team is having trouble coordinating among its members. What should you do?</v>
      </c>
      <c r="C164" s="5" t="str">
        <f>IFERROR(__xludf.DUMMYFUNCTION("GOOGLETRANSLATE(I164, ""th"", ""en"")
"),"A) Communicate and improve coordination within the team; B) Let the team do its own thing; C) Avoid discussing the issue; D) Reduce competitive effort.")</f>
        <v>A) Communicate and improve coordination within the team; B) Let the team do its own thing; C) Avoid discussing the issue; D) Reduce competitive effort.</v>
      </c>
      <c r="D164" s="5" t="str">
        <f>IFERROR(__xludf.DUMMYFUNCTION("GOOGLETRANSLATE(J164, ""th"", ""en"")
"),"A) Communicate and improve coordination within the team.")</f>
        <v>A) Communicate and improve coordination within the team.</v>
      </c>
      <c r="E164" s="5" t="str">
        <f>IFERROR(__xludf.DUMMYFUNCTION(" GOOGLETRANSLATE(K164, ""th"", ""en"")"),"Good communication improves collaboration efficiency.")</f>
        <v>Good communication improves collaboration efficiency.</v>
      </c>
      <c r="G164" s="6">
        <v>163.0</v>
      </c>
      <c r="H164" s="7" t="s">
        <v>1757</v>
      </c>
      <c r="I164" s="7" t="s">
        <v>1758</v>
      </c>
      <c r="J164" s="7" t="s">
        <v>1759</v>
      </c>
      <c r="K164" s="7" t="s">
        <v>1760</v>
      </c>
    </row>
    <row r="165" ht="14.25" customHeight="1">
      <c r="A165" s="4">
        <v>164.0</v>
      </c>
      <c r="B165" s="5" t="str">
        <f>IFERROR(__xludf.DUMMYFUNCTION("GOOGLETRANSLATE(H165, ""th"", ""en"")
"),"You see your teammate make a mistake at the end of the match, what do you do?")</f>
        <v>You see your teammate make a mistake at the end of the match, what do you do?</v>
      </c>
      <c r="C165" s="5" t="str">
        <f>IFERROR(__xludf.DUMMYFUNCTION("GOOGLETRANSLATE(I165, ""th"", ""en"")
"),"A) Help him correct his mistake silently; B) Reprimand him loudly; C) Let him do it himself; D) Avoid talking about the problem.")</f>
        <v>A) Help him correct his mistake silently; B) Reprimand him loudly; C) Let him do it himself; D) Avoid talking about the problem.</v>
      </c>
      <c r="D165" s="5" t="str">
        <f>IFERROR(__xludf.DUMMYFUNCTION("GOOGLETRANSLATE(J165, ""th"", ""en"")
"),"A) Help him silently correct his mistakes.")</f>
        <v>A) Help him silently correct his mistakes.</v>
      </c>
      <c r="E165" s="5" t="str">
        <f>IFERROR(__xludf.DUMMYFUNCTION(" GOOGLETRANSLATE(K165, ""th"", ""en"")"),"Helping him correct his mistakes without making him feel bad will help improve team unity.")</f>
        <v>Helping him correct his mistakes without making him feel bad will help improve team unity.</v>
      </c>
      <c r="G165" s="6">
        <v>164.0</v>
      </c>
      <c r="H165" s="7" t="s">
        <v>1761</v>
      </c>
      <c r="I165" s="7" t="s">
        <v>1762</v>
      </c>
      <c r="J165" s="7" t="s">
        <v>1763</v>
      </c>
      <c r="K165" s="7" t="s">
        <v>1764</v>
      </c>
    </row>
    <row r="166" ht="14.25" customHeight="1">
      <c r="A166" s="4">
        <v>165.0</v>
      </c>
      <c r="B166" s="5" t="str">
        <f>IFERROR(__xludf.DUMMYFUNCTION("GOOGLETRANSLATE(H166, ""th"", ""en"")
"),"Your team is facing a coordination failure. What should you do?")</f>
        <v>Your team is facing a coordination failure. What should you do?</v>
      </c>
      <c r="C166" s="5" t="str">
        <f>IFERROR(__xludf.DUMMYFUNCTION("GOOGLETRANSLATE(I166, ""th"", ""en"")
"),"A) Improve coordination and find solutions; B) Let the team do its own thing; C) Avoid talking about the problem; D) Reduce the effort to compete.")</f>
        <v>A) Improve coordination and find solutions; B) Let the team do its own thing; C) Avoid talking about the problem; D) Reduce the effort to compete.</v>
      </c>
      <c r="D166" s="5" t="str">
        <f>IFERROR(__xludf.DUMMYFUNCTION("GOOGLETRANSLATE(J166, ""th"", ""en"")
"),"A) Improve coordination and find solutions.")</f>
        <v>A) Improve coordination and find solutions.</v>
      </c>
      <c r="E166" s="5" t="str">
        <f>IFERROR(__xludf.DUMMYFUNCTION(" GOOGLETRANSLATE(K166, ""th"", ""en"")"),"Solving coordination issues will help your team perform better.")</f>
        <v>Solving coordination issues will help your team perform better.</v>
      </c>
      <c r="G166" s="6">
        <v>165.0</v>
      </c>
      <c r="H166" s="7" t="s">
        <v>1765</v>
      </c>
      <c r="I166" s="7" t="s">
        <v>1766</v>
      </c>
      <c r="J166" s="7" t="s">
        <v>1767</v>
      </c>
      <c r="K166" s="7" t="s">
        <v>1768</v>
      </c>
    </row>
    <row r="167" ht="14.25" customHeight="1">
      <c r="A167" s="4">
        <v>166.0</v>
      </c>
      <c r="B167" s="5" t="str">
        <f>IFERROR(__xludf.DUMMYFUNCTION("GOOGLETRANSLATE(H167, ""th"", ""en"")
"),"You see your team getting distracted by external challenges, what do you do?")</f>
        <v>You see your team getting distracted by external challenges, what do you do?</v>
      </c>
      <c r="C167" s="5" t="str">
        <f>IFERROR(__xludf.DUMMYFUNCTION("GOOGLETRANSLATE(I167, ""th"", ""en"")
"),"A) encourage the team to refocus on the competition; B) let the team do its own thing; C) avoid talking about outside problems; D) reduce the effort required to compete.")</f>
        <v>A) encourage the team to refocus on the competition; B) let the team do its own thing; C) avoid talking about outside problems; D) reduce the effort required to compete.</v>
      </c>
      <c r="D167" s="5" t="str">
        <f>IFERROR(__xludf.DUMMYFUNCTION("GOOGLETRANSLATE(J167, ""th"", ""en"")
"),"A) Encourage the team to regain focus in the competition.")</f>
        <v>A) Encourage the team to regain focus in the competition.</v>
      </c>
      <c r="E167" s="5" t="str">
        <f>IFERROR(__xludf.DUMMYFUNCTION(" GOOGLETRANSLATE(K167, ""th"", ""en"")"),"Encouraging the team to regain focus will improve their performance in the competition.")</f>
        <v>Encouraging the team to regain focus will improve their performance in the competition.</v>
      </c>
      <c r="G167" s="6">
        <v>166.0</v>
      </c>
      <c r="H167" s="7" t="s">
        <v>1769</v>
      </c>
      <c r="I167" s="7" t="s">
        <v>1770</v>
      </c>
      <c r="J167" s="7" t="s">
        <v>1771</v>
      </c>
      <c r="K167" s="7" t="s">
        <v>1772</v>
      </c>
    </row>
    <row r="168" ht="14.25" customHeight="1">
      <c r="A168" s="4">
        <v>167.0</v>
      </c>
      <c r="B168" s="5" t="str">
        <f>IFERROR(__xludf.DUMMYFUNCTION("GOOGLETRANSLATE(H168, ""th"", ""en"")
"),"During the race, you feel that your boat is not moving as it should. What should you do?")</f>
        <v>During the race, you feel that your boat is not moving as it should. What should you do?</v>
      </c>
      <c r="C168" s="5" t="str">
        <f>IFERROR(__xludf.DUMMYFUNCTION("GOOGLETRANSLATE(I168, ""th"", ""en"")
"),"A) Adjust your paddle position to straighten the boat back out; B) Try to paddle faster; C) Stop paddling and ask for directions; D) Let the boat go on its course.")</f>
        <v>A) Adjust your paddle position to straighten the boat back out; B) Try to paddle faster; C) Stop paddling and ask for directions; D) Let the boat go on its course.</v>
      </c>
      <c r="D168" s="5" t="str">
        <f>IFERROR(__xludf.DUMMYFUNCTION("GOOGLETRANSLATE(J168, ""th"", ""en"")
"),"A) Adjust the rowing position to bring the boat back straight.")</f>
        <v>A) Adjust the rowing position to bring the boat back straight.</v>
      </c>
      <c r="E168" s="5" t="str">
        <f>IFERROR(__xludf.DUMMYFUNCTION(" GOOGLETRANSLATE(K168, ""th"", ""en"")"),"Adjusting your paddle position will help your boat return to straightness and stability.")</f>
        <v>Adjusting your paddle position will help your boat return to straightness and stability.</v>
      </c>
      <c r="G168" s="6">
        <v>167.0</v>
      </c>
      <c r="H168" s="7" t="s">
        <v>1773</v>
      </c>
      <c r="I168" s="7" t="s">
        <v>1774</v>
      </c>
      <c r="J168" s="7" t="s">
        <v>1775</v>
      </c>
      <c r="K168" s="7" t="s">
        <v>1776</v>
      </c>
    </row>
    <row r="169" ht="14.25" customHeight="1">
      <c r="A169" s="4">
        <v>168.0</v>
      </c>
      <c r="B169" s="5" t="str">
        <f>IFERROR(__xludf.DUMMYFUNCTION("GOOGLETRANSLATE(H169, ""th"", ""en"")
"),"You feel that your teammates are putting the team at a disadvantage during the match. What should you do?")</f>
        <v>You feel that your teammates are putting the team at a disadvantage during the match. What should you do?</v>
      </c>
      <c r="C169" s="5" t="str">
        <f>IFERROR(__xludf.DUMMYFUNCTION("GOOGLETRANSLATE(I169, ""th"", ""en"")
"),"A) Give him advice to help resolve the situation; B) Blame him loudly; C) Let him do his own thing; D) Avoid talking about it.")</f>
        <v>A) Give him advice to help resolve the situation; B) Blame him loudly; C) Let him do his own thing; D) Avoid talking about it.</v>
      </c>
      <c r="D169" s="5" t="str">
        <f>IFERROR(__xludf.DUMMYFUNCTION("GOOGLETRANSLATE(J169, ""th"", ""en"")
"),"A) Provide advice to help resolve the situation.")</f>
        <v>A) Provide advice to help resolve the situation.</v>
      </c>
      <c r="E169" s="5" t="str">
        <f>IFERROR(__xludf.DUMMYFUNCTION(" GOOGLETRANSLATE(K169, ""th"", ""en"")"),"Providing advice helps resolve situations and allows the team to adapt.")</f>
        <v>Providing advice helps resolve situations and allows the team to adapt.</v>
      </c>
      <c r="G169" s="6">
        <v>168.0</v>
      </c>
      <c r="H169" s="7" t="s">
        <v>1777</v>
      </c>
      <c r="I169" s="7" t="s">
        <v>1778</v>
      </c>
      <c r="J169" s="7" t="s">
        <v>1779</v>
      </c>
      <c r="K169" s="7" t="s">
        <v>1780</v>
      </c>
    </row>
    <row r="170" ht="14.25" customHeight="1">
      <c r="A170" s="4">
        <v>169.0</v>
      </c>
      <c r="B170" s="5" t="str">
        <f>IFERROR(__xludf.DUMMYFUNCTION("GOOGLETRANSLATE(H170, ""th"", ""en"")
"),"Your team is starting to suffer from a strategic imbalance. What should you do?")</f>
        <v>Your team is starting to suffer from a strategic imbalance. What should you do?</v>
      </c>
      <c r="C170" s="5" t="str">
        <f>IFERROR(__xludf.DUMMYFUNCTION("GOOGLETRANSLATE(I170, ""th"", ""en"")
"),"A) Adjust strategies to increase team balance; B) Let the team do its own thing; C) Avoid adjusting strategies; D) Reduce competitive effort.")</f>
        <v>A) Adjust strategies to increase team balance; B) Let the team do its own thing; C) Avoid adjusting strategies; D) Reduce competitive effort.</v>
      </c>
      <c r="D170" s="5" t="str">
        <f>IFERROR(__xludf.DUMMYFUNCTION("GOOGLETRANSLATE(J170, ""th"", ""en"")
"),"A) Adjust strategies to increase team balance.")</f>
        <v>A) Adjust strategies to increase team balance.</v>
      </c>
      <c r="E170" s="5" t="str">
        <f>IFERROR(__xludf.DUMMYFUNCTION(" GOOGLETRANSLATE(K170, ""th"", ""en"")"),"Strategic adjustments will help the team stay balanced and effective in the competition.")</f>
        <v>Strategic adjustments will help the team stay balanced and effective in the competition.</v>
      </c>
      <c r="G170" s="6">
        <v>169.0</v>
      </c>
      <c r="H170" s="7" t="s">
        <v>1781</v>
      </c>
      <c r="I170" s="7" t="s">
        <v>1782</v>
      </c>
      <c r="J170" s="7" t="s">
        <v>1783</v>
      </c>
      <c r="K170" s="7" t="s">
        <v>1784</v>
      </c>
    </row>
    <row r="171" ht="14.25" customHeight="1">
      <c r="A171" s="4">
        <v>170.0</v>
      </c>
      <c r="B171" s="5" t="str">
        <f>IFERROR(__xludf.DUMMYFUNCTION("GOOGLETRANSLATE(H171, ""th"", ""en"")
"),"You see that your teammates are struggling with a lack of self-confidence. What do you do?")</f>
        <v>You see that your teammates are struggling with a lack of self-confidence. What do you do?</v>
      </c>
      <c r="C171" s="5" t="str">
        <f>IFERROR(__xludf.DUMMYFUNCTION("GOOGLETRANSLATE(I171, ""th"", ""en"")
"),"A) Encourage and motivate him to increase his confidence; B) Let him do it his own way; C) Avoid talking about it; D) Reduce his competitiveness.")</f>
        <v>A) Encourage and motivate him to increase his confidence; B) Let him do it his own way; C) Avoid talking about it; D) Reduce his competitiveness.</v>
      </c>
      <c r="D171" s="5" t="str">
        <f>IFERROR(__xludf.DUMMYFUNCTION("GOOGLETRANSLATE(J171, ""th"", ""en"")
"),"A) Motivate and encourage to increase confidence.")</f>
        <v>A) Motivate and encourage to increase confidence.</v>
      </c>
      <c r="E171" s="5" t="str">
        <f>IFERROR(__xludf.DUMMYFUNCTION(" GOOGLETRANSLATE(K171, ""th"", ""en"")"),"Motivation and encouragement will help boost your teammates' self-confidence.")</f>
        <v>Motivation and encouragement will help boost your teammates' self-confidence.</v>
      </c>
      <c r="G171" s="6">
        <v>170.0</v>
      </c>
      <c r="H171" s="7" t="s">
        <v>1785</v>
      </c>
      <c r="I171" s="7" t="s">
        <v>1786</v>
      </c>
      <c r="J171" s="7" t="s">
        <v>1755</v>
      </c>
      <c r="K171" s="7" t="s">
        <v>1756</v>
      </c>
    </row>
    <row r="172" ht="14.25" customHeight="1">
      <c r="A172" s="4">
        <v>171.0</v>
      </c>
      <c r="B172" s="5" t="str">
        <f>IFERROR(__xludf.DUMMYFUNCTION("GOOGLETRANSLATE(H172, ""th"", ""en"")
"),"Your team starts to suffer from a lack of energy towards the end of the match. What do you do?")</f>
        <v>Your team starts to suffer from a lack of energy towards the end of the match. What do you do?</v>
      </c>
      <c r="C172" s="5" t="str">
        <f>IFERROR(__xludf.DUMMYFUNCTION("GOOGLETRANSLATE(I172, ""th"", ""en"")
"),"A) Encourage the team to rest and recharge; B) Let the team do its own thing; C) Avoid talking about fatigue; D) Reduce the effort required to compete.")</f>
        <v>A) Encourage the team to rest and recharge; B) Let the team do its own thing; C) Avoid talking about fatigue; D) Reduce the effort required to compete.</v>
      </c>
      <c r="D172" s="5" t="str">
        <f>IFERROR(__xludf.DUMMYFUNCTION("GOOGLETRANSLATE(J172, ""th"", ""en"")
"),"A) Encourage the team to rest and recharge.")</f>
        <v>A) Encourage the team to rest and recharge.</v>
      </c>
      <c r="E172" s="5" t="str">
        <f>IFERROR(__xludf.DUMMYFUNCTION(" GOOGLETRANSLATE(K172, ""th"", ""en"")"),"Giving the team time to rest and recharge will help them return to better performance.")</f>
        <v>Giving the team time to rest and recharge will help them return to better performance.</v>
      </c>
      <c r="G172" s="6">
        <v>171.0</v>
      </c>
      <c r="H172" s="7" t="s">
        <v>1787</v>
      </c>
      <c r="I172" s="7" t="s">
        <v>1702</v>
      </c>
      <c r="J172" s="7" t="s">
        <v>1617</v>
      </c>
      <c r="K172" s="7" t="s">
        <v>1788</v>
      </c>
    </row>
    <row r="173" ht="14.25" customHeight="1">
      <c r="A173" s="4">
        <v>172.0</v>
      </c>
      <c r="B173" s="5" t="str">
        <f>IFERROR(__xludf.DUMMYFUNCTION("GOOGLETRANSLATE(H173, ""th"", ""en"")
"),"Your team is starting to feel stressed out from the pressure. What should you do?")</f>
        <v>Your team is starting to feel stressed out from the pressure. What should you do?</v>
      </c>
      <c r="C173" s="5" t="str">
        <f>IFERROR(__xludf.DUMMYFUNCTION("GOOGLETRANSLATE(I173, ""th"", ""en"")
"),"A) Talk and encourage each other to reduce stress; B) Let the team do its own thing; C) Avoid talking about stress; D) Reduce the effort required to compete.")</f>
        <v>A) Talk and encourage each other to reduce stress; B) Let the team do its own thing; C) Avoid talking about stress; D) Reduce the effort required to compete.</v>
      </c>
      <c r="D173" s="5" t="str">
        <f>IFERROR(__xludf.DUMMYFUNCTION("GOOGLETRANSLATE(J173, ""th"", ""en"")
"),"A) Talk and provide encouragement to reduce stress.")</f>
        <v>A) Talk and provide encouragement to reduce stress.</v>
      </c>
      <c r="E173" s="5" t="str">
        <f>IFERROR(__xludf.DUMMYFUNCTION(" GOOGLETRANSLATE(K173, ""th"", ""en"")"),"Talking and giving encouragement reduces stress and boosts team morale.")</f>
        <v>Talking and giving encouragement reduces stress and boosts team morale.</v>
      </c>
      <c r="G173" s="6">
        <v>172.0</v>
      </c>
      <c r="H173" s="7" t="s">
        <v>1789</v>
      </c>
      <c r="I173" s="7" t="s">
        <v>1683</v>
      </c>
      <c r="J173" s="7" t="s">
        <v>1663</v>
      </c>
      <c r="K173" s="7" t="s">
        <v>1790</v>
      </c>
    </row>
    <row r="174" ht="14.25" customHeight="1">
      <c r="A174" s="4">
        <v>173.0</v>
      </c>
      <c r="B174" s="5" t="str">
        <f>IFERROR(__xludf.DUMMYFUNCTION("GOOGLETRANSLATE(H174, ""th"", ""en"")
"),"You see your teammates are losing focus, what do you do?")</f>
        <v>You see your teammates are losing focus, what do you do?</v>
      </c>
      <c r="C174" s="5" t="str">
        <f>IFERROR(__xludf.DUMMYFUNCTION("GOOGLETRANSLATE(I174, ""th"", ""en"")
"),"A) Encourage your teammate to refocus; B) Let him do it his own way; C) Avoid talking about it; D) Reduce your competitive effort.")</f>
        <v>A) Encourage your teammate to refocus; B) Let him do it his own way; C) Avoid talking about it; D) Reduce your competitive effort.</v>
      </c>
      <c r="D174" s="5" t="str">
        <f>IFERROR(__xludf.DUMMYFUNCTION("GOOGLETRANSLATE(J174, ""th"", ""en"")
"),"A) Encourage teammates to regain focus.")</f>
        <v>A) Encourage teammates to regain focus.</v>
      </c>
      <c r="E174" s="5" t="str">
        <f>IFERROR(__xludf.DUMMYFUNCTION(" GOOGLETRANSLATE(K174, ""th"", ""en"")"),"Encouraging them to refocus will help the team refocus and perform better.")</f>
        <v>Encouraging them to refocus will help the team refocus and perform better.</v>
      </c>
      <c r="G174" s="6">
        <v>173.0</v>
      </c>
      <c r="H174" s="7" t="s">
        <v>1791</v>
      </c>
      <c r="I174" s="7" t="s">
        <v>1792</v>
      </c>
      <c r="J174" s="7" t="s">
        <v>1793</v>
      </c>
      <c r="K174" s="7" t="s">
        <v>1794</v>
      </c>
    </row>
    <row r="175" ht="14.25" customHeight="1">
      <c r="A175" s="4">
        <v>174.0</v>
      </c>
      <c r="B175" s="5" t="str">
        <f>IFERROR(__xludf.DUMMYFUNCTION("GOOGLETRANSLATE(H175, ""th"", ""en"")
"),"Your team is suffering from a lack of competitive experience. What should you do?")</f>
        <v>Your team is suffering from a lack of competitive experience. What should you do?</v>
      </c>
      <c r="C175" s="5" t="str">
        <f>IFERROR(__xludf.DUMMYFUNCTION("GOOGLETRANSLATE(I175, ""th"", ""en"")
"),"A) Teach and give advice to gain experience; B) Let the team do it their own way; C) Avoid talking about the issue; D) Reduce the effort to compete.")</f>
        <v>A) Teach and give advice to gain experience; B) Let the team do it their own way; C) Avoid talking about the issue; D) Reduce the effort to compete.</v>
      </c>
      <c r="D175" s="5" t="str">
        <f>IFERROR(__xludf.DUMMYFUNCTION("GOOGLETRANSLATE(J175, ""th"", ""en"")
"),"A) Teach and give advice to increase experience.")</f>
        <v>A) Teach and give advice to increase experience.</v>
      </c>
      <c r="E175" s="5" t="str">
        <f>IFERROR(__xludf.DUMMYFUNCTION(" GOOGLETRANSLATE(K175, ""th"", ""en"")"),"Coaching and mentoring will help build experience and confidence in the team.")</f>
        <v>Coaching and mentoring will help build experience and confidence in the team.</v>
      </c>
      <c r="G175" s="6">
        <v>174.0</v>
      </c>
      <c r="H175" s="7" t="s">
        <v>1795</v>
      </c>
      <c r="I175" s="7" t="s">
        <v>1738</v>
      </c>
      <c r="J175" s="7" t="s">
        <v>1739</v>
      </c>
      <c r="K175" s="7" t="s">
        <v>1796</v>
      </c>
    </row>
    <row r="176" ht="14.25" customHeight="1">
      <c r="A176" s="4">
        <v>175.0</v>
      </c>
      <c r="B176" s="5" t="str">
        <f>IFERROR(__xludf.DUMMYFUNCTION("GOOGLETRANSLATE(H176, ""th"", ""en"")
"),"You feel like your team is losing unity. What should you do?")</f>
        <v>You feel like your team is losing unity. What should you do?</v>
      </c>
      <c r="C176" s="5" t="str">
        <f>IFERROR(__xludf.DUMMYFUNCTION("GOOGLETRANSLATE(I176, ""th"", ""en"")
"),"A) Communicate and work together to foster unity; B) Let the team do its own thing; C) Avoid discussing the issue; D) Reduce competitive efforts.")</f>
        <v>A) Communicate and work together to foster unity; B) Let the team do its own thing; C) Avoid discussing the issue; D) Reduce competitive efforts.</v>
      </c>
      <c r="D176" s="5" t="str">
        <f>IFERROR(__xludf.DUMMYFUNCTION("GOOGLETRANSLATE(J176, ""th"", ""en"")
"),"A) Communicate and work together to strengthen unity.")</f>
        <v>A) Communicate and work together to strengthen unity.</v>
      </c>
      <c r="E176" s="5" t="str">
        <f>IFERROR(__xludf.DUMMYFUNCTION(" GOOGLETRANSLATE(K176, ""th"", ""en"")"),"Communication and collaboration help build unity and understanding within the team.")</f>
        <v>Communication and collaboration help build unity and understanding within the team.</v>
      </c>
      <c r="G176" s="6">
        <v>175.0</v>
      </c>
      <c r="H176" s="7" t="s">
        <v>1797</v>
      </c>
      <c r="I176" s="7" t="s">
        <v>1610</v>
      </c>
      <c r="J176" s="7" t="s">
        <v>1491</v>
      </c>
      <c r="K176" s="7" t="s">
        <v>1798</v>
      </c>
    </row>
    <row r="177" ht="14.25" customHeight="1">
      <c r="A177" s="4">
        <v>176.0</v>
      </c>
      <c r="B177" s="5" t="str">
        <f>IFERROR(__xludf.DUMMYFUNCTION("GOOGLETRANSLATE(H177, ""th"", ""en"")
"),"You feel your boat starting to move off course, what do you do?")</f>
        <v>You feel your boat starting to move off course, what do you do?</v>
      </c>
      <c r="C177" s="5" t="str">
        <f>IFERROR(__xludf.DUMMYFUNCTION("GOOGLETRANSLATE(I177, ""th"", ""en"")
"),"A) Adjust your paddle position to straighten the boat back out; B) Try to paddle faster; C) Stop paddling and ask for directions; D) Let the boat go on its course.")</f>
        <v>A) Adjust your paddle position to straighten the boat back out; B) Try to paddle faster; C) Stop paddling and ask for directions; D) Let the boat go on its course.</v>
      </c>
      <c r="D177" s="5" t="str">
        <f>IFERROR(__xludf.DUMMYFUNCTION("GOOGLETRANSLATE(J177, ""th"", ""en"")
"),"A) Adjust the rowing position to bring the boat back straight.")</f>
        <v>A) Adjust the rowing position to bring the boat back straight.</v>
      </c>
      <c r="E177" s="5" t="str">
        <f>IFERROR(__xludf.DUMMYFUNCTION(" GOOGLETRANSLATE(K177, ""th"", ""en"")"),"Adjusting the paddle position will help the boat get back on track and reduce the risk.")</f>
        <v>Adjusting the paddle position will help the boat get back on track and reduce the risk.</v>
      </c>
      <c r="G177" s="6">
        <v>176.0</v>
      </c>
      <c r="H177" s="7" t="s">
        <v>1799</v>
      </c>
      <c r="I177" s="7" t="s">
        <v>1774</v>
      </c>
      <c r="J177" s="7" t="s">
        <v>1775</v>
      </c>
      <c r="K177" s="7" t="s">
        <v>1800</v>
      </c>
    </row>
    <row r="178" ht="14.25" customHeight="1">
      <c r="A178" s="4">
        <v>177.0</v>
      </c>
      <c r="B178" s="5" t="str">
        <f>IFERROR(__xludf.DUMMYFUNCTION("GOOGLETRANSLATE(H178, ""th"", ""en"")
"),"Your team is starting to feel tired and exhausted. What should you do?")</f>
        <v>Your team is starting to feel tired and exhausted. What should you do?</v>
      </c>
      <c r="C178" s="5" t="str">
        <f>IFERROR(__xludf.DUMMYFUNCTION("GOOGLETRANSLATE(I178, ""th"", ""en"")
"),"A) Encourage the team to recharge and prepare; B) Let the team do its own thing; C) Avoid talking about fatigue; D) Reduce the effort required to compete.")</f>
        <v>A) Encourage the team to recharge and prepare; B) Let the team do its own thing; C) Avoid talking about fatigue; D) Reduce the effort required to compete.</v>
      </c>
      <c r="D178" s="5" t="str">
        <f>IFERROR(__xludf.DUMMYFUNCTION("GOOGLETRANSLATE(J178, ""th"", ""en"")
"),"A) Encourage the team to recharge and prepare.")</f>
        <v>A) Encourage the team to recharge and prepare.</v>
      </c>
      <c r="E178" s="5" t="str">
        <f>IFERROR(__xludf.DUMMYFUNCTION(" GOOGLETRANSLATE(K178, ""th"", ""en"")"),"Restoring energy and motivating the team will help the team return to better performance.")</f>
        <v>Restoring energy and motivating the team will help the team return to better performance.</v>
      </c>
      <c r="G178" s="6">
        <v>177.0</v>
      </c>
      <c r="H178" s="7" t="s">
        <v>1801</v>
      </c>
      <c r="I178" s="7" t="s">
        <v>1802</v>
      </c>
      <c r="J178" s="7" t="s">
        <v>1803</v>
      </c>
      <c r="K178" s="7" t="s">
        <v>1804</v>
      </c>
    </row>
    <row r="179" ht="14.25" customHeight="1">
      <c r="A179" s="4">
        <v>178.0</v>
      </c>
      <c r="B179" s="5" t="str">
        <f>IFERROR(__xludf.DUMMYFUNCTION("GOOGLETRANSLATE(H179, ""th"", ""en"")
"),"Your team is starting to lose its competitive spirit. What should you do?")</f>
        <v>Your team is starting to lose its competitive spirit. What should you do?</v>
      </c>
      <c r="C179" s="5" t="str">
        <f>IFERROR(__xludf.DUMMYFUNCTION("GOOGLETRANSLATE(I179, ""th"", ""en"")
"),"A) motivate the team to refocus and increase their effort; B) let the team do its own thing; C) avoid stimulation; D) reduce competitive effort.")</f>
        <v>A) motivate the team to refocus and increase their effort; B) let the team do its own thing; C) avoid stimulation; D) reduce competitive effort.</v>
      </c>
      <c r="D179" s="5" t="str">
        <f>IFERROR(__xludf.DUMMYFUNCTION("GOOGLETRANSLATE(J179, ""th"", ""en"")
"),"A) Encourage the team to refocus and increase their efforts.")</f>
        <v>A) Encourage the team to refocus and increase their efforts.</v>
      </c>
      <c r="E179" s="5" t="str">
        <f>IFERROR(__xludf.DUMMYFUNCTION(" GOOGLETRANSLATE(K179, ""th"", ""en"")"),"Motivating the team helps them refocus and increase their efforts.")</f>
        <v>Motivating the team helps them refocus and increase their efforts.</v>
      </c>
      <c r="G179" s="6">
        <v>178.0</v>
      </c>
      <c r="H179" s="7" t="s">
        <v>1805</v>
      </c>
      <c r="I179" s="7" t="s">
        <v>1576</v>
      </c>
      <c r="J179" s="7" t="s">
        <v>1577</v>
      </c>
      <c r="K179" s="7" t="s">
        <v>1806</v>
      </c>
    </row>
    <row r="180" ht="14.25" customHeight="1">
      <c r="A180" s="4">
        <v>179.0</v>
      </c>
      <c r="B180" s="5" t="str">
        <f>IFERROR(__xludf.DUMMYFUNCTION("GOOGLETRANSLATE(H180, ""th"", ""en"")
"),"Your team is starting to face mental health issues due to stress. What do you do?")</f>
        <v>Your team is starting to face mental health issues due to stress. What do you do?</v>
      </c>
      <c r="C180" s="5" t="str">
        <f>IFERROR(__xludf.DUMMYFUNCTION("GOOGLETRANSLATE(I180, ""th"", ""en"")
"),"A) Talk and encourage each other to reduce stress; B) Let the team do its own thing; C) Avoid talking about stress; D) Reduce the effort required to compete.")</f>
        <v>A) Talk and encourage each other to reduce stress; B) Let the team do its own thing; C) Avoid talking about stress; D) Reduce the effort required to compete.</v>
      </c>
      <c r="D180" s="5" t="str">
        <f>IFERROR(__xludf.DUMMYFUNCTION("GOOGLETRANSLATE(J180, ""th"", ""en"")
"),"A) Talk and provide encouragement to reduce stress.")</f>
        <v>A) Talk and provide encouragement to reduce stress.</v>
      </c>
      <c r="E180" s="5" t="str">
        <f>IFERROR(__xludf.DUMMYFUNCTION(" GOOGLETRANSLATE(K180, ""th"", ""en"")"),"Encouragement reduces stress and keeps the team motivated.")</f>
        <v>Encouragement reduces stress and keeps the team motivated.</v>
      </c>
      <c r="G180" s="6">
        <v>179.0</v>
      </c>
      <c r="H180" s="7" t="s">
        <v>1807</v>
      </c>
      <c r="I180" s="7" t="s">
        <v>1683</v>
      </c>
      <c r="J180" s="7" t="s">
        <v>1663</v>
      </c>
      <c r="K180" s="7" t="s">
        <v>1808</v>
      </c>
    </row>
    <row r="181" ht="14.25" customHeight="1">
      <c r="A181" s="4">
        <v>180.0</v>
      </c>
      <c r="B181" s="5" t="str">
        <f>IFERROR(__xludf.DUMMYFUNCTION("GOOGLETRANSLATE(H181, ""th"", ""en"")
"),"Your team is starting to lose focus during the match. What should you do?")</f>
        <v>Your team is starting to lose focus during the match. What should you do?</v>
      </c>
      <c r="C181" s="5" t="str">
        <f>IFERROR(__xludf.DUMMYFUNCTION("GOOGLETRANSLATE(I181, ""th"", ""en"")
"),"A) motivate the team to refocus and increase their effort; B) let the team do its own thing; C) avoid stimulation; D) reduce competitive effort.")</f>
        <v>A) motivate the team to refocus and increase their effort; B) let the team do its own thing; C) avoid stimulation; D) reduce competitive effort.</v>
      </c>
      <c r="D181" s="5" t="str">
        <f>IFERROR(__xludf.DUMMYFUNCTION("GOOGLETRANSLATE(J181, ""th"", ""en"")
"),"A) Encourage the team to refocus and increase their efforts.")</f>
        <v>A) Encourage the team to refocus and increase their efforts.</v>
      </c>
      <c r="E181" s="5" t="str">
        <f>IFERROR(__xludf.DUMMYFUNCTION(" GOOGLETRANSLATE(K181, ""th"", ""en"")"),"Team motivation will increase commitment and bring the team back to focus on the competition.")</f>
        <v>Team motivation will increase commitment and bring the team back to focus on the competition.</v>
      </c>
      <c r="G181" s="6">
        <v>180.0</v>
      </c>
      <c r="H181" s="7" t="s">
        <v>1736</v>
      </c>
      <c r="I181" s="7" t="s">
        <v>1576</v>
      </c>
      <c r="J181" s="7" t="s">
        <v>1577</v>
      </c>
      <c r="K181" s="7" t="s">
        <v>1692</v>
      </c>
    </row>
    <row r="182" ht="14.25" customHeight="1">
      <c r="A182" s="4">
        <v>181.0</v>
      </c>
      <c r="B182" s="5" t="str">
        <f>IFERROR(__xludf.DUMMYFUNCTION("GOOGLETRANSLATE(H182, ""th"", ""en"")
"),"Your team is facing pressure from competitors. What will you do?")</f>
        <v>Your team is facing pressure from competitors. What will you do?</v>
      </c>
      <c r="C182" s="5" t="str">
        <f>IFERROR(__xludf.DUMMYFUNCTION("GOOGLETRANSLATE(I182, ""th"", ""en"")
"),"A) Keep the team motivated and calm; B) Let the team do its own thing; C) Avoid talking about pressure; D) Reduce competitive effort.")</f>
        <v>A) Keep the team motivated and calm; B) Let the team do its own thing; C) Avoid talking about pressure; D) Reduce competitive effort.</v>
      </c>
      <c r="D182" s="5" t="str">
        <f>IFERROR(__xludf.DUMMYFUNCTION("GOOGLETRANSLATE(J182, ""th"", ""en"")
"),"A) Motivate the team and maintain calm.")</f>
        <v>A) Motivate the team and maintain calm.</v>
      </c>
      <c r="E182" s="5" t="str">
        <f>IFERROR(__xludf.DUMMYFUNCTION(" GOOGLETRANSLATE(K182, ""th"", ""en"")"),"Motivating the team will help maintain composure and keep the team motivated to compete.")</f>
        <v>Motivating the team will help maintain composure and keep the team motivated to compete.</v>
      </c>
      <c r="G182" s="6">
        <v>181.0</v>
      </c>
      <c r="H182" s="7" t="s">
        <v>1809</v>
      </c>
      <c r="I182" s="7" t="s">
        <v>1810</v>
      </c>
      <c r="J182" s="7" t="s">
        <v>1811</v>
      </c>
      <c r="K182" s="7" t="s">
        <v>1812</v>
      </c>
    </row>
    <row r="183" ht="14.25" customHeight="1">
      <c r="A183" s="4">
        <v>182.0</v>
      </c>
      <c r="B183" s="5" t="str">
        <f>IFERROR(__xludf.DUMMYFUNCTION("GOOGLETRANSLATE(H183, ""th"", ""en"")
"),"You feel like your teammates are losing interest in the game. What should you do?")</f>
        <v>You feel like your teammates are losing interest in the game. What should you do?</v>
      </c>
      <c r="C183" s="5" t="str">
        <f>IFERROR(__xludf.DUMMYFUNCTION("GOOGLETRANSLATE(I183, ""th"", ""en"")
"),"A) motivate the team to regain focus and commitment; B) let them do their own thing; C) avoid talking about interests; D) reduce their competitiveness.")</f>
        <v>A) motivate the team to regain focus and commitment; B) let them do their own thing; C) avoid talking about interests; D) reduce their competitiveness.</v>
      </c>
      <c r="D183" s="5" t="str">
        <f>IFERROR(__xludf.DUMMYFUNCTION("GOOGLETRANSLATE(J183, ""th"", ""en"")
"),"A) Encourage the team to regain focus and commitment.")</f>
        <v>A) Encourage the team to regain focus and commitment.</v>
      </c>
      <c r="E183" s="5" t="str">
        <f>IFERROR(__xludf.DUMMYFUNCTION(" GOOGLETRANSLATE(K183, ""th"", ""en"")"),"Team motivation helps the team regain focus and determination for the competition.")</f>
        <v>Team motivation helps the team regain focus and determination for the competition.</v>
      </c>
      <c r="G183" s="6">
        <v>182.0</v>
      </c>
      <c r="H183" s="7" t="s">
        <v>1813</v>
      </c>
      <c r="I183" s="7" t="s">
        <v>1814</v>
      </c>
      <c r="J183" s="7" t="s">
        <v>1815</v>
      </c>
      <c r="K183" s="7" t="s">
        <v>1816</v>
      </c>
    </row>
    <row r="184" ht="14.25" customHeight="1">
      <c r="A184" s="4">
        <v>183.0</v>
      </c>
      <c r="B184" s="5" t="str">
        <f>IFERROR(__xludf.DUMMYFUNCTION("GOOGLETRANSLATE(H184, ""th"", ""en"")
"),"Your team is starting to feel stressed due to poor results. What do you do?")</f>
        <v>Your team is starting to feel stressed due to poor results. What do you do?</v>
      </c>
      <c r="C184" s="5" t="str">
        <f>IFERROR(__xludf.DUMMYFUNCTION("GOOGLETRANSLATE(I184, ""th"", ""en"")
"),"A) Talk and encourage each other to reduce stress; B) Let the team do its own thing; C) Avoid talking about the results; D) Reduce the effort required to compete.")</f>
        <v>A) Talk and encourage each other to reduce stress; B) Let the team do its own thing; C) Avoid talking about the results; D) Reduce the effort required to compete.</v>
      </c>
      <c r="D184" s="5" t="str">
        <f>IFERROR(__xludf.DUMMYFUNCTION("GOOGLETRANSLATE(J184, ""th"", ""en"")
"),"A) Talk and provide encouragement to reduce stress.")</f>
        <v>A) Talk and provide encouragement to reduce stress.</v>
      </c>
      <c r="E184" s="5" t="str">
        <f>IFERROR(__xludf.DUMMYFUNCTION(" GOOGLETRANSLATE(K184, ""th"", ""en"")"),"Talking and giving encouragement reduces stress and keeps the team motivated to compete.")</f>
        <v>Talking and giving encouragement reduces stress and keeps the team motivated to compete.</v>
      </c>
      <c r="G184" s="6">
        <v>183.0</v>
      </c>
      <c r="H184" s="7" t="s">
        <v>1817</v>
      </c>
      <c r="I184" s="7" t="s">
        <v>1818</v>
      </c>
      <c r="J184" s="7" t="s">
        <v>1663</v>
      </c>
      <c r="K184" s="7" t="s">
        <v>1819</v>
      </c>
    </row>
    <row r="185" ht="14.25" customHeight="1">
      <c r="A185" s="4">
        <v>184.0</v>
      </c>
      <c r="B185" s="5" t="str">
        <f>IFERROR(__xludf.DUMMYFUNCTION("GOOGLETRANSLATE(H185, ""th"", ""en"")
"),"You feel like your teammates are losing confidence in themselves, what should you do?")</f>
        <v>You feel like your teammates are losing confidence in themselves, what should you do?</v>
      </c>
      <c r="C185" s="5" t="str">
        <f>IFERROR(__xludf.DUMMYFUNCTION("GOOGLETRANSLATE(I185, ""th"", ""en"")
"),"A) Encourage and motivate him to increase his confidence; B) Let him do it his own way; C) Avoid talking about it; D) Reduce his competitiveness.")</f>
        <v>A) Encourage and motivate him to increase his confidence; B) Let him do it his own way; C) Avoid talking about it; D) Reduce his competitiveness.</v>
      </c>
      <c r="D185" s="5" t="str">
        <f>IFERROR(__xludf.DUMMYFUNCTION("GOOGLETRANSLATE(J185, ""th"", ""en"")
"),"A) Motivate and encourage to increase confidence.")</f>
        <v>A) Motivate and encourage to increase confidence.</v>
      </c>
      <c r="E185" s="5" t="str">
        <f>IFERROR(__xludf.DUMMYFUNCTION(" GOOGLETRANSLATE(K185, ""th"", ""en"")"),"Motivation and encouragement will help boost your teammates' self-confidence.")</f>
        <v>Motivation and encouragement will help boost your teammates' self-confidence.</v>
      </c>
      <c r="G185" s="6">
        <v>184.0</v>
      </c>
      <c r="H185" s="7" t="s">
        <v>1820</v>
      </c>
      <c r="I185" s="7" t="s">
        <v>1786</v>
      </c>
      <c r="J185" s="7" t="s">
        <v>1755</v>
      </c>
      <c r="K185" s="7" t="s">
        <v>1756</v>
      </c>
    </row>
    <row r="186" ht="14.25" customHeight="1">
      <c r="A186" s="4">
        <v>185.0</v>
      </c>
      <c r="B186" s="5" t="str">
        <f>IFERROR(__xludf.DUMMYFUNCTION("GOOGLETRANSLATE(H186, ""th"", ""en"")
"),"Your team is starting to suffer from a lack of coordination. What should you do?")</f>
        <v>Your team is starting to suffer from a lack of coordination. What should you do?</v>
      </c>
      <c r="C186" s="5" t="str">
        <f>IFERROR(__xludf.DUMMYFUNCTION("GOOGLETRANSLATE(I186, ""th"", ""en"")
"),"A) Communicate and improve coordination within the team; B) Let the team do its own thing; C) Avoid discussing the issue; D) Reduce competitive effort.")</f>
        <v>A) Communicate and improve coordination within the team; B) Let the team do its own thing; C) Avoid discussing the issue; D) Reduce competitive effort.</v>
      </c>
      <c r="D186" s="5" t="str">
        <f>IFERROR(__xludf.DUMMYFUNCTION("GOOGLETRANSLATE(J186, ""th"", ""en"")
"),"A) Communicate and improve coordination within the team.")</f>
        <v>A) Communicate and improve coordination within the team.</v>
      </c>
      <c r="E186" s="5" t="str">
        <f>IFERROR(__xludf.DUMMYFUNCTION(" GOOGLETRANSLATE(K186, ""th"", ""en"")"),"Good communication improves collaboration efficiency.")</f>
        <v>Good communication improves collaboration efficiency.</v>
      </c>
      <c r="G186" s="6">
        <v>185.0</v>
      </c>
      <c r="H186" s="7" t="s">
        <v>1821</v>
      </c>
      <c r="I186" s="7" t="s">
        <v>1758</v>
      </c>
      <c r="J186" s="7" t="s">
        <v>1759</v>
      </c>
      <c r="K186" s="7" t="s">
        <v>1760</v>
      </c>
    </row>
    <row r="187" ht="14.25" customHeight="1">
      <c r="A187" s="4">
        <v>186.0</v>
      </c>
      <c r="B187" s="5" t="str">
        <f>IFERROR(__xludf.DUMMYFUNCTION("GOOGLETRANSLATE(H187, ""th"", ""en"")
"),"Your team is starting to feel tired towards the end of the match, what do you do?")</f>
        <v>Your team is starting to feel tired towards the end of the match, what do you do?</v>
      </c>
      <c r="C187" s="5" t="str">
        <f>IFERROR(__xludf.DUMMYFUNCTION("GOOGLETRANSLATE(I187, ""th"", ""en"")
"),"A) Encourage the team to rest and recharge; B) Let the team do its own thing; C) Avoid talking about fatigue; D) Reduce the effort required to compete.")</f>
        <v>A) Encourage the team to rest and recharge; B) Let the team do its own thing; C) Avoid talking about fatigue; D) Reduce the effort required to compete.</v>
      </c>
      <c r="D187" s="5" t="str">
        <f>IFERROR(__xludf.DUMMYFUNCTION("GOOGLETRANSLATE(J187, ""th"", ""en"")
"),"A) Encourage the team to rest and recharge.")</f>
        <v>A) Encourage the team to rest and recharge.</v>
      </c>
      <c r="E187" s="5" t="str">
        <f>IFERROR(__xludf.DUMMYFUNCTION(" GOOGLETRANSLATE(K187, ""th"", ""en"")"),"Giving the team time to rest and recharge will help them return to better performance.")</f>
        <v>Giving the team time to rest and recharge will help them return to better performance.</v>
      </c>
      <c r="G187" s="6">
        <v>186.0</v>
      </c>
      <c r="H187" s="7" t="s">
        <v>1594</v>
      </c>
      <c r="I187" s="7" t="s">
        <v>1702</v>
      </c>
      <c r="J187" s="7" t="s">
        <v>1617</v>
      </c>
      <c r="K187" s="7" t="s">
        <v>1788</v>
      </c>
    </row>
    <row r="188" ht="14.25" customHeight="1">
      <c r="A188" s="4">
        <v>187.0</v>
      </c>
      <c r="B188" s="5" t="str">
        <f>IFERROR(__xludf.DUMMYFUNCTION("GOOGLETRANSLATE(H188, ""th"", ""en"")
"),"You see that a teammate is experiencing stress, what do you do?")</f>
        <v>You see that a teammate is experiencing stress, what do you do?</v>
      </c>
      <c r="C188" s="5" t="str">
        <f>IFERROR(__xludf.DUMMYFUNCTION("GOOGLETRANSLATE(I188, ""th"", ""en"")
"),"A) Talk and offer encouragement to help reduce stress; B) Let him do his own thing; C) Avoid talking about stress; D) Reduce competitive effort.")</f>
        <v>A) Talk and offer encouragement to help reduce stress; B) Let him do his own thing; C) Avoid talking about stress; D) Reduce competitive effort.</v>
      </c>
      <c r="D188" s="5" t="str">
        <f>IFERROR(__xludf.DUMMYFUNCTION("GOOGLETRANSLATE(J188, ""th"", ""en"")
"),"A) Talk and offer encouragement to help reduce stress.")</f>
        <v>A) Talk and offer encouragement to help reduce stress.</v>
      </c>
      <c r="E188" s="5" t="str">
        <f>IFERROR(__xludf.DUMMYFUNCTION(" GOOGLETRANSLATE(K188, ""th"", ""en"")"),"Talking and giving encouragement can reduce stress and help teammates relax.")</f>
        <v>Talking and giving encouragement can reduce stress and help teammates relax.</v>
      </c>
      <c r="G188" s="6">
        <v>187.0</v>
      </c>
      <c r="H188" s="7" t="s">
        <v>1822</v>
      </c>
      <c r="I188" s="7" t="s">
        <v>1823</v>
      </c>
      <c r="J188" s="7" t="s">
        <v>1743</v>
      </c>
      <c r="K188" s="7" t="s">
        <v>1824</v>
      </c>
    </row>
    <row r="189" ht="14.25" customHeight="1">
      <c r="A189" s="4">
        <v>188.0</v>
      </c>
      <c r="B189" s="5" t="str">
        <f>IFERROR(__xludf.DUMMYFUNCTION("GOOGLETRANSLATE(H189, ""th"", ""en"")
"),"You feel that your boat is moving slower than usual, what should you do?")</f>
        <v>You feel that your boat is moving slower than usual, what should you do?</v>
      </c>
      <c r="C189" s="5" t="str">
        <f>IFERROR(__xludf.DUMMYFUNCTION("GOOGLETRANSLATE(I189, ""th"", ""en"")
"),"A) Adjust your paddle position to increase the speed of the boat; B) Try to paddle faster without paying attention to your paddle position; C) Stop paddling and ask for directions; D) Let the boat continue to move slowly.")</f>
        <v>A) Adjust your paddle position to increase the speed of the boat; B) Try to paddle faster without paying attention to your paddle position; C) Stop paddling and ask for directions; D) Let the boat continue to move slowly.</v>
      </c>
      <c r="D189" s="5" t="str">
        <f>IFERROR(__xludf.DUMMYFUNCTION("GOOGLETRANSLATE(J189, ""th"", ""en"")
"),"A) Adjust the paddle position to increase the speed of the boat.")</f>
        <v>A) Adjust the paddle position to increase the speed of the boat.</v>
      </c>
      <c r="E189" s="5" t="str">
        <f>IFERROR(__xludf.DUMMYFUNCTION(" GOOGLETRANSLATE(K189, ""th"", ""en"")"),"Adjusting the paddle position will help the boat move faster.")</f>
        <v>Adjusting the paddle position will help the boat move faster.</v>
      </c>
      <c r="G189" s="6">
        <v>188.0</v>
      </c>
      <c r="H189" s="7" t="s">
        <v>1825</v>
      </c>
      <c r="I189" s="7" t="s">
        <v>1826</v>
      </c>
      <c r="J189" s="7" t="s">
        <v>1827</v>
      </c>
      <c r="K189" s="7" t="s">
        <v>1828</v>
      </c>
    </row>
    <row r="190" ht="14.25" customHeight="1">
      <c r="A190" s="4">
        <v>189.0</v>
      </c>
      <c r="B190" s="5" t="str">
        <f>IFERROR(__xludf.DUMMYFUNCTION("GOOGLETRANSLATE(H190, ""th"", ""en"")
"),"Your team is starting to suffer from inexperience on the field. What do you do?")</f>
        <v>Your team is starting to suffer from inexperience on the field. What do you do?</v>
      </c>
      <c r="C190" s="5" t="str">
        <f>IFERROR(__xludf.DUMMYFUNCTION("GOOGLETRANSLATE(I190, ""th"", ""en"")
"),"A) Teach and give advice to gain experience; B) Let the team do it their own way; C) Avoid talking about the issue; D) Reduce the effort to compete.")</f>
        <v>A) Teach and give advice to gain experience; B) Let the team do it their own way; C) Avoid talking about the issue; D) Reduce the effort to compete.</v>
      </c>
      <c r="D190" s="5" t="str">
        <f>IFERROR(__xludf.DUMMYFUNCTION("GOOGLETRANSLATE(J190, ""th"", ""en"")
"),"A) Teach and give advice to increase experience.")</f>
        <v>A) Teach and give advice to increase experience.</v>
      </c>
      <c r="E190" s="5" t="str">
        <f>IFERROR(__xludf.DUMMYFUNCTION(" GOOGLETRANSLATE(K190, ""th"", ""en"")"),"Coaching and mentoring will help enhance the team's experience.")</f>
        <v>Coaching and mentoring will help enhance the team's experience.</v>
      </c>
      <c r="G190" s="6">
        <v>189.0</v>
      </c>
      <c r="H190" s="7" t="s">
        <v>1829</v>
      </c>
      <c r="I190" s="7" t="s">
        <v>1738</v>
      </c>
      <c r="J190" s="7" t="s">
        <v>1739</v>
      </c>
      <c r="K190" s="7" t="s">
        <v>1830</v>
      </c>
    </row>
    <row r="191" ht="14.25" customHeight="1">
      <c r="A191" s="4">
        <v>190.0</v>
      </c>
      <c r="B191" s="5" t="str">
        <f>IFERROR(__xludf.DUMMYFUNCTION("GOOGLETRANSLATE(H191, ""th"", ""en"")
"),"Your team is starting to feel stressed from a long competition. What do you do?")</f>
        <v>Your team is starting to feel stressed from a long competition. What do you do?</v>
      </c>
      <c r="C191" s="5" t="str">
        <f>IFERROR(__xludf.DUMMYFUNCTION("GOOGLETRANSLATE(I191, ""th"", ""en"")
"),"A) Let the team rest and recharge; B) Let the team do its own thing; C) Avoid talking about fatigue; D) Reduce the effort required to compete.")</f>
        <v>A) Let the team rest and recharge; B) Let the team do its own thing; C) Avoid talking about fatigue; D) Reduce the effort required to compete.</v>
      </c>
      <c r="D191" s="5" t="str">
        <f>IFERROR(__xludf.DUMMYFUNCTION("GOOGLETRANSLATE(J191, ""th"", ""en"")
"),"A) Let the team rest and recover.")</f>
        <v>A) Let the team rest and recover.</v>
      </c>
      <c r="E191" s="5" t="str">
        <f>IFERROR(__xludf.DUMMYFUNCTION(" GOOGLETRANSLATE(K191, ""th"", ""en"")"),"Rest and recovery will help the team return to better performance.")</f>
        <v>Rest and recovery will help the team return to better performance.</v>
      </c>
      <c r="G191" s="6">
        <v>190.0</v>
      </c>
      <c r="H191" s="7" t="s">
        <v>1831</v>
      </c>
      <c r="I191" s="7" t="s">
        <v>1832</v>
      </c>
      <c r="J191" s="7" t="s">
        <v>1833</v>
      </c>
      <c r="K191" s="7" t="s">
        <v>1834</v>
      </c>
    </row>
    <row r="192" ht="14.25" customHeight="1">
      <c r="A192" s="4">
        <v>191.0</v>
      </c>
      <c r="B192" s="5" t="str">
        <f>IFERROR(__xludf.DUMMYFUNCTION("GOOGLETRANSLATE(H192, ""th"", ""en"")
"),"Your team is facing a lack of balance among its members. What should you do?")</f>
        <v>Your team is facing a lack of balance among its members. What should you do?</v>
      </c>
      <c r="C192" s="5" t="str">
        <f>IFERROR(__xludf.DUMMYFUNCTION("GOOGLETRANSLATE(I192, ""th"", ""en"")
"),"A) Balance the team and encourage collaboration; B) Let the team do its own thing; C) Avoid talking about the issue; D) Reduce competitive efforts.")</f>
        <v>A) Balance the team and encourage collaboration; B) Let the team do its own thing; C) Avoid talking about the issue; D) Reduce competitive efforts.</v>
      </c>
      <c r="D192" s="5" t="str">
        <f>IFERROR(__xludf.DUMMYFUNCTION("GOOGLETRANSLATE(J192, ""th"", ""en"")
"),"A) Balance the team and encourage collaboration.")</f>
        <v>A) Balance the team and encourage collaboration.</v>
      </c>
      <c r="E192" s="5" t="str">
        <f>IFERROR(__xludf.DUMMYFUNCTION(" GOOGLETRANSLATE(K192, ""th"", ""en"")"),"Balancing your team and encouraging collaboration will improve efficiency.")</f>
        <v>Balancing your team and encouraging collaboration will improve efficiency.</v>
      </c>
      <c r="G192" s="6">
        <v>191.0</v>
      </c>
      <c r="H192" s="7" t="s">
        <v>1835</v>
      </c>
      <c r="I192" s="7" t="s">
        <v>1836</v>
      </c>
      <c r="J192" s="7" t="s">
        <v>1837</v>
      </c>
      <c r="K192" s="7" t="s">
        <v>1838</v>
      </c>
    </row>
    <row r="193" ht="14.25" customHeight="1">
      <c r="A193" s="4">
        <v>192.0</v>
      </c>
      <c r="B193" s="5" t="str">
        <f>IFERROR(__xludf.DUMMYFUNCTION("GOOGLETRANSLATE(H193, ""th"", ""en"")
"),"You see that your teammates are starting to suffer from a lack of commitment. What do you do?")</f>
        <v>You see that your teammates are starting to suffer from a lack of commitment. What do you do?</v>
      </c>
      <c r="C193" s="5" t="str">
        <f>IFERROR(__xludf.DUMMYFUNCTION("GOOGLETRANSLATE(I193, ""th"", ""en"")
"),"A) Encourage him to focus and regain his commitment; B) Let him do it his own way; C) Avoid talking about his lack of commitment; D) Reduce his competitiveness.")</f>
        <v>A) Encourage him to focus and regain his commitment; B) Let him do it his own way; C) Avoid talking about his lack of commitment; D) Reduce his competitiveness.</v>
      </c>
      <c r="D193" s="5" t="str">
        <f>IFERROR(__xludf.DUMMYFUNCTION("GOOGLETRANSLATE(J193, ""th"", ""en"")
"),"A) Encourage him to focus and regain his focus.")</f>
        <v>A) Encourage him to focus and regain his focus.</v>
      </c>
      <c r="E193" s="5" t="str">
        <f>IFERROR(__xludf.DUMMYFUNCTION(" GOOGLETRANSLATE(K193, ""th"", ""en"")"),"Encouraging your teammates to refocus will increase their commitment to the competition.")</f>
        <v>Encouraging your teammates to refocus will increase their commitment to the competition.</v>
      </c>
      <c r="G193" s="6">
        <v>192.0</v>
      </c>
      <c r="H193" s="7" t="s">
        <v>1839</v>
      </c>
      <c r="I193" s="7" t="s">
        <v>1840</v>
      </c>
      <c r="J193" s="7" t="s">
        <v>1841</v>
      </c>
      <c r="K193" s="7" t="s">
        <v>1842</v>
      </c>
    </row>
    <row r="194" ht="14.25" customHeight="1">
      <c r="A194" s="4">
        <v>193.0</v>
      </c>
      <c r="B194" s="5" t="str">
        <f>IFERROR(__xludf.DUMMYFUNCTION("GOOGLETRANSLATE(H194, ""th"", ""en"")
"),"Your team is losing confidence during the match. What should you do?")</f>
        <v>Your team is losing confidence during the match. What should you do?</v>
      </c>
      <c r="C194" s="5" t="str">
        <f>IFERROR(__xludf.DUMMYFUNCTION("GOOGLETRANSLATE(I194, ""th"", ""en"")
"),"A) Encourage and motivate to increase confidence; B) Let the team do its own thing; C) Avoid talking about insecurities; D) Reduce effort in competition.")</f>
        <v>A) Encourage and motivate to increase confidence; B) Let the team do its own thing; C) Avoid talking about insecurities; D) Reduce effort in competition.</v>
      </c>
      <c r="D194" s="5" t="str">
        <f>IFERROR(__xludf.DUMMYFUNCTION("GOOGLETRANSLATE(J194, ""th"", ""en"")
"),"A) Motivate and encourage to increase confidence.")</f>
        <v>A) Motivate and encourage to increase confidence.</v>
      </c>
      <c r="E194" s="5" t="str">
        <f>IFERROR(__xludf.DUMMYFUNCTION(" GOOGLETRANSLATE(K194, ""th"", ""en"")"),"Motivation and encouragement will help increase the team's self-confidence.")</f>
        <v>Motivation and encouragement will help increase the team's self-confidence.</v>
      </c>
      <c r="G194" s="6">
        <v>193.0</v>
      </c>
      <c r="H194" s="7" t="s">
        <v>1843</v>
      </c>
      <c r="I194" s="7" t="s">
        <v>1844</v>
      </c>
      <c r="J194" s="7" t="s">
        <v>1755</v>
      </c>
      <c r="K194" s="7" t="s">
        <v>1845</v>
      </c>
    </row>
    <row r="195" ht="14.25" customHeight="1">
      <c r="A195" s="4">
        <v>194.0</v>
      </c>
      <c r="B195" s="5" t="str">
        <f>IFERROR(__xludf.DUMMYFUNCTION("GOOGLETRANSLATE(H195, ""th"", ""en"")
"),"You see your teammates are stressed after conceding a goal, what do you do?")</f>
        <v>You see your teammates are stressed after conceding a goal, what do you do?</v>
      </c>
      <c r="C195" s="5" t="str">
        <f>IFERROR(__xludf.DUMMYFUNCTION("GOOGLETRANSLATE(I195, ""th"", ""en"")
"),"A) Talk and encourage him to relax; B) Let him do his own thing; C) Avoid talking about the problem; D) Reduce your competitiveness.")</f>
        <v>A) Talk and encourage him to relax; B) Let him do his own thing; C) Avoid talking about the problem; D) Reduce your competitiveness.</v>
      </c>
      <c r="D195" s="5" t="str">
        <f>IFERROR(__xludf.DUMMYFUNCTION("GOOGLETRANSLATE(J195, ""th"", ""en"")
"),"A) Talk and encourage him to relax.")</f>
        <v>A) Talk and encourage him to relax.</v>
      </c>
      <c r="E195" s="5" t="str">
        <f>IFERROR(__xludf.DUMMYFUNCTION(" GOOGLETRANSLATE(K195, ""th"", ""en"")"),"Talking and giving encouragement reduces stress and helps teammates feel better.")</f>
        <v>Talking and giving encouragement reduces stress and helps teammates feel better.</v>
      </c>
      <c r="G195" s="6">
        <v>194.0</v>
      </c>
      <c r="H195" s="7" t="s">
        <v>1846</v>
      </c>
      <c r="I195" s="7" t="s">
        <v>1847</v>
      </c>
      <c r="J195" s="7" t="s">
        <v>1848</v>
      </c>
      <c r="K195" s="7" t="s">
        <v>1849</v>
      </c>
    </row>
    <row r="196" ht="14.25" customHeight="1">
      <c r="A196" s="4">
        <v>195.0</v>
      </c>
      <c r="B196" s="5" t="str">
        <f>IFERROR(__xludf.DUMMYFUNCTION("GOOGLETRANSLATE(H196, ""th"", ""en"")
"),"Your team is starting to feel stressed out from the pressure of the final stages of the competition. What do you do?")</f>
        <v>Your team is starting to feel stressed out from the pressure of the final stages of the competition. What do you do?</v>
      </c>
      <c r="C196" s="5" t="str">
        <f>IFERROR(__xludf.DUMMYFUNCTION("GOOGLETRANSLATE(I196, ""th"", ""en"")
"),"A) Encourage the team to stay calm and focused; B) Let the team do its own thing; C) Avoid talking about stress; D) Reduce competitive effort.")</f>
        <v>A) Encourage the team to stay calm and focused; B) Let the team do its own thing; C) Avoid talking about stress; D) Reduce competitive effort.</v>
      </c>
      <c r="D196" s="5" t="str">
        <f>IFERROR(__xludf.DUMMYFUNCTION("GOOGLETRANSLATE(J196, ""th"", ""en"")
"),"A) Encourage the team to remain calm and focused.")</f>
        <v>A) Encourage the team to remain calm and focused.</v>
      </c>
      <c r="E196" s="5" t="str">
        <f>IFERROR(__xludf.DUMMYFUNCTION(" GOOGLETRANSLATE(K196, ""th"", ""en"")"),"Motivating the team will help them stay calm and focused during the competition.")</f>
        <v>Motivating the team will help them stay calm and focused during the competition.</v>
      </c>
      <c r="G196" s="6">
        <v>195.0</v>
      </c>
      <c r="H196" s="7" t="s">
        <v>1850</v>
      </c>
      <c r="I196" s="7" t="s">
        <v>1851</v>
      </c>
      <c r="J196" s="7" t="s">
        <v>1852</v>
      </c>
      <c r="K196" s="7" t="s">
        <v>1853</v>
      </c>
    </row>
    <row r="197" ht="14.25" customHeight="1">
      <c r="A197" s="4">
        <v>196.0</v>
      </c>
      <c r="B197" s="5" t="str">
        <f>IFERROR(__xludf.DUMMYFUNCTION("GOOGLETRANSLATE(H197, ""th"", ""en"")
"),"Your team is starting to lose unity due to differences in ideas. What should you do?")</f>
        <v>Your team is starting to lose unity due to differences in ideas. What should you do?</v>
      </c>
      <c r="C197" s="5" t="str">
        <f>IFERROR(__xludf.DUMMYFUNCTION("GOOGLETRANSLATE(I197, ""th"", ""en"")
"),"A) Communicate and find solutions together; B) Let the team do its own thing; C) Avoid discussing conflicts; D) Reduce competitive efforts.")</f>
        <v>A) Communicate and find solutions together; B) Let the team do its own thing; C) Avoid discussing conflicts; D) Reduce competitive efforts.</v>
      </c>
      <c r="D197" s="5" t="str">
        <f>IFERROR(__xludf.DUMMYFUNCTION("GOOGLETRANSLATE(J197, ""th"", ""en"")
"),"A) Communicate and find solutions together.")</f>
        <v>A) Communicate and find solutions together.</v>
      </c>
      <c r="E197" s="5" t="str">
        <f>IFERROR(__xludf.DUMMYFUNCTION(" GOOGLETRANSLATE(K197, ""th"", ""en"")"),"Communication and finding solutions together will help build team unity.")</f>
        <v>Communication and finding solutions together will help build team unity.</v>
      </c>
      <c r="G197" s="6">
        <v>196.0</v>
      </c>
      <c r="H197" s="7" t="s">
        <v>1854</v>
      </c>
      <c r="I197" s="7" t="s">
        <v>1855</v>
      </c>
      <c r="J197" s="7" t="s">
        <v>1856</v>
      </c>
      <c r="K197" s="7" t="s">
        <v>1857</v>
      </c>
    </row>
    <row r="198" ht="14.25" customHeight="1">
      <c r="A198" s="4">
        <v>197.0</v>
      </c>
      <c r="B198" s="5" t="str">
        <f>IFERROR(__xludf.DUMMYFUNCTION("GOOGLETRANSLATE(H198, ""th"", ""en"")
"),"You feel like your teammates are losing their commitment, what do you do?")</f>
        <v>You feel like your teammates are losing their commitment, what do you do?</v>
      </c>
      <c r="C198" s="5" t="str">
        <f>IFERROR(__xludf.DUMMYFUNCTION("GOOGLETRANSLATE(I198, ""th"", ""en"")
"),"A) Encourage him to focus and be committed to the game; B) Let him do it his own way; C) Avoid talking about his lack of commitment; D) Reduce his effort in the competition.")</f>
        <v>A) Encourage him to focus and be committed to the game; B) Let him do it his own way; C) Avoid talking about his lack of commitment; D) Reduce his effort in the competition.</v>
      </c>
      <c r="D198" s="5" t="str">
        <f>IFERROR(__xludf.DUMMYFUNCTION("GOOGLETRANSLATE(J198, ""th"", ""en"")
"),"A) Encourage him to focus and be committed to the game.")</f>
        <v>A) Encourage him to focus and be committed to the game.</v>
      </c>
      <c r="E198" s="5" t="str">
        <f>IFERROR(__xludf.DUMMYFUNCTION(" GOOGLETRANSLATE(K198, ""th"", ""en"")"),"Motivating your teammates will help them regain focus and determination in the competition.")</f>
        <v>Motivating your teammates will help them regain focus and determination in the competition.</v>
      </c>
      <c r="G198" s="6">
        <v>197.0</v>
      </c>
      <c r="H198" s="7" t="s">
        <v>1858</v>
      </c>
      <c r="I198" s="7" t="s">
        <v>1859</v>
      </c>
      <c r="J198" s="7" t="s">
        <v>1860</v>
      </c>
      <c r="K198" s="7" t="s">
        <v>1861</v>
      </c>
    </row>
    <row r="199" ht="14.25" customHeight="1">
      <c r="A199" s="4">
        <v>198.0</v>
      </c>
      <c r="B199" s="5" t="str">
        <f>IFERROR(__xludf.DUMMYFUNCTION("GOOGLETRANSLATE(H199, ""th"", ""en"")
"),"Your team is starting to feel tired towards the end of the match, what do you do?")</f>
        <v>Your team is starting to feel tired towards the end of the match, what do you do?</v>
      </c>
      <c r="C199" s="5" t="str">
        <f>IFERROR(__xludf.DUMMYFUNCTION("GOOGLETRANSLATE(I199, ""th"", ""en"")
"),"A) Encourage the team to recharge and prepare; B) Let the team do its own thing; C) Avoid talking about fatigue; D) Reduce the effort required to compete.")</f>
        <v>A) Encourage the team to recharge and prepare; B) Let the team do its own thing; C) Avoid talking about fatigue; D) Reduce the effort required to compete.</v>
      </c>
      <c r="D199" s="5" t="str">
        <f>IFERROR(__xludf.DUMMYFUNCTION("GOOGLETRANSLATE(J199, ""th"", ""en"")
"),"A) Encourage the team to recharge and prepare.")</f>
        <v>A) Encourage the team to recharge and prepare.</v>
      </c>
      <c r="E199" s="5" t="str">
        <f>IFERROR(__xludf.DUMMYFUNCTION(" GOOGLETRANSLATE(K199, ""th"", ""en"")"),"Restoring energy and motivating the team will help the team return to better performance.")</f>
        <v>Restoring energy and motivating the team will help the team return to better performance.</v>
      </c>
      <c r="G199" s="6">
        <v>198.0</v>
      </c>
      <c r="H199" s="7" t="s">
        <v>1594</v>
      </c>
      <c r="I199" s="7" t="s">
        <v>1802</v>
      </c>
      <c r="J199" s="7" t="s">
        <v>1803</v>
      </c>
      <c r="K199" s="7" t="s">
        <v>1804</v>
      </c>
    </row>
    <row r="200" ht="14.25" customHeight="1">
      <c r="A200" s="4">
        <v>199.0</v>
      </c>
      <c r="B200" s="5" t="str">
        <f>IFERROR(__xludf.DUMMYFUNCTION("GOOGLETRANSLATE(H200, ""th"", ""en"")
"),"Your team is starting to lose its competitive spirit. What should you do?")</f>
        <v>Your team is starting to lose its competitive spirit. What should you do?</v>
      </c>
      <c r="C200" s="5" t="str">
        <f>IFERROR(__xludf.DUMMYFUNCTION("GOOGLETRANSLATE(I200, ""th"", ""en"")
"),"A) motivate the team to refocus and increase their effort; B) let the team do its own thing; C) avoid stimulation; D) reduce competitive effort.")</f>
        <v>A) motivate the team to refocus and increase their effort; B) let the team do its own thing; C) avoid stimulation; D) reduce competitive effort.</v>
      </c>
      <c r="D200" s="5" t="str">
        <f>IFERROR(__xludf.DUMMYFUNCTION("GOOGLETRANSLATE(J200, ""th"", ""en"")
"),"A) Encourage the team to refocus and increase their efforts.")</f>
        <v>A) Encourage the team to refocus and increase their efforts.</v>
      </c>
      <c r="E200" s="5" t="str">
        <f>IFERROR(__xludf.DUMMYFUNCTION(" GOOGLETRANSLATE(K200, ""th"", ""en"")"),"Motivating the team helps them refocus and increase their efforts.")</f>
        <v>Motivating the team helps them refocus and increase their efforts.</v>
      </c>
      <c r="G200" s="6">
        <v>199.0</v>
      </c>
      <c r="H200" s="7" t="s">
        <v>1805</v>
      </c>
      <c r="I200" s="7" t="s">
        <v>1576</v>
      </c>
      <c r="J200" s="7" t="s">
        <v>1577</v>
      </c>
      <c r="K200" s="7" t="s">
        <v>1806</v>
      </c>
    </row>
    <row r="201" ht="14.25" customHeight="1">
      <c r="A201" s="4">
        <v>200.0</v>
      </c>
      <c r="B201" s="5" t="str">
        <f>IFERROR(__xludf.DUMMYFUNCTION("GOOGLETRANSLATE(H201, ""th"", ""en"")
"),"Your team is starting to face mental health issues due to stress. What do you do?")</f>
        <v>Your team is starting to face mental health issues due to stress. What do you do?</v>
      </c>
      <c r="C201" s="5" t="str">
        <f>IFERROR(__xludf.DUMMYFUNCTION("GOOGLETRANSLATE(I201, ""th"", ""en"")
"),"A) Talk and encourage each other to reduce stress; B) Let the team do its own thing; C) Avoid talking about stress; D) Reduce the effort required to compete.")</f>
        <v>A) Talk and encourage each other to reduce stress; B) Let the team do its own thing; C) Avoid talking about stress; D) Reduce the effort required to compete.</v>
      </c>
      <c r="D201" s="5" t="str">
        <f>IFERROR(__xludf.DUMMYFUNCTION("GOOGLETRANSLATE(J201, ""th"", ""en"")
"),"A) Talk and provide encouragement to reduce stress.")</f>
        <v>A) Talk and provide encouragement to reduce stress.</v>
      </c>
      <c r="E201" s="5" t="str">
        <f>IFERROR(__xludf.DUMMYFUNCTION(" GOOGLETRANSLATE(K201, ""th"", ""en"")"),"Encouragement reduces stress and keeps the team motivated.")</f>
        <v>Encouragement reduces stress and keeps the team motivated.</v>
      </c>
      <c r="G201" s="6">
        <v>200.0</v>
      </c>
      <c r="H201" s="7" t="s">
        <v>1807</v>
      </c>
      <c r="I201" s="7" t="s">
        <v>1683</v>
      </c>
      <c r="J201" s="7" t="s">
        <v>1663</v>
      </c>
      <c r="K201" s="7" t="s">
        <v>1808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>
      <c r="A208" s="8" t="s">
        <v>690</v>
      </c>
    </row>
    <row r="209" ht="14.25" customHeight="1">
      <c r="A209" s="9" t="s">
        <v>1</v>
      </c>
      <c r="B209" s="9" t="s">
        <v>691</v>
      </c>
      <c r="C209" s="9" t="s">
        <v>692</v>
      </c>
      <c r="D209" s="9" t="s">
        <v>693</v>
      </c>
      <c r="E209" s="9" t="s">
        <v>694</v>
      </c>
      <c r="F209" s="9" t="s">
        <v>695</v>
      </c>
      <c r="G209" s="9" t="s">
        <v>696</v>
      </c>
      <c r="H209" s="9" t="s">
        <v>697</v>
      </c>
      <c r="I209" s="9" t="s">
        <v>698</v>
      </c>
      <c r="J209" s="9" t="s">
        <v>699</v>
      </c>
      <c r="K209" s="9"/>
      <c r="L209" s="9" t="s">
        <v>700</v>
      </c>
      <c r="M209" s="9" t="s">
        <v>701</v>
      </c>
      <c r="N209" s="9" t="s">
        <v>702</v>
      </c>
      <c r="O209" s="9" t="s">
        <v>1862</v>
      </c>
    </row>
    <row r="210" ht="14.25" customHeight="1">
      <c r="A210" s="10" t="s">
        <v>1863</v>
      </c>
      <c r="B210" s="12">
        <v>1.0</v>
      </c>
      <c r="C210" s="11"/>
      <c r="D210" s="10" t="s">
        <v>1864</v>
      </c>
      <c r="E210" s="11"/>
      <c r="F210" s="10" t="s">
        <v>1865</v>
      </c>
      <c r="G210" s="11"/>
      <c r="H210" s="10" t="s">
        <v>1866</v>
      </c>
      <c r="I210" s="11"/>
      <c r="J210" s="10" t="s">
        <v>707</v>
      </c>
      <c r="K210" s="11"/>
      <c r="L210" s="11"/>
      <c r="M210" s="10" t="s">
        <v>1864</v>
      </c>
      <c r="N210" s="11"/>
      <c r="O210" s="10" t="s">
        <v>1867</v>
      </c>
    </row>
    <row r="211" ht="14.25" customHeight="1">
      <c r="A211" s="10" t="s">
        <v>1868</v>
      </c>
      <c r="B211" s="12">
        <v>0.0</v>
      </c>
      <c r="C211" s="11"/>
      <c r="D211" s="10" t="s">
        <v>1869</v>
      </c>
      <c r="E211" s="11"/>
      <c r="F211" s="10" t="s">
        <v>1865</v>
      </c>
      <c r="G211" s="11"/>
      <c r="H211" s="10" t="s">
        <v>1870</v>
      </c>
      <c r="I211" s="11"/>
      <c r="J211" s="10" t="s">
        <v>707</v>
      </c>
      <c r="K211" s="11"/>
      <c r="L211" s="11"/>
      <c r="M211" s="10" t="s">
        <v>1865</v>
      </c>
      <c r="N211" s="11"/>
      <c r="O211" s="11"/>
    </row>
    <row r="212" ht="14.25" customHeight="1">
      <c r="A212" s="10" t="s">
        <v>1871</v>
      </c>
      <c r="B212" s="12">
        <v>0.0</v>
      </c>
      <c r="C212" s="11"/>
      <c r="D212" s="10" t="s">
        <v>1872</v>
      </c>
      <c r="E212" s="11"/>
      <c r="F212" s="10" t="s">
        <v>1873</v>
      </c>
      <c r="G212" s="11"/>
      <c r="H212" s="10" t="s">
        <v>1874</v>
      </c>
      <c r="I212" s="11"/>
      <c r="J212" s="10" t="s">
        <v>1875</v>
      </c>
      <c r="K212" s="11"/>
      <c r="L212" s="11"/>
      <c r="M212" s="10" t="s">
        <v>1873</v>
      </c>
      <c r="N212" s="11"/>
      <c r="O212" s="11"/>
    </row>
    <row r="213" ht="14.25" customHeight="1">
      <c r="A213" s="10" t="s">
        <v>1876</v>
      </c>
      <c r="B213" s="12">
        <v>1.0</v>
      </c>
      <c r="C213" s="11"/>
      <c r="D213" s="10" t="s">
        <v>1877</v>
      </c>
      <c r="E213" s="11"/>
      <c r="F213" s="10" t="s">
        <v>1864</v>
      </c>
      <c r="G213" s="11"/>
      <c r="H213" s="10" t="s">
        <v>1878</v>
      </c>
      <c r="I213" s="11"/>
      <c r="J213" s="10" t="s">
        <v>707</v>
      </c>
      <c r="K213" s="11"/>
      <c r="L213" s="11"/>
      <c r="M213" s="10" t="s">
        <v>1864</v>
      </c>
      <c r="N213" s="10" t="s">
        <v>1877</v>
      </c>
      <c r="O213" s="10" t="s">
        <v>1879</v>
      </c>
    </row>
    <row r="214" ht="14.25" customHeight="1">
      <c r="A214" s="10" t="s">
        <v>1880</v>
      </c>
      <c r="B214" s="12">
        <v>1.0</v>
      </c>
      <c r="C214" s="11"/>
      <c r="D214" s="10" t="s">
        <v>1881</v>
      </c>
      <c r="E214" s="11"/>
      <c r="F214" s="10" t="s">
        <v>1865</v>
      </c>
      <c r="G214" s="11"/>
      <c r="H214" s="10" t="s">
        <v>1882</v>
      </c>
      <c r="I214" s="11"/>
      <c r="J214" s="10" t="s">
        <v>1883</v>
      </c>
      <c r="K214" s="11"/>
      <c r="L214" s="11"/>
      <c r="M214" s="10" t="s">
        <v>1865</v>
      </c>
      <c r="N214" s="11"/>
      <c r="O214" s="11"/>
    </row>
    <row r="215" ht="14.25" customHeight="1">
      <c r="A215" s="10" t="s">
        <v>1884</v>
      </c>
      <c r="B215" s="12">
        <v>0.0</v>
      </c>
      <c r="C215" s="11"/>
      <c r="D215" s="10" t="s">
        <v>1864</v>
      </c>
      <c r="E215" s="11"/>
      <c r="F215" s="10" t="s">
        <v>1878</v>
      </c>
      <c r="G215" s="11"/>
      <c r="H215" s="10" t="s">
        <v>1877</v>
      </c>
      <c r="I215" s="11"/>
      <c r="J215" s="10" t="s">
        <v>1885</v>
      </c>
      <c r="K215" s="11"/>
      <c r="L215" s="11"/>
      <c r="M215" s="10" t="s">
        <v>1864</v>
      </c>
      <c r="N215" s="11"/>
      <c r="O215" s="11"/>
    </row>
    <row r="216" ht="14.25" customHeight="1">
      <c r="A216" s="10" t="s">
        <v>1886</v>
      </c>
      <c r="B216" s="12">
        <v>1.0</v>
      </c>
      <c r="C216" s="11"/>
      <c r="D216" s="10" t="s">
        <v>1878</v>
      </c>
      <c r="E216" s="11"/>
      <c r="F216" s="10" t="s">
        <v>1864</v>
      </c>
      <c r="G216" s="11"/>
      <c r="H216" s="10" t="s">
        <v>1887</v>
      </c>
      <c r="I216" s="11"/>
      <c r="J216" s="10" t="s">
        <v>1877</v>
      </c>
      <c r="K216" s="11"/>
      <c r="L216" s="11"/>
      <c r="M216" s="10" t="s">
        <v>1864</v>
      </c>
      <c r="N216" s="11"/>
      <c r="O216" s="11"/>
    </row>
    <row r="217" ht="14.25" customHeight="1">
      <c r="A217" s="10" t="s">
        <v>1888</v>
      </c>
      <c r="B217" s="12">
        <v>0.0</v>
      </c>
      <c r="C217" s="11"/>
      <c r="D217" s="10" t="s">
        <v>1865</v>
      </c>
      <c r="E217" s="11"/>
      <c r="F217" s="10" t="s">
        <v>1882</v>
      </c>
      <c r="G217" s="11"/>
      <c r="H217" s="10" t="s">
        <v>1889</v>
      </c>
      <c r="I217" s="11"/>
      <c r="J217" s="10" t="s">
        <v>1881</v>
      </c>
      <c r="K217" s="11"/>
      <c r="L217" s="11"/>
      <c r="M217" s="10" t="s">
        <v>1865</v>
      </c>
      <c r="N217" s="11"/>
      <c r="O217" s="11"/>
    </row>
    <row r="218" ht="14.25" customHeight="1">
      <c r="A218" s="10" t="s">
        <v>1890</v>
      </c>
      <c r="B218" s="12">
        <v>1.0</v>
      </c>
      <c r="C218" s="11"/>
      <c r="D218" s="10" t="s">
        <v>1877</v>
      </c>
      <c r="E218" s="11"/>
      <c r="F218" s="10" t="s">
        <v>1864</v>
      </c>
      <c r="G218" s="11"/>
      <c r="H218" s="10" t="s">
        <v>1878</v>
      </c>
      <c r="I218" s="11"/>
      <c r="J218" s="10" t="s">
        <v>1885</v>
      </c>
      <c r="K218" s="11"/>
      <c r="L218" s="11"/>
      <c r="M218" s="10" t="s">
        <v>1864</v>
      </c>
      <c r="N218" s="10" t="s">
        <v>1885</v>
      </c>
      <c r="O218" s="11"/>
    </row>
    <row r="219" ht="14.25" customHeight="1">
      <c r="A219" s="10" t="s">
        <v>1891</v>
      </c>
      <c r="B219" s="12">
        <v>1.0</v>
      </c>
      <c r="C219" s="11"/>
      <c r="D219" s="10" t="s">
        <v>1887</v>
      </c>
      <c r="E219" s="11"/>
      <c r="F219" s="10" t="s">
        <v>1877</v>
      </c>
      <c r="G219" s="11"/>
      <c r="H219" s="10" t="s">
        <v>1864</v>
      </c>
      <c r="I219" s="11"/>
      <c r="J219" s="10" t="s">
        <v>1878</v>
      </c>
      <c r="K219" s="11"/>
      <c r="L219" s="11"/>
      <c r="M219" s="10" t="s">
        <v>1864</v>
      </c>
      <c r="N219" s="11"/>
      <c r="O219" s="11"/>
    </row>
    <row r="220" ht="14.25" customHeight="1">
      <c r="A220" s="10" t="s">
        <v>1892</v>
      </c>
      <c r="B220" s="12">
        <v>1.0</v>
      </c>
      <c r="C220" s="11"/>
      <c r="D220" s="10" t="s">
        <v>1877</v>
      </c>
      <c r="E220" s="11"/>
      <c r="F220" s="10" t="s">
        <v>1864</v>
      </c>
      <c r="G220" s="11"/>
      <c r="H220" s="10" t="s">
        <v>1885</v>
      </c>
      <c r="I220" s="11"/>
      <c r="J220" s="10" t="s">
        <v>1878</v>
      </c>
      <c r="K220" s="11"/>
      <c r="L220" s="11"/>
      <c r="M220" s="10" t="s">
        <v>1877</v>
      </c>
      <c r="N220" s="10" t="s">
        <v>1885</v>
      </c>
      <c r="O220" s="11"/>
    </row>
    <row r="221" ht="14.25" customHeight="1">
      <c r="A221" s="10" t="s">
        <v>1893</v>
      </c>
      <c r="B221" s="12">
        <v>0.0</v>
      </c>
      <c r="C221" s="11"/>
      <c r="D221" s="10" t="s">
        <v>1894</v>
      </c>
      <c r="E221" s="11"/>
      <c r="F221" s="10" t="s">
        <v>1895</v>
      </c>
      <c r="G221" s="11"/>
      <c r="H221" s="10" t="s">
        <v>1896</v>
      </c>
      <c r="I221" s="11"/>
      <c r="J221" s="10" t="s">
        <v>707</v>
      </c>
      <c r="K221" s="11"/>
      <c r="L221" s="11"/>
      <c r="M221" s="10" t="s">
        <v>1894</v>
      </c>
      <c r="N221" s="11"/>
      <c r="O221" s="11"/>
    </row>
    <row r="222" ht="14.25" customHeight="1">
      <c r="A222" s="10" t="s">
        <v>1897</v>
      </c>
      <c r="B222" s="12">
        <v>0.0</v>
      </c>
      <c r="C222" s="11"/>
      <c r="D222" s="10" t="s">
        <v>1887</v>
      </c>
      <c r="E222" s="11"/>
      <c r="F222" s="10" t="s">
        <v>1877</v>
      </c>
      <c r="G222" s="11"/>
      <c r="H222" s="10" t="s">
        <v>1864</v>
      </c>
      <c r="I222" s="11"/>
      <c r="J222" s="10" t="s">
        <v>1878</v>
      </c>
      <c r="K222" s="11"/>
      <c r="L222" s="11"/>
      <c r="M222" s="10" t="s">
        <v>1864</v>
      </c>
      <c r="N222" s="11"/>
      <c r="O222" s="11"/>
    </row>
    <row r="223" ht="14.25" customHeight="1">
      <c r="A223" s="10" t="s">
        <v>1898</v>
      </c>
      <c r="B223" s="12">
        <v>1.0</v>
      </c>
      <c r="C223" s="11"/>
      <c r="D223" s="10" t="s">
        <v>1887</v>
      </c>
      <c r="E223" s="11"/>
      <c r="F223" s="10" t="s">
        <v>1878</v>
      </c>
      <c r="G223" s="11"/>
      <c r="H223" s="10" t="s">
        <v>1864</v>
      </c>
      <c r="I223" s="11"/>
      <c r="J223" s="10" t="s">
        <v>1877</v>
      </c>
      <c r="K223" s="11"/>
      <c r="L223" s="11"/>
      <c r="M223" s="10" t="s">
        <v>1887</v>
      </c>
      <c r="N223" s="11"/>
      <c r="O223" s="11"/>
    </row>
    <row r="224" ht="14.25" customHeight="1">
      <c r="A224" s="10" t="s">
        <v>1899</v>
      </c>
      <c r="B224" s="12">
        <v>0.0</v>
      </c>
      <c r="C224" s="11"/>
      <c r="D224" s="10" t="s">
        <v>1877</v>
      </c>
      <c r="E224" s="11"/>
      <c r="F224" s="10" t="s">
        <v>1864</v>
      </c>
      <c r="G224" s="11"/>
      <c r="H224" s="10" t="s">
        <v>1878</v>
      </c>
      <c r="I224" s="11"/>
      <c r="J224" s="10" t="s">
        <v>1885</v>
      </c>
      <c r="K224" s="11"/>
      <c r="L224" s="11"/>
      <c r="M224" s="10" t="s">
        <v>1864</v>
      </c>
      <c r="N224" s="11"/>
      <c r="O224" s="11"/>
    </row>
    <row r="225" ht="14.25" customHeight="1">
      <c r="A225" s="10" t="s">
        <v>1900</v>
      </c>
      <c r="B225" s="12">
        <v>0.0</v>
      </c>
      <c r="C225" s="11"/>
      <c r="D225" s="10" t="s">
        <v>1864</v>
      </c>
      <c r="E225" s="11"/>
      <c r="F225" s="10" t="s">
        <v>1887</v>
      </c>
      <c r="G225" s="11"/>
      <c r="H225" s="10" t="s">
        <v>1878</v>
      </c>
      <c r="I225" s="11"/>
      <c r="J225" s="10" t="s">
        <v>1894</v>
      </c>
      <c r="K225" s="11"/>
      <c r="L225" s="11"/>
      <c r="M225" s="10" t="s">
        <v>1887</v>
      </c>
      <c r="N225" s="11"/>
      <c r="O225" s="11"/>
    </row>
    <row r="226" ht="14.25" customHeight="1">
      <c r="A226" s="10" t="s">
        <v>1901</v>
      </c>
      <c r="B226" s="12">
        <v>1.0</v>
      </c>
      <c r="C226" s="10" t="s">
        <v>1902</v>
      </c>
      <c r="D226" s="10" t="s">
        <v>1864</v>
      </c>
      <c r="E226" s="11"/>
      <c r="F226" s="10" t="s">
        <v>1878</v>
      </c>
      <c r="G226" s="11"/>
      <c r="H226" s="10" t="s">
        <v>1877</v>
      </c>
      <c r="I226" s="11"/>
      <c r="J226" s="10" t="s">
        <v>1885</v>
      </c>
      <c r="K226" s="11"/>
      <c r="L226" s="11"/>
      <c r="M226" s="10" t="s">
        <v>1864</v>
      </c>
      <c r="N226" s="11"/>
      <c r="O226" s="11"/>
    </row>
    <row r="227" ht="14.25" customHeight="1">
      <c r="A227" s="10" t="s">
        <v>1903</v>
      </c>
      <c r="B227" s="12">
        <v>1.0</v>
      </c>
      <c r="C227" s="11"/>
      <c r="D227" s="10" t="s">
        <v>1877</v>
      </c>
      <c r="E227" s="11"/>
      <c r="F227" s="10" t="s">
        <v>1864</v>
      </c>
      <c r="G227" s="11"/>
      <c r="H227" s="10" t="s">
        <v>1878</v>
      </c>
      <c r="I227" s="11"/>
      <c r="J227" s="10" t="s">
        <v>1904</v>
      </c>
      <c r="K227" s="11"/>
      <c r="L227" s="11"/>
      <c r="M227" s="10" t="s">
        <v>1864</v>
      </c>
      <c r="N227" s="11"/>
      <c r="O227" s="11"/>
    </row>
    <row r="228" ht="14.25" customHeight="1">
      <c r="A228" s="10" t="s">
        <v>1905</v>
      </c>
      <c r="B228" s="12">
        <v>0.0</v>
      </c>
      <c r="C228" s="11"/>
      <c r="D228" s="10" t="s">
        <v>1864</v>
      </c>
      <c r="E228" s="11"/>
      <c r="F228" s="10" t="s">
        <v>1878</v>
      </c>
      <c r="G228" s="11"/>
      <c r="H228" s="10" t="s">
        <v>1877</v>
      </c>
      <c r="I228" s="11"/>
      <c r="J228" s="10" t="s">
        <v>1887</v>
      </c>
      <c r="K228" s="11"/>
      <c r="L228" s="11"/>
      <c r="M228" s="10" t="s">
        <v>1864</v>
      </c>
      <c r="N228" s="11"/>
      <c r="O228" s="11"/>
    </row>
    <row r="229" ht="14.25" customHeight="1">
      <c r="A229" s="10" t="s">
        <v>1906</v>
      </c>
      <c r="B229" s="12">
        <v>1.0</v>
      </c>
      <c r="C229" s="11"/>
      <c r="D229" s="10" t="s">
        <v>1865</v>
      </c>
      <c r="E229" s="11"/>
      <c r="F229" s="10" t="s">
        <v>1882</v>
      </c>
      <c r="G229" s="11"/>
      <c r="H229" s="10" t="s">
        <v>1881</v>
      </c>
      <c r="I229" s="11"/>
      <c r="J229" s="10" t="s">
        <v>1907</v>
      </c>
      <c r="K229" s="11"/>
      <c r="L229" s="11"/>
      <c r="M229" s="10" t="s">
        <v>1865</v>
      </c>
      <c r="N229" s="10" t="s">
        <v>1907</v>
      </c>
      <c r="O229" s="11"/>
    </row>
    <row r="230" ht="14.25" customHeight="1">
      <c r="A230" s="10" t="s">
        <v>1908</v>
      </c>
      <c r="B230" s="12">
        <v>0.0</v>
      </c>
      <c r="C230" s="11"/>
      <c r="D230" s="10" t="s">
        <v>1864</v>
      </c>
      <c r="E230" s="11"/>
      <c r="F230" s="10" t="s">
        <v>1878</v>
      </c>
      <c r="G230" s="11"/>
      <c r="H230" s="10" t="s">
        <v>1909</v>
      </c>
      <c r="I230" s="11"/>
      <c r="J230" s="10" t="s">
        <v>1904</v>
      </c>
      <c r="K230" s="11"/>
      <c r="L230" s="11"/>
      <c r="M230" s="10" t="s">
        <v>1864</v>
      </c>
      <c r="N230" s="11"/>
      <c r="O230" s="11"/>
    </row>
    <row r="231" ht="14.25" customHeight="1">
      <c r="A231" s="10" t="s">
        <v>1910</v>
      </c>
      <c r="B231" s="12">
        <v>0.0</v>
      </c>
      <c r="C231" s="11"/>
      <c r="D231" s="10" t="s">
        <v>1864</v>
      </c>
      <c r="E231" s="11"/>
      <c r="F231" s="10" t="s">
        <v>1878</v>
      </c>
      <c r="G231" s="11"/>
      <c r="H231" s="10" t="s">
        <v>1877</v>
      </c>
      <c r="I231" s="11"/>
      <c r="J231" s="10" t="s">
        <v>1885</v>
      </c>
      <c r="K231" s="11"/>
      <c r="L231" s="11"/>
      <c r="M231" s="10" t="s">
        <v>1864</v>
      </c>
      <c r="N231" s="11"/>
      <c r="O231" s="11"/>
    </row>
    <row r="232" ht="14.25" customHeight="1">
      <c r="A232" s="10" t="s">
        <v>1911</v>
      </c>
      <c r="B232" s="12">
        <v>0.0</v>
      </c>
      <c r="C232" s="11"/>
      <c r="D232" s="10" t="s">
        <v>1864</v>
      </c>
      <c r="E232" s="11"/>
      <c r="F232" s="10" t="s">
        <v>1877</v>
      </c>
      <c r="G232" s="11"/>
      <c r="H232" s="10" t="s">
        <v>1864</v>
      </c>
      <c r="I232" s="11"/>
      <c r="J232" s="10" t="s">
        <v>1904</v>
      </c>
      <c r="K232" s="11"/>
      <c r="L232" s="11"/>
      <c r="M232" s="10" t="s">
        <v>1864</v>
      </c>
      <c r="N232" s="11"/>
      <c r="O232" s="11"/>
    </row>
    <row r="233" ht="14.25" customHeight="1">
      <c r="A233" s="10" t="s">
        <v>1912</v>
      </c>
      <c r="B233" s="12">
        <v>1.0</v>
      </c>
      <c r="C233" s="11"/>
      <c r="D233" s="10" t="s">
        <v>1864</v>
      </c>
      <c r="E233" s="11"/>
      <c r="F233" s="10" t="s">
        <v>1878</v>
      </c>
      <c r="G233" s="11"/>
      <c r="H233" s="10" t="s">
        <v>1877</v>
      </c>
      <c r="I233" s="11"/>
      <c r="J233" s="10" t="s">
        <v>1904</v>
      </c>
      <c r="K233" s="11"/>
      <c r="L233" s="11"/>
      <c r="M233" s="10" t="s">
        <v>1864</v>
      </c>
      <c r="N233" s="11"/>
      <c r="O233" s="11"/>
    </row>
    <row r="234" ht="14.25" customHeight="1">
      <c r="A234" s="10" t="s">
        <v>1913</v>
      </c>
      <c r="B234" s="12">
        <v>1.0</v>
      </c>
      <c r="C234" s="11"/>
      <c r="D234" s="10" t="s">
        <v>1864</v>
      </c>
      <c r="E234" s="11"/>
      <c r="F234" s="10" t="s">
        <v>1878</v>
      </c>
      <c r="G234" s="11"/>
      <c r="H234" s="10" t="s">
        <v>1877</v>
      </c>
      <c r="I234" s="11"/>
      <c r="J234" s="10" t="s">
        <v>1904</v>
      </c>
      <c r="K234" s="11"/>
      <c r="L234" s="11"/>
      <c r="M234" s="10" t="s">
        <v>1864</v>
      </c>
      <c r="N234" s="11"/>
      <c r="O234" s="11"/>
    </row>
    <row r="235" ht="14.25" customHeight="1">
      <c r="A235" s="10" t="s">
        <v>1914</v>
      </c>
      <c r="B235" s="12">
        <v>0.0</v>
      </c>
      <c r="C235" s="11"/>
      <c r="D235" s="10" t="s">
        <v>1864</v>
      </c>
      <c r="E235" s="11"/>
      <c r="F235" s="10" t="s">
        <v>1877</v>
      </c>
      <c r="G235" s="11"/>
      <c r="H235" s="10" t="s">
        <v>1878</v>
      </c>
      <c r="I235" s="11"/>
      <c r="J235" s="10" t="s">
        <v>1904</v>
      </c>
      <c r="K235" s="11"/>
      <c r="L235" s="11"/>
      <c r="M235" s="10" t="s">
        <v>1864</v>
      </c>
      <c r="N235" s="11"/>
      <c r="O235" s="11"/>
    </row>
    <row r="236" ht="14.25" customHeight="1">
      <c r="A236" s="10" t="s">
        <v>1915</v>
      </c>
      <c r="B236" s="12">
        <v>0.0</v>
      </c>
      <c r="C236" s="11"/>
      <c r="D236" s="10" t="s">
        <v>1864</v>
      </c>
      <c r="E236" s="11"/>
      <c r="F236" s="10" t="s">
        <v>1878</v>
      </c>
      <c r="G236" s="11"/>
      <c r="H236" s="10" t="s">
        <v>1904</v>
      </c>
      <c r="I236" s="11"/>
      <c r="J236" s="10" t="s">
        <v>1877</v>
      </c>
      <c r="K236" s="11"/>
      <c r="L236" s="11"/>
      <c r="M236" s="10" t="s">
        <v>1904</v>
      </c>
      <c r="N236" s="11"/>
      <c r="O236" s="11"/>
    </row>
    <row r="237" ht="14.25" customHeight="1">
      <c r="A237" s="10" t="s">
        <v>1916</v>
      </c>
      <c r="B237" s="12">
        <v>0.0</v>
      </c>
      <c r="C237" s="11"/>
      <c r="D237" s="10" t="s">
        <v>1904</v>
      </c>
      <c r="E237" s="11"/>
      <c r="F237" s="10" t="s">
        <v>1864</v>
      </c>
      <c r="G237" s="11"/>
      <c r="H237" s="10" t="s">
        <v>1878</v>
      </c>
      <c r="I237" s="11"/>
      <c r="J237" s="10" t="s">
        <v>1877</v>
      </c>
      <c r="K237" s="11"/>
      <c r="L237" s="11"/>
      <c r="M237" s="10" t="s">
        <v>1904</v>
      </c>
      <c r="N237" s="11"/>
      <c r="O237" s="11"/>
    </row>
    <row r="238" ht="14.25" customHeight="1">
      <c r="A238" s="10" t="s">
        <v>1917</v>
      </c>
      <c r="B238" s="12">
        <v>1.0</v>
      </c>
      <c r="C238" s="11"/>
      <c r="D238" s="10" t="s">
        <v>1864</v>
      </c>
      <c r="E238" s="11"/>
      <c r="F238" s="10" t="s">
        <v>1878</v>
      </c>
      <c r="G238" s="11"/>
      <c r="H238" s="10" t="s">
        <v>1877</v>
      </c>
      <c r="I238" s="11"/>
      <c r="J238" s="10" t="s">
        <v>1904</v>
      </c>
      <c r="K238" s="11"/>
      <c r="L238" s="11"/>
      <c r="M238" s="10" t="s">
        <v>1864</v>
      </c>
      <c r="N238" s="10" t="s">
        <v>1885</v>
      </c>
      <c r="O238" s="11"/>
    </row>
    <row r="239" ht="14.25" customHeight="1">
      <c r="A239" s="10" t="s">
        <v>1918</v>
      </c>
      <c r="B239" s="12">
        <v>0.0</v>
      </c>
      <c r="C239" s="11"/>
      <c r="D239" s="10" t="s">
        <v>1878</v>
      </c>
      <c r="E239" s="11"/>
      <c r="F239" s="10" t="s">
        <v>1864</v>
      </c>
      <c r="G239" s="11"/>
      <c r="H239" s="10" t="s">
        <v>1904</v>
      </c>
      <c r="I239" s="11"/>
      <c r="J239" s="10" t="s">
        <v>1877</v>
      </c>
      <c r="K239" s="11"/>
      <c r="L239" s="11"/>
      <c r="M239" s="10" t="s">
        <v>1878</v>
      </c>
      <c r="N239" s="11"/>
      <c r="O239" s="11"/>
    </row>
    <row r="240" ht="14.25" customHeight="1">
      <c r="A240" s="10" t="s">
        <v>1919</v>
      </c>
      <c r="B240" s="12">
        <v>0.0</v>
      </c>
      <c r="C240" s="11"/>
      <c r="D240" s="10" t="s">
        <v>1864</v>
      </c>
      <c r="E240" s="11"/>
      <c r="F240" s="10" t="s">
        <v>1877</v>
      </c>
      <c r="G240" s="11"/>
      <c r="H240" s="10" t="s">
        <v>1878</v>
      </c>
      <c r="I240" s="11"/>
      <c r="J240" s="10" t="s">
        <v>1904</v>
      </c>
      <c r="K240" s="11"/>
      <c r="L240" s="11"/>
      <c r="M240" s="10" t="s">
        <v>1864</v>
      </c>
      <c r="N240" s="11"/>
      <c r="O240" s="11"/>
    </row>
    <row r="241" ht="14.25" customHeight="1">
      <c r="A241" s="10" t="s">
        <v>1920</v>
      </c>
      <c r="B241" s="12">
        <v>1.0</v>
      </c>
      <c r="C241" s="10" t="s">
        <v>1921</v>
      </c>
      <c r="D241" s="10" t="s">
        <v>1864</v>
      </c>
      <c r="E241" s="11"/>
      <c r="F241" s="10" t="s">
        <v>1877</v>
      </c>
      <c r="G241" s="11"/>
      <c r="H241" s="10" t="s">
        <v>1878</v>
      </c>
      <c r="I241" s="11"/>
      <c r="J241" s="10" t="s">
        <v>1904</v>
      </c>
      <c r="K241" s="11"/>
      <c r="L241" s="11"/>
      <c r="M241" s="10" t="s">
        <v>1864</v>
      </c>
      <c r="N241" s="11"/>
      <c r="O241" s="11"/>
    </row>
    <row r="242" ht="14.25" customHeight="1">
      <c r="A242" s="10" t="s">
        <v>1922</v>
      </c>
      <c r="B242" s="12">
        <v>0.0</v>
      </c>
      <c r="C242" s="11"/>
      <c r="D242" s="10" t="s">
        <v>1878</v>
      </c>
      <c r="E242" s="11"/>
      <c r="F242" s="10" t="s">
        <v>1864</v>
      </c>
      <c r="G242" s="11"/>
      <c r="H242" s="10" t="s">
        <v>1904</v>
      </c>
      <c r="I242" s="11"/>
      <c r="J242" s="10" t="s">
        <v>1877</v>
      </c>
      <c r="K242" s="11"/>
      <c r="L242" s="11"/>
      <c r="M242" s="10" t="s">
        <v>1864</v>
      </c>
      <c r="N242" s="11"/>
      <c r="O242" s="11"/>
    </row>
    <row r="243" ht="14.25" customHeight="1">
      <c r="A243" s="10" t="s">
        <v>1923</v>
      </c>
      <c r="B243" s="12">
        <v>0.0</v>
      </c>
      <c r="C243" s="11"/>
      <c r="D243" s="10" t="s">
        <v>1864</v>
      </c>
      <c r="E243" s="11"/>
      <c r="F243" s="10" t="s">
        <v>1878</v>
      </c>
      <c r="G243" s="11"/>
      <c r="H243" s="10" t="s">
        <v>1904</v>
      </c>
      <c r="I243" s="11"/>
      <c r="J243" s="10" t="s">
        <v>1877</v>
      </c>
      <c r="K243" s="11"/>
      <c r="L243" s="11"/>
      <c r="M243" s="10" t="s">
        <v>1864</v>
      </c>
      <c r="N243" s="11"/>
      <c r="O243" s="11"/>
    </row>
    <row r="244" ht="14.25" customHeight="1">
      <c r="A244" s="10" t="s">
        <v>1924</v>
      </c>
      <c r="B244" s="12">
        <v>0.0</v>
      </c>
      <c r="C244" s="11"/>
      <c r="D244" s="10" t="s">
        <v>1864</v>
      </c>
      <c r="E244" s="11"/>
      <c r="F244" s="10" t="s">
        <v>1877</v>
      </c>
      <c r="G244" s="11"/>
      <c r="H244" s="10" t="s">
        <v>1878</v>
      </c>
      <c r="I244" s="11"/>
      <c r="J244" s="10" t="s">
        <v>1904</v>
      </c>
      <c r="K244" s="11"/>
      <c r="L244" s="11"/>
      <c r="M244" s="10" t="s">
        <v>1864</v>
      </c>
      <c r="N244" s="11"/>
      <c r="O244" s="11"/>
    </row>
    <row r="245" ht="14.25" customHeight="1">
      <c r="A245" s="10" t="s">
        <v>1925</v>
      </c>
      <c r="B245" s="12">
        <v>1.0</v>
      </c>
      <c r="C245" s="11"/>
      <c r="D245" s="10" t="s">
        <v>1864</v>
      </c>
      <c r="E245" s="11"/>
      <c r="F245" s="10" t="s">
        <v>1878</v>
      </c>
      <c r="G245" s="11"/>
      <c r="H245" s="10" t="s">
        <v>1877</v>
      </c>
      <c r="I245" s="11"/>
      <c r="J245" s="10" t="s">
        <v>1904</v>
      </c>
      <c r="K245" s="11"/>
      <c r="L245" s="11"/>
      <c r="M245" s="10" t="s">
        <v>1864</v>
      </c>
      <c r="N245" s="11"/>
      <c r="O245" s="11"/>
    </row>
    <row r="246" ht="14.25" customHeight="1">
      <c r="A246" s="10" t="s">
        <v>1926</v>
      </c>
      <c r="B246" s="12">
        <v>0.0</v>
      </c>
      <c r="C246" s="11"/>
      <c r="D246" s="10" t="s">
        <v>1864</v>
      </c>
      <c r="E246" s="11"/>
      <c r="F246" s="10" t="s">
        <v>1878</v>
      </c>
      <c r="G246" s="11"/>
      <c r="H246" s="10" t="s">
        <v>1904</v>
      </c>
      <c r="I246" s="11"/>
      <c r="J246" s="10" t="s">
        <v>1877</v>
      </c>
      <c r="K246" s="11"/>
      <c r="L246" s="11"/>
      <c r="M246" s="10" t="s">
        <v>1904</v>
      </c>
      <c r="N246" s="11"/>
      <c r="O246" s="11"/>
    </row>
    <row r="247" ht="14.25" customHeight="1">
      <c r="A247" s="10" t="s">
        <v>1927</v>
      </c>
      <c r="B247" s="12">
        <v>1.0</v>
      </c>
      <c r="C247" s="11"/>
      <c r="D247" s="10" t="s">
        <v>1894</v>
      </c>
      <c r="E247" s="11"/>
      <c r="F247" s="10" t="s">
        <v>1864</v>
      </c>
      <c r="G247" s="11"/>
      <c r="H247" s="10" t="s">
        <v>1878</v>
      </c>
      <c r="I247" s="11"/>
      <c r="J247" s="10" t="s">
        <v>1904</v>
      </c>
      <c r="K247" s="11"/>
      <c r="L247" s="11"/>
      <c r="M247" s="10" t="s">
        <v>1864</v>
      </c>
      <c r="N247" s="11"/>
      <c r="O247" s="11"/>
    </row>
    <row r="248" ht="14.25" customHeight="1">
      <c r="A248" s="10" t="s">
        <v>1928</v>
      </c>
      <c r="B248" s="12">
        <v>0.0</v>
      </c>
      <c r="C248" s="11"/>
      <c r="D248" s="10" t="s">
        <v>1894</v>
      </c>
      <c r="E248" s="11"/>
      <c r="F248" s="10" t="s">
        <v>1878</v>
      </c>
      <c r="G248" s="11"/>
      <c r="H248" s="10" t="s">
        <v>1877</v>
      </c>
      <c r="I248" s="11"/>
      <c r="J248" s="10" t="s">
        <v>1904</v>
      </c>
      <c r="K248" s="11"/>
      <c r="L248" s="11"/>
      <c r="M248" s="10" t="s">
        <v>1894</v>
      </c>
      <c r="N248" s="11"/>
      <c r="O248" s="11"/>
    </row>
    <row r="249" ht="14.25" customHeight="1">
      <c r="A249" s="10" t="s">
        <v>1929</v>
      </c>
      <c r="B249" s="12">
        <v>0.0</v>
      </c>
      <c r="C249" s="11"/>
      <c r="D249" s="10" t="s">
        <v>1864</v>
      </c>
      <c r="E249" s="11"/>
      <c r="F249" s="10" t="s">
        <v>1877</v>
      </c>
      <c r="G249" s="11"/>
      <c r="H249" s="10" t="s">
        <v>1864</v>
      </c>
      <c r="I249" s="11"/>
      <c r="J249" s="10" t="s">
        <v>1904</v>
      </c>
      <c r="K249" s="11"/>
      <c r="L249" s="11"/>
      <c r="M249" s="10" t="s">
        <v>1864</v>
      </c>
      <c r="N249" s="11"/>
      <c r="O249" s="11"/>
    </row>
    <row r="250" ht="14.25" customHeight="1">
      <c r="A250" s="10" t="s">
        <v>1930</v>
      </c>
      <c r="B250" s="12">
        <v>1.0</v>
      </c>
      <c r="C250" s="11"/>
      <c r="D250" s="10" t="s">
        <v>1878</v>
      </c>
      <c r="E250" s="11"/>
      <c r="F250" s="10" t="s">
        <v>1877</v>
      </c>
      <c r="G250" s="11"/>
      <c r="H250" s="10" t="s">
        <v>1864</v>
      </c>
      <c r="I250" s="11"/>
      <c r="J250" s="10" t="s">
        <v>1904</v>
      </c>
      <c r="K250" s="11"/>
      <c r="L250" s="11"/>
      <c r="M250" s="10" t="s">
        <v>1864</v>
      </c>
      <c r="N250" s="10" t="s">
        <v>1885</v>
      </c>
      <c r="O250" s="11"/>
    </row>
    <row r="251" ht="14.25" customHeight="1">
      <c r="A251" s="10" t="s">
        <v>1931</v>
      </c>
      <c r="B251" s="12">
        <v>0.0</v>
      </c>
      <c r="C251" s="11"/>
      <c r="D251" s="10" t="s">
        <v>1878</v>
      </c>
      <c r="E251" s="11"/>
      <c r="F251" s="10" t="s">
        <v>1864</v>
      </c>
      <c r="G251" s="11"/>
      <c r="H251" s="10" t="s">
        <v>1877</v>
      </c>
      <c r="I251" s="11"/>
      <c r="J251" s="10" t="s">
        <v>1904</v>
      </c>
      <c r="K251" s="11"/>
      <c r="L251" s="11"/>
      <c r="M251" s="10" t="s">
        <v>1864</v>
      </c>
      <c r="N251" s="11"/>
      <c r="O251" s="11"/>
    </row>
    <row r="252" ht="14.25" customHeight="1">
      <c r="A252" s="10" t="s">
        <v>1932</v>
      </c>
      <c r="B252" s="12">
        <v>0.0</v>
      </c>
      <c r="C252" s="11"/>
      <c r="D252" s="10" t="s">
        <v>1864</v>
      </c>
      <c r="E252" s="11"/>
      <c r="F252" s="10" t="s">
        <v>1878</v>
      </c>
      <c r="G252" s="11"/>
      <c r="H252" s="10" t="s">
        <v>1904</v>
      </c>
      <c r="I252" s="11"/>
      <c r="J252" s="10" t="s">
        <v>1877</v>
      </c>
      <c r="K252" s="11"/>
      <c r="L252" s="11"/>
      <c r="M252" s="10" t="s">
        <v>1864</v>
      </c>
      <c r="N252" s="11"/>
      <c r="O252" s="11"/>
    </row>
    <row r="253" ht="14.25" customHeight="1">
      <c r="A253" s="10" t="s">
        <v>1933</v>
      </c>
      <c r="B253" s="12">
        <v>0.0</v>
      </c>
      <c r="C253" s="11"/>
      <c r="D253" s="10" t="s">
        <v>1864</v>
      </c>
      <c r="E253" s="11"/>
      <c r="F253" s="10" t="s">
        <v>1894</v>
      </c>
      <c r="G253" s="11"/>
      <c r="H253" s="10" t="s">
        <v>1877</v>
      </c>
      <c r="I253" s="11"/>
      <c r="J253" s="10" t="s">
        <v>1904</v>
      </c>
      <c r="K253" s="11"/>
      <c r="L253" s="11"/>
      <c r="M253" s="10" t="s">
        <v>1894</v>
      </c>
      <c r="N253" s="11"/>
      <c r="O253" s="11"/>
    </row>
    <row r="254" ht="14.25" customHeight="1">
      <c r="A254" s="10" t="s">
        <v>1934</v>
      </c>
      <c r="B254" s="12">
        <v>0.0</v>
      </c>
      <c r="C254" s="11"/>
      <c r="D254" s="10" t="s">
        <v>1864</v>
      </c>
      <c r="E254" s="11"/>
      <c r="F254" s="10" t="s">
        <v>1878</v>
      </c>
      <c r="G254" s="11"/>
      <c r="H254" s="10" t="s">
        <v>1877</v>
      </c>
      <c r="I254" s="11"/>
      <c r="J254" s="10" t="s">
        <v>1904</v>
      </c>
      <c r="K254" s="11"/>
      <c r="L254" s="11"/>
      <c r="M254" s="10" t="s">
        <v>1864</v>
      </c>
      <c r="N254" s="11"/>
      <c r="O254" s="11"/>
    </row>
    <row r="255" ht="14.25" customHeight="1">
      <c r="A255" s="10" t="s">
        <v>1935</v>
      </c>
      <c r="B255" s="12">
        <v>1.0</v>
      </c>
      <c r="C255" s="11"/>
      <c r="D255" s="10" t="s">
        <v>1877</v>
      </c>
      <c r="E255" s="11"/>
      <c r="F255" s="10" t="s">
        <v>1878</v>
      </c>
      <c r="G255" s="11"/>
      <c r="H255" s="10" t="s">
        <v>1864</v>
      </c>
      <c r="I255" s="11"/>
      <c r="J255" s="10" t="s">
        <v>1904</v>
      </c>
      <c r="K255" s="11"/>
      <c r="L255" s="11"/>
      <c r="M255" s="10" t="s">
        <v>1864</v>
      </c>
      <c r="N255" s="10" t="s">
        <v>1877</v>
      </c>
    </row>
    <row r="256" ht="14.25" customHeight="1">
      <c r="A256" s="10" t="s">
        <v>1936</v>
      </c>
      <c r="B256" s="12">
        <v>0.0</v>
      </c>
      <c r="C256" s="11"/>
      <c r="D256" s="10" t="e">
        <v>#VALUE!</v>
      </c>
      <c r="E256" s="11"/>
      <c r="F256" s="10" t="s">
        <v>1864</v>
      </c>
      <c r="G256" s="11"/>
      <c r="H256" s="10" t="s">
        <v>1878</v>
      </c>
      <c r="I256" s="11"/>
      <c r="J256" s="10" t="s">
        <v>1904</v>
      </c>
      <c r="K256" s="11"/>
      <c r="L256" s="11"/>
      <c r="M256" s="10" t="s">
        <v>1877</v>
      </c>
      <c r="N256" s="11"/>
      <c r="O256" s="11"/>
    </row>
    <row r="257" ht="14.25" customHeight="1">
      <c r="A257" s="10" t="s">
        <v>1937</v>
      </c>
      <c r="B257" s="12">
        <v>0.0</v>
      </c>
      <c r="C257" s="11"/>
      <c r="D257" s="10" t="s">
        <v>1864</v>
      </c>
      <c r="E257" s="11"/>
      <c r="F257" s="10" t="s">
        <v>1877</v>
      </c>
      <c r="G257" s="11"/>
      <c r="H257" s="10" t="s">
        <v>1878</v>
      </c>
      <c r="I257" s="11"/>
      <c r="J257" s="10" t="s">
        <v>1904</v>
      </c>
      <c r="K257" s="11"/>
      <c r="L257" s="11"/>
      <c r="M257" s="10" t="s">
        <v>1864</v>
      </c>
      <c r="N257" s="11"/>
      <c r="O257" s="11"/>
    </row>
    <row r="258" ht="14.25" customHeight="1">
      <c r="A258" s="10" t="s">
        <v>1938</v>
      </c>
      <c r="B258" s="12">
        <v>1.0</v>
      </c>
      <c r="C258" s="11"/>
      <c r="D258" s="10" t="s">
        <v>1864</v>
      </c>
      <c r="E258" s="11"/>
      <c r="F258" s="10" t="s">
        <v>1878</v>
      </c>
      <c r="G258" s="11"/>
      <c r="H258" s="10" t="s">
        <v>1877</v>
      </c>
      <c r="I258" s="11"/>
      <c r="J258" s="10" t="s">
        <v>1904</v>
      </c>
      <c r="K258" s="11"/>
      <c r="L258" s="11"/>
      <c r="M258" s="10" t="s">
        <v>1864</v>
      </c>
      <c r="N258" s="11"/>
      <c r="O258" s="11"/>
    </row>
    <row r="259" ht="14.25" customHeight="1">
      <c r="A259" s="10" t="s">
        <v>1939</v>
      </c>
      <c r="B259" s="12">
        <v>1.0</v>
      </c>
      <c r="C259" s="11"/>
      <c r="D259" s="10" t="s">
        <v>1940</v>
      </c>
      <c r="F259" s="10" t="s">
        <v>1864</v>
      </c>
      <c r="G259" s="11"/>
      <c r="H259" s="10" t="s">
        <v>1878</v>
      </c>
      <c r="I259" s="11"/>
      <c r="J259" s="10" t="s">
        <v>1877</v>
      </c>
      <c r="K259" s="11"/>
      <c r="L259" s="11"/>
      <c r="M259" s="10" t="s">
        <v>1864</v>
      </c>
      <c r="N259" s="11"/>
      <c r="O259" s="11"/>
    </row>
    <row r="260" ht="14.25" customHeight="1">
      <c r="A260" s="10" t="s">
        <v>1941</v>
      </c>
      <c r="B260" s="12">
        <v>0.0</v>
      </c>
      <c r="C260" s="11"/>
      <c r="D260" s="10" t="s">
        <v>1942</v>
      </c>
      <c r="F260" s="10" t="s">
        <v>1864</v>
      </c>
      <c r="G260" s="11"/>
      <c r="H260" s="10" t="s">
        <v>1943</v>
      </c>
      <c r="I260" s="11"/>
      <c r="J260" s="10" t="s">
        <v>1909</v>
      </c>
      <c r="K260" s="11"/>
      <c r="L260" s="11"/>
      <c r="M260" s="10" t="s">
        <v>1864</v>
      </c>
      <c r="N260" s="11"/>
      <c r="O260" s="11"/>
    </row>
    <row r="261" ht="14.25" customHeight="1">
      <c r="A261" s="10" t="s">
        <v>1944</v>
      </c>
      <c r="B261" s="12">
        <v>0.0</v>
      </c>
      <c r="C261" s="11"/>
      <c r="D261" s="10" t="s">
        <v>1945</v>
      </c>
      <c r="E261" s="11"/>
      <c r="F261" s="10" t="s">
        <v>1946</v>
      </c>
      <c r="G261" s="11"/>
      <c r="H261" s="10" t="s">
        <v>1947</v>
      </c>
      <c r="I261" s="11"/>
      <c r="J261" s="10" t="s">
        <v>1948</v>
      </c>
      <c r="M261" s="10" t="s">
        <v>1946</v>
      </c>
      <c r="N261" s="11"/>
      <c r="O261" s="11"/>
    </row>
    <row r="262" ht="14.25" customHeight="1">
      <c r="A262" s="10" t="s">
        <v>1949</v>
      </c>
      <c r="B262" s="11"/>
      <c r="C262" s="11"/>
      <c r="D262" s="10" t="s">
        <v>1950</v>
      </c>
      <c r="F262" s="10" t="s">
        <v>1951</v>
      </c>
      <c r="G262" s="11"/>
      <c r="H262" s="10" t="s">
        <v>1952</v>
      </c>
      <c r="I262" s="11"/>
      <c r="J262" s="10" t="s">
        <v>1953</v>
      </c>
      <c r="K262" s="11"/>
      <c r="L262" s="11"/>
      <c r="M262" s="10" t="s">
        <v>1951</v>
      </c>
      <c r="N262" s="11"/>
      <c r="O262" s="11"/>
    </row>
    <row r="263" ht="14.25" customHeight="1">
      <c r="A263" s="10" t="s">
        <v>1954</v>
      </c>
      <c r="B263" s="12">
        <v>1.0</v>
      </c>
      <c r="C263" s="11"/>
      <c r="D263" s="10" t="s">
        <v>1865</v>
      </c>
      <c r="E263" s="11"/>
      <c r="F263" s="10" t="s">
        <v>1955</v>
      </c>
      <c r="G263" s="11"/>
      <c r="H263" s="10" t="s">
        <v>1956</v>
      </c>
      <c r="I263" s="11"/>
      <c r="J263" s="10" t="s">
        <v>1957</v>
      </c>
      <c r="K263" s="11"/>
      <c r="L263" s="11"/>
      <c r="M263" s="10" t="s">
        <v>1865</v>
      </c>
      <c r="N263" s="11"/>
      <c r="O263" s="11"/>
    </row>
    <row r="264" ht="14.25" customHeight="1">
      <c r="A264" s="10" t="s">
        <v>1958</v>
      </c>
      <c r="B264" s="12">
        <v>1.0</v>
      </c>
      <c r="C264" s="11"/>
      <c r="D264" s="10" t="s">
        <v>1864</v>
      </c>
      <c r="E264" s="11"/>
      <c r="F264" s="10" t="s">
        <v>1959</v>
      </c>
      <c r="H264" s="10" t="s">
        <v>1878</v>
      </c>
      <c r="I264" s="11"/>
      <c r="J264" s="10" t="s">
        <v>1960</v>
      </c>
      <c r="K264" s="11"/>
      <c r="L264" s="11"/>
      <c r="M264" s="10" t="s">
        <v>1864</v>
      </c>
      <c r="N264" s="10" t="s">
        <v>1885</v>
      </c>
      <c r="O264" s="11"/>
    </row>
    <row r="265" ht="14.25" customHeight="1">
      <c r="A265" s="10" t="s">
        <v>1961</v>
      </c>
      <c r="B265" s="11"/>
      <c r="C265" s="11"/>
      <c r="D265" s="10" t="s">
        <v>1864</v>
      </c>
      <c r="E265" s="11"/>
      <c r="F265" s="10" t="s">
        <v>1962</v>
      </c>
      <c r="G265" s="11"/>
      <c r="H265" s="10" t="s">
        <v>1963</v>
      </c>
      <c r="I265" s="11"/>
      <c r="J265" s="10" t="s">
        <v>1964</v>
      </c>
      <c r="K265" s="11"/>
      <c r="L265" s="11"/>
      <c r="M265" s="10" t="s">
        <v>1864</v>
      </c>
      <c r="N265" s="11"/>
      <c r="O265" s="11"/>
    </row>
    <row r="266" ht="14.25" customHeight="1">
      <c r="A266" s="10" t="s">
        <v>1965</v>
      </c>
      <c r="B266" s="12">
        <v>0.0</v>
      </c>
      <c r="C266" s="11"/>
      <c r="D266" s="10" t="s">
        <v>1864</v>
      </c>
      <c r="E266" s="11"/>
      <c r="F266" s="10" t="s">
        <v>1943</v>
      </c>
      <c r="G266" s="11"/>
      <c r="H266" s="10" t="s">
        <v>1878</v>
      </c>
      <c r="I266" s="11"/>
      <c r="J266" s="10" t="s">
        <v>1966</v>
      </c>
      <c r="K266" s="11"/>
      <c r="L266" s="11"/>
      <c r="M266" s="10" t="s">
        <v>1864</v>
      </c>
      <c r="N266" s="11"/>
      <c r="O266" s="11"/>
    </row>
    <row r="267" ht="14.25" customHeight="1">
      <c r="A267" s="10" t="s">
        <v>1967</v>
      </c>
      <c r="B267" s="12">
        <v>0.0</v>
      </c>
      <c r="C267" s="11"/>
      <c r="D267" s="10" t="s">
        <v>1882</v>
      </c>
      <c r="E267" s="11"/>
      <c r="F267" s="10" t="s">
        <v>1865</v>
      </c>
      <c r="G267" s="11"/>
      <c r="H267" s="10" t="s">
        <v>1968</v>
      </c>
      <c r="I267" s="11"/>
      <c r="J267" s="10" t="s">
        <v>1969</v>
      </c>
      <c r="M267" s="10" t="s">
        <v>1865</v>
      </c>
      <c r="N267" s="11"/>
      <c r="O267" s="11"/>
    </row>
    <row r="268" ht="14.25" customHeight="1">
      <c r="A268" s="10" t="s">
        <v>1970</v>
      </c>
      <c r="B268" s="12">
        <v>0.0</v>
      </c>
      <c r="C268" s="11"/>
      <c r="D268" s="10" t="s">
        <v>1971</v>
      </c>
      <c r="E268" s="11"/>
      <c r="F268" s="10" t="s">
        <v>1864</v>
      </c>
      <c r="G268" s="11"/>
      <c r="H268" s="10" t="s">
        <v>1909</v>
      </c>
      <c r="I268" s="11"/>
      <c r="J268" s="10" t="s">
        <v>1878</v>
      </c>
      <c r="K268" s="11"/>
      <c r="L268" s="11"/>
      <c r="M268" s="10" t="s">
        <v>1971</v>
      </c>
      <c r="N268" s="11"/>
      <c r="O268" s="11"/>
    </row>
    <row r="269" ht="14.25" customHeight="1">
      <c r="A269" s="10" t="s">
        <v>1972</v>
      </c>
      <c r="B269" s="12">
        <v>0.0</v>
      </c>
      <c r="C269" s="11"/>
      <c r="D269" s="10" t="e">
        <v>#VALUE!</v>
      </c>
      <c r="E269" s="11"/>
      <c r="F269" s="10" t="s">
        <v>1973</v>
      </c>
      <c r="H269" s="10" t="s">
        <v>1974</v>
      </c>
      <c r="I269" s="11"/>
      <c r="J269" s="10" t="s">
        <v>1952</v>
      </c>
      <c r="K269" s="11"/>
      <c r="L269" s="11"/>
      <c r="M269" s="10" t="s">
        <v>1973</v>
      </c>
      <c r="O269" s="11"/>
    </row>
    <row r="270" ht="14.25" customHeight="1">
      <c r="A270" s="10" t="s">
        <v>1975</v>
      </c>
      <c r="B270" s="12">
        <v>0.0</v>
      </c>
      <c r="C270" s="11"/>
      <c r="D270" s="10" t="s">
        <v>1877</v>
      </c>
      <c r="E270" s="11"/>
      <c r="F270" s="10" t="s">
        <v>1951</v>
      </c>
      <c r="G270" s="11"/>
      <c r="H270" s="10" t="s">
        <v>1976</v>
      </c>
      <c r="I270" s="11"/>
      <c r="J270" s="10" t="s">
        <v>1977</v>
      </c>
      <c r="K270" s="11"/>
      <c r="L270" s="11"/>
      <c r="M270" s="10" t="s">
        <v>1951</v>
      </c>
      <c r="N270" s="11"/>
      <c r="O270" s="11"/>
    </row>
    <row r="271" ht="14.25" customHeight="1">
      <c r="A271" s="10" t="s">
        <v>1978</v>
      </c>
      <c r="B271" s="12">
        <v>0.0</v>
      </c>
      <c r="C271" s="11"/>
      <c r="D271" s="10" t="s">
        <v>1864</v>
      </c>
      <c r="E271" s="11"/>
      <c r="F271" s="10" t="s">
        <v>1979</v>
      </c>
      <c r="H271" s="10" t="s">
        <v>1878</v>
      </c>
      <c r="I271" s="11"/>
      <c r="J271" s="10" t="s">
        <v>1980</v>
      </c>
      <c r="K271" s="11"/>
      <c r="L271" s="11"/>
      <c r="M271" s="10" t="s">
        <v>1864</v>
      </c>
      <c r="N271" s="11"/>
      <c r="O271" s="11"/>
    </row>
    <row r="272" ht="14.25" customHeight="1">
      <c r="A272" s="10" t="s">
        <v>1981</v>
      </c>
      <c r="B272" s="12">
        <v>1.0</v>
      </c>
      <c r="C272" s="11"/>
      <c r="D272" s="10" t="s">
        <v>1982</v>
      </c>
      <c r="E272" s="11"/>
      <c r="F272" s="10" t="s">
        <v>1864</v>
      </c>
      <c r="G272" s="11"/>
      <c r="H272" s="10" t="s">
        <v>1983</v>
      </c>
      <c r="I272" s="11"/>
      <c r="J272" s="10" t="s">
        <v>1877</v>
      </c>
      <c r="K272" s="11"/>
      <c r="L272" s="11"/>
      <c r="M272" s="10" t="s">
        <v>1983</v>
      </c>
      <c r="O272" s="11"/>
    </row>
    <row r="273" ht="14.25" customHeight="1">
      <c r="A273" s="10" t="s">
        <v>1984</v>
      </c>
      <c r="B273" s="11"/>
      <c r="C273" s="11"/>
      <c r="D273" s="10" t="s">
        <v>1985</v>
      </c>
      <c r="F273" s="10" t="s">
        <v>1986</v>
      </c>
      <c r="H273" s="10" t="s">
        <v>1864</v>
      </c>
      <c r="I273" s="11"/>
      <c r="J273" s="10" t="s">
        <v>1878</v>
      </c>
      <c r="K273" s="11"/>
      <c r="L273" s="11"/>
      <c r="M273" s="10" t="s">
        <v>1986</v>
      </c>
    </row>
    <row r="274" ht="14.25" customHeight="1">
      <c r="A274" s="10" t="s">
        <v>1987</v>
      </c>
      <c r="B274" s="11"/>
      <c r="C274" s="11"/>
      <c r="D274" s="10" t="s">
        <v>1982</v>
      </c>
      <c r="E274" s="11"/>
      <c r="F274" s="10" t="s">
        <v>1963</v>
      </c>
      <c r="H274" s="10" t="s">
        <v>1877</v>
      </c>
      <c r="I274" s="11"/>
      <c r="J274" s="10" t="s">
        <v>1887</v>
      </c>
      <c r="K274" s="11"/>
      <c r="L274" s="11"/>
      <c r="M274" s="10" t="s">
        <v>1963</v>
      </c>
      <c r="O274" s="11"/>
    </row>
    <row r="275" ht="14.25" customHeight="1">
      <c r="A275" s="10" t="s">
        <v>1988</v>
      </c>
      <c r="B275" s="11"/>
      <c r="C275" s="11"/>
      <c r="D275" s="10" t="s">
        <v>1877</v>
      </c>
      <c r="E275" s="11"/>
      <c r="F275" s="10" t="s">
        <v>1864</v>
      </c>
      <c r="G275" s="11"/>
      <c r="H275" s="10" t="s">
        <v>1952</v>
      </c>
      <c r="I275" s="11"/>
      <c r="J275" s="10" t="s">
        <v>1964</v>
      </c>
      <c r="K275" s="11"/>
      <c r="L275" s="11"/>
      <c r="M275" s="10" t="s">
        <v>1864</v>
      </c>
      <c r="N275" s="11"/>
      <c r="O275" s="11"/>
    </row>
    <row r="276" ht="14.25" customHeight="1">
      <c r="A276" s="10" t="s">
        <v>1989</v>
      </c>
      <c r="B276" s="11"/>
      <c r="C276" s="11"/>
      <c r="D276" s="10" t="s">
        <v>1864</v>
      </c>
      <c r="E276" s="11"/>
      <c r="F276" s="10" t="s">
        <v>1990</v>
      </c>
      <c r="G276" s="11"/>
      <c r="H276" s="10" t="s">
        <v>1904</v>
      </c>
      <c r="I276" s="11"/>
      <c r="J276" s="10" t="s">
        <v>1991</v>
      </c>
      <c r="K276" s="11"/>
      <c r="L276" s="11"/>
      <c r="M276" s="10" t="s">
        <v>1864</v>
      </c>
      <c r="N276" s="11"/>
      <c r="O276" s="11"/>
    </row>
    <row r="277" ht="14.25" customHeight="1">
      <c r="A277" s="10" t="s">
        <v>1992</v>
      </c>
      <c r="B277" s="12">
        <v>0.0</v>
      </c>
      <c r="C277" s="11"/>
      <c r="D277" s="10" t="s">
        <v>1963</v>
      </c>
      <c r="F277" s="10" t="s">
        <v>1993</v>
      </c>
      <c r="H277" s="10" t="s">
        <v>1952</v>
      </c>
      <c r="I277" s="11"/>
      <c r="J277" s="10" t="s">
        <v>1877</v>
      </c>
      <c r="K277" s="11"/>
      <c r="L277" s="11"/>
      <c r="M277" s="10" t="s">
        <v>1963</v>
      </c>
      <c r="O277" s="11"/>
    </row>
    <row r="278" ht="14.25" customHeight="1">
      <c r="A278" s="10" t="s">
        <v>1994</v>
      </c>
      <c r="B278" s="11"/>
      <c r="C278" s="11"/>
      <c r="D278" s="10" t="s">
        <v>1864</v>
      </c>
      <c r="E278" s="11"/>
      <c r="F278" s="10" t="s">
        <v>1877</v>
      </c>
      <c r="G278" s="11"/>
      <c r="H278" s="10" t="s">
        <v>1995</v>
      </c>
      <c r="I278" s="11"/>
      <c r="J278" s="10" t="s">
        <v>1940</v>
      </c>
      <c r="K278" s="11"/>
      <c r="L278" s="11"/>
      <c r="M278" s="10" t="s">
        <v>1864</v>
      </c>
      <c r="N278" s="11"/>
      <c r="O278" s="11"/>
    </row>
    <row r="279" ht="14.25" customHeight="1">
      <c r="A279" s="10" t="s">
        <v>1996</v>
      </c>
      <c r="B279" s="11"/>
      <c r="C279" s="11"/>
      <c r="D279" s="10" t="s">
        <v>1973</v>
      </c>
      <c r="F279" s="10" t="s">
        <v>1877</v>
      </c>
      <c r="G279" s="11"/>
      <c r="H279" s="10" t="s">
        <v>1864</v>
      </c>
      <c r="I279" s="11"/>
      <c r="J279" s="10" t="s">
        <v>1997</v>
      </c>
      <c r="K279" s="11"/>
      <c r="L279" s="11"/>
      <c r="M279" s="10" t="s">
        <v>1973</v>
      </c>
      <c r="O279" s="11"/>
    </row>
    <row r="280" ht="14.25" customHeight="1">
      <c r="A280" s="10" t="s">
        <v>1998</v>
      </c>
      <c r="B280" s="12">
        <v>0.0</v>
      </c>
      <c r="C280" s="11"/>
      <c r="D280" s="10" t="s">
        <v>1864</v>
      </c>
      <c r="E280" s="11"/>
      <c r="F280" s="10" t="s">
        <v>1943</v>
      </c>
      <c r="G280" s="11"/>
      <c r="H280" s="10" t="s">
        <v>1878</v>
      </c>
      <c r="I280" s="11"/>
      <c r="J280" s="10" t="s">
        <v>1997</v>
      </c>
      <c r="K280" s="11"/>
      <c r="L280" s="11"/>
      <c r="M280" s="10" t="s">
        <v>1864</v>
      </c>
      <c r="N280" s="11"/>
      <c r="O280" s="11"/>
    </row>
    <row r="281" ht="14.25" customHeight="1">
      <c r="A281" s="10" t="s">
        <v>1999</v>
      </c>
      <c r="B281" s="11"/>
      <c r="C281" s="11"/>
      <c r="D281" s="10" t="s">
        <v>1864</v>
      </c>
      <c r="E281" s="11"/>
      <c r="F281" s="10" t="s">
        <v>1909</v>
      </c>
      <c r="G281" s="11"/>
      <c r="H281" s="10" t="s">
        <v>1878</v>
      </c>
      <c r="I281" s="11"/>
      <c r="J281" s="10" t="s">
        <v>1904</v>
      </c>
      <c r="K281" s="11"/>
      <c r="L281" s="11"/>
      <c r="M281" s="10" t="s">
        <v>1864</v>
      </c>
      <c r="N281" s="11"/>
      <c r="O281" s="11"/>
    </row>
    <row r="282" ht="14.25" customHeight="1">
      <c r="A282" s="10" t="s">
        <v>2000</v>
      </c>
      <c r="B282" s="12">
        <v>0.0</v>
      </c>
      <c r="C282" s="11"/>
      <c r="D282" s="10" t="s">
        <v>1864</v>
      </c>
      <c r="E282" s="11"/>
      <c r="F282" s="10" t="s">
        <v>1971</v>
      </c>
      <c r="G282" s="11"/>
      <c r="H282" s="10" t="s">
        <v>1997</v>
      </c>
      <c r="I282" s="11"/>
      <c r="J282" s="10" t="s">
        <v>1982</v>
      </c>
      <c r="K282" s="11"/>
      <c r="L282" s="11"/>
      <c r="M282" s="10" t="s">
        <v>1864</v>
      </c>
      <c r="N282" s="11"/>
      <c r="O282" s="11"/>
    </row>
    <row r="283" ht="14.25" customHeight="1">
      <c r="A283" s="10" t="s">
        <v>2001</v>
      </c>
      <c r="B283" s="12">
        <v>0.0</v>
      </c>
      <c r="C283" s="11"/>
      <c r="D283" s="10" t="s">
        <v>1909</v>
      </c>
      <c r="E283" s="11"/>
      <c r="F283" s="10" t="s">
        <v>1864</v>
      </c>
      <c r="G283" s="11"/>
      <c r="H283" s="10" t="s">
        <v>1952</v>
      </c>
      <c r="I283" s="11"/>
      <c r="J283" s="10" t="s">
        <v>1942</v>
      </c>
      <c r="K283" s="11"/>
      <c r="L283" s="11"/>
      <c r="M283" s="10" t="s">
        <v>1864</v>
      </c>
      <c r="N283" s="11"/>
      <c r="O283" s="11"/>
    </row>
    <row r="284" ht="14.25" customHeight="1">
      <c r="A284" s="10" t="s">
        <v>2002</v>
      </c>
      <c r="B284" s="12">
        <v>1.0</v>
      </c>
      <c r="C284" s="11"/>
      <c r="D284" s="10" t="s">
        <v>1864</v>
      </c>
      <c r="E284" s="11"/>
      <c r="F284" s="10" t="s">
        <v>1909</v>
      </c>
      <c r="G284" s="11"/>
      <c r="H284" s="10" t="s">
        <v>1878</v>
      </c>
      <c r="I284" s="11"/>
      <c r="J284" s="10" t="s">
        <v>2003</v>
      </c>
      <c r="K284" s="11"/>
      <c r="L284" s="11"/>
      <c r="M284" s="10" t="s">
        <v>1864</v>
      </c>
      <c r="N284" s="10" t="s">
        <v>1885</v>
      </c>
      <c r="O284" s="11"/>
    </row>
    <row r="285" ht="14.25" customHeight="1">
      <c r="A285" s="10" t="s">
        <v>2004</v>
      </c>
      <c r="B285" s="12">
        <v>0.0</v>
      </c>
      <c r="C285" s="11"/>
      <c r="D285" s="10" t="s">
        <v>1894</v>
      </c>
      <c r="E285" s="11"/>
      <c r="F285" s="10" t="s">
        <v>1864</v>
      </c>
      <c r="G285" s="11"/>
      <c r="H285" s="10" t="s">
        <v>1878</v>
      </c>
      <c r="I285" s="11"/>
      <c r="J285" s="10" t="s">
        <v>1877</v>
      </c>
      <c r="K285" s="11"/>
      <c r="L285" s="11"/>
      <c r="M285" s="10" t="s">
        <v>1894</v>
      </c>
      <c r="N285" s="11"/>
      <c r="O285" s="11"/>
    </row>
    <row r="286" ht="14.25" customHeight="1">
      <c r="A286" s="10" t="s">
        <v>2005</v>
      </c>
      <c r="B286" s="11"/>
      <c r="C286" s="11"/>
      <c r="D286" s="10" t="s">
        <v>1877</v>
      </c>
      <c r="E286" s="11"/>
      <c r="F286" s="10" t="s">
        <v>1878</v>
      </c>
      <c r="G286" s="11"/>
      <c r="H286" s="10" t="s">
        <v>1864</v>
      </c>
      <c r="I286" s="11"/>
      <c r="J286" s="10" t="s">
        <v>1997</v>
      </c>
      <c r="K286" s="11"/>
      <c r="L286" s="11"/>
      <c r="M286" s="10" t="s">
        <v>1864</v>
      </c>
      <c r="N286" s="11"/>
      <c r="O286" s="11"/>
    </row>
    <row r="287" ht="14.25" customHeight="1">
      <c r="A287" s="10" t="s">
        <v>2006</v>
      </c>
      <c r="B287" s="11"/>
      <c r="C287" s="11"/>
      <c r="D287" s="10" t="s">
        <v>1864</v>
      </c>
      <c r="E287" s="11"/>
      <c r="F287" s="10" t="s">
        <v>1990</v>
      </c>
      <c r="G287" s="11"/>
      <c r="H287" s="10" t="s">
        <v>1904</v>
      </c>
      <c r="I287" s="11"/>
      <c r="J287" s="10" t="s">
        <v>1909</v>
      </c>
      <c r="K287" s="11"/>
      <c r="L287" s="11"/>
      <c r="M287" s="10" t="s">
        <v>1864</v>
      </c>
      <c r="N287" s="11"/>
      <c r="O287" s="11"/>
    </row>
    <row r="288" ht="14.25" customHeight="1">
      <c r="A288" s="10" t="s">
        <v>2007</v>
      </c>
      <c r="B288" s="12">
        <v>1.0</v>
      </c>
      <c r="C288" s="11"/>
      <c r="D288" s="10" t="s">
        <v>1864</v>
      </c>
      <c r="E288" s="11"/>
      <c r="F288" s="10" t="s">
        <v>2008</v>
      </c>
      <c r="H288" s="10" t="s">
        <v>1952</v>
      </c>
      <c r="I288" s="11"/>
      <c r="J288" s="10" t="s">
        <v>1909</v>
      </c>
      <c r="K288" s="11"/>
      <c r="L288" s="11"/>
      <c r="M288" s="10" t="s">
        <v>1864</v>
      </c>
      <c r="N288" s="11"/>
      <c r="O288" s="11"/>
    </row>
    <row r="289" ht="14.25" customHeight="1">
      <c r="A289" s="10" t="s">
        <v>2009</v>
      </c>
      <c r="B289" s="11"/>
      <c r="C289" s="11"/>
      <c r="D289" s="10" t="s">
        <v>1864</v>
      </c>
      <c r="E289" s="11"/>
      <c r="F289" s="10" t="s">
        <v>1983</v>
      </c>
      <c r="H289" s="10" t="s">
        <v>1909</v>
      </c>
      <c r="I289" s="11"/>
      <c r="J289" s="10" t="s">
        <v>1878</v>
      </c>
      <c r="K289" s="11"/>
      <c r="L289" s="11"/>
      <c r="M289" s="10" t="s">
        <v>1864</v>
      </c>
      <c r="N289" s="11"/>
      <c r="O289" s="11"/>
    </row>
    <row r="290" ht="14.25" customHeight="1">
      <c r="A290" s="10" t="s">
        <v>2010</v>
      </c>
      <c r="B290" s="11"/>
      <c r="C290" s="11"/>
      <c r="D290" s="10" t="s">
        <v>1864</v>
      </c>
      <c r="E290" s="11"/>
      <c r="F290" s="10" t="s">
        <v>1909</v>
      </c>
      <c r="G290" s="11"/>
      <c r="H290" s="10" t="s">
        <v>1878</v>
      </c>
      <c r="I290" s="11"/>
      <c r="J290" s="10" t="s">
        <v>1904</v>
      </c>
      <c r="K290" s="11"/>
      <c r="L290" s="11"/>
      <c r="M290" s="10" t="s">
        <v>1864</v>
      </c>
      <c r="N290" s="11"/>
      <c r="O290" s="11"/>
    </row>
    <row r="291" ht="14.25" customHeight="1">
      <c r="A291" s="10" t="s">
        <v>2011</v>
      </c>
      <c r="B291" s="12">
        <v>1.0</v>
      </c>
      <c r="C291" s="11"/>
      <c r="D291" s="10" t="s">
        <v>1887</v>
      </c>
      <c r="E291" s="11"/>
      <c r="F291" s="10" t="s">
        <v>1864</v>
      </c>
      <c r="G291" s="11"/>
      <c r="H291" s="10" t="s">
        <v>1909</v>
      </c>
      <c r="I291" s="11"/>
      <c r="J291" s="10" t="s">
        <v>1878</v>
      </c>
      <c r="K291" s="11"/>
      <c r="L291" s="11"/>
      <c r="M291" s="10" t="s">
        <v>1887</v>
      </c>
      <c r="N291" s="11"/>
      <c r="O291" s="11"/>
    </row>
    <row r="292" ht="14.25" customHeight="1">
      <c r="A292" s="10" t="s">
        <v>2012</v>
      </c>
      <c r="B292" s="12">
        <v>0.0</v>
      </c>
      <c r="C292" s="11"/>
      <c r="D292" s="10" t="s">
        <v>1864</v>
      </c>
      <c r="E292" s="11"/>
      <c r="F292" s="10" t="s">
        <v>1909</v>
      </c>
      <c r="G292" s="11"/>
      <c r="H292" s="10" t="s">
        <v>1878</v>
      </c>
      <c r="I292" s="11"/>
      <c r="J292" s="10" t="s">
        <v>2013</v>
      </c>
      <c r="K292" s="11"/>
      <c r="L292" s="11"/>
      <c r="M292" s="10" t="s">
        <v>1864</v>
      </c>
      <c r="N292" s="11"/>
      <c r="O292" s="11"/>
    </row>
    <row r="293" ht="14.25" customHeight="1">
      <c r="A293" s="10" t="s">
        <v>2014</v>
      </c>
      <c r="B293" s="12">
        <v>1.0</v>
      </c>
      <c r="C293" s="11"/>
      <c r="D293" s="10" t="s">
        <v>1864</v>
      </c>
      <c r="E293" s="11"/>
      <c r="F293" s="10" t="s">
        <v>1894</v>
      </c>
      <c r="G293" s="11"/>
      <c r="H293" s="10" t="s">
        <v>1909</v>
      </c>
      <c r="I293" s="11"/>
      <c r="J293" s="10" t="s">
        <v>1940</v>
      </c>
      <c r="K293" s="11"/>
      <c r="L293" s="11"/>
      <c r="M293" s="10" t="s">
        <v>1864</v>
      </c>
      <c r="N293" s="11"/>
      <c r="O293" s="11"/>
    </row>
    <row r="294" ht="14.25" customHeight="1">
      <c r="A294" s="10" t="s">
        <v>2015</v>
      </c>
      <c r="B294" s="11"/>
      <c r="C294" s="11"/>
      <c r="D294" s="10" t="s">
        <v>1864</v>
      </c>
      <c r="E294" s="11"/>
      <c r="F294" s="10" t="s">
        <v>1887</v>
      </c>
      <c r="G294" s="11"/>
      <c r="H294" s="10" t="s">
        <v>1990</v>
      </c>
      <c r="I294" s="11"/>
      <c r="J294" s="10" t="s">
        <v>1909</v>
      </c>
      <c r="K294" s="11"/>
      <c r="L294" s="11"/>
      <c r="M294" s="10" t="s">
        <v>1864</v>
      </c>
      <c r="N294" s="11"/>
      <c r="O294" s="11"/>
    </row>
    <row r="295" ht="14.25" customHeight="1">
      <c r="A295" s="10" t="s">
        <v>2016</v>
      </c>
      <c r="B295" s="12">
        <v>0.0</v>
      </c>
      <c r="C295" s="11"/>
      <c r="D295" s="10" t="s">
        <v>1864</v>
      </c>
      <c r="E295" s="11"/>
      <c r="F295" s="10" t="s">
        <v>1909</v>
      </c>
      <c r="G295" s="11"/>
      <c r="H295" s="10" t="s">
        <v>1878</v>
      </c>
      <c r="I295" s="11"/>
      <c r="J295" s="10" t="s">
        <v>1887</v>
      </c>
      <c r="K295" s="11"/>
      <c r="L295" s="11"/>
      <c r="M295" s="10" t="s">
        <v>1864</v>
      </c>
      <c r="N295" s="11"/>
      <c r="O295" s="11"/>
    </row>
    <row r="296" ht="14.25" customHeight="1">
      <c r="A296" s="10" t="s">
        <v>2017</v>
      </c>
      <c r="B296" s="12">
        <v>0.0</v>
      </c>
      <c r="C296" s="11"/>
      <c r="D296" s="10" t="s">
        <v>1864</v>
      </c>
      <c r="E296" s="11"/>
      <c r="F296" s="10" t="s">
        <v>1878</v>
      </c>
      <c r="G296" s="11"/>
      <c r="H296" s="10" t="s">
        <v>1909</v>
      </c>
      <c r="I296" s="11"/>
      <c r="J296" s="10" t="s">
        <v>1942</v>
      </c>
      <c r="K296" s="11"/>
      <c r="L296" s="11"/>
      <c r="M296" s="10" t="s">
        <v>1864</v>
      </c>
      <c r="N296" s="11"/>
      <c r="O296" s="11"/>
    </row>
    <row r="297" ht="14.25" customHeight="1">
      <c r="A297" s="10" t="s">
        <v>2018</v>
      </c>
      <c r="B297" s="11"/>
      <c r="C297" s="11"/>
      <c r="D297" s="10" t="s">
        <v>1909</v>
      </c>
      <c r="E297" s="11"/>
      <c r="F297" s="10" t="s">
        <v>1973</v>
      </c>
      <c r="H297" s="10" t="s">
        <v>1864</v>
      </c>
      <c r="I297" s="11"/>
      <c r="J297" s="10" t="s">
        <v>1942</v>
      </c>
      <c r="K297" s="11"/>
      <c r="L297" s="11"/>
      <c r="M297" s="10" t="s">
        <v>1864</v>
      </c>
      <c r="N297" s="11"/>
      <c r="O297" s="11"/>
    </row>
    <row r="298" ht="14.25" customHeight="1">
      <c r="A298" s="10" t="s">
        <v>2019</v>
      </c>
      <c r="B298" s="11"/>
      <c r="C298" s="11"/>
      <c r="D298" s="10" t="s">
        <v>1864</v>
      </c>
      <c r="E298" s="11"/>
      <c r="F298" s="10" t="s">
        <v>1909</v>
      </c>
      <c r="G298" s="11"/>
      <c r="H298" s="10" t="s">
        <v>1894</v>
      </c>
      <c r="I298" s="11"/>
      <c r="J298" s="10" t="s">
        <v>1960</v>
      </c>
      <c r="K298" s="11"/>
      <c r="L298" s="11"/>
      <c r="M298" s="10" t="s">
        <v>1864</v>
      </c>
      <c r="N298" s="11"/>
      <c r="O298" s="11"/>
    </row>
    <row r="299" ht="14.25" customHeight="1">
      <c r="A299" s="10" t="s">
        <v>2020</v>
      </c>
      <c r="B299" s="12">
        <v>0.0</v>
      </c>
      <c r="C299" s="11"/>
      <c r="D299" s="10" t="s">
        <v>1909</v>
      </c>
      <c r="E299" s="11"/>
      <c r="F299" s="10" t="s">
        <v>1864</v>
      </c>
      <c r="G299" s="11"/>
      <c r="H299" s="10" t="s">
        <v>1878</v>
      </c>
      <c r="I299" s="11"/>
      <c r="J299" s="10" t="s">
        <v>2021</v>
      </c>
      <c r="K299" s="11"/>
      <c r="L299" s="11"/>
      <c r="M299" s="10" t="s">
        <v>1864</v>
      </c>
      <c r="N299" s="11"/>
      <c r="O299" s="11"/>
    </row>
    <row r="300" ht="14.25" customHeight="1">
      <c r="A300" s="10" t="s">
        <v>2022</v>
      </c>
      <c r="B300" s="11"/>
      <c r="C300" s="11"/>
      <c r="D300" s="10" t="s">
        <v>1864</v>
      </c>
      <c r="E300" s="11"/>
      <c r="F300" s="10" t="s">
        <v>2023</v>
      </c>
      <c r="G300" s="11"/>
      <c r="H300" s="10" t="s">
        <v>1971</v>
      </c>
      <c r="I300" s="11"/>
      <c r="J300" s="10" t="s">
        <v>1982</v>
      </c>
      <c r="K300" s="11"/>
      <c r="L300" s="11"/>
      <c r="M300" s="10" t="s">
        <v>1864</v>
      </c>
      <c r="N300" s="11"/>
      <c r="O300" s="11"/>
    </row>
    <row r="301" ht="14.25" customHeight="1">
      <c r="A301" s="10" t="s">
        <v>2024</v>
      </c>
      <c r="B301" s="12">
        <v>0.0</v>
      </c>
      <c r="C301" s="11"/>
      <c r="D301" s="10" t="s">
        <v>1864</v>
      </c>
      <c r="E301" s="11"/>
      <c r="F301" s="10" t="s">
        <v>1887</v>
      </c>
      <c r="G301" s="11"/>
      <c r="H301" s="10" t="s">
        <v>1990</v>
      </c>
      <c r="I301" s="11"/>
      <c r="J301" s="10" t="s">
        <v>1909</v>
      </c>
      <c r="K301" s="11"/>
      <c r="L301" s="11"/>
      <c r="M301" s="10" t="s">
        <v>1864</v>
      </c>
      <c r="N301" s="11"/>
      <c r="O301" s="11"/>
    </row>
    <row r="302" ht="14.25" customHeight="1">
      <c r="A302" s="10" t="s">
        <v>2025</v>
      </c>
      <c r="B302" s="11"/>
      <c r="C302" s="11"/>
      <c r="D302" s="10" t="s">
        <v>1864</v>
      </c>
      <c r="E302" s="11"/>
      <c r="F302" s="10" t="s">
        <v>1971</v>
      </c>
      <c r="G302" s="11"/>
      <c r="H302" s="10" t="s">
        <v>1909</v>
      </c>
      <c r="I302" s="11"/>
      <c r="J302" s="10" t="s">
        <v>1940</v>
      </c>
      <c r="K302" s="11"/>
      <c r="L302" s="11"/>
      <c r="M302" s="10" t="s">
        <v>1864</v>
      </c>
      <c r="N302" s="11"/>
      <c r="O302" s="11"/>
    </row>
    <row r="303" ht="14.25" customHeight="1">
      <c r="A303" s="10" t="s">
        <v>2026</v>
      </c>
      <c r="B303" s="12">
        <v>0.0</v>
      </c>
      <c r="C303" s="11"/>
      <c r="D303" s="10" t="s">
        <v>1909</v>
      </c>
      <c r="E303" s="11"/>
      <c r="F303" s="10" t="s">
        <v>1864</v>
      </c>
      <c r="G303" s="11"/>
      <c r="H303" s="10" t="s">
        <v>1878</v>
      </c>
      <c r="I303" s="11"/>
      <c r="J303" s="10" t="s">
        <v>1942</v>
      </c>
      <c r="K303" s="11"/>
      <c r="L303" s="11"/>
      <c r="M303" s="10" t="s">
        <v>1864</v>
      </c>
      <c r="N303" s="11"/>
      <c r="O303" s="11"/>
    </row>
    <row r="304" ht="14.25" customHeight="1">
      <c r="A304" s="10" t="s">
        <v>2027</v>
      </c>
      <c r="B304" s="12">
        <v>0.0</v>
      </c>
      <c r="C304" s="11"/>
      <c r="D304" s="10" t="s">
        <v>1864</v>
      </c>
      <c r="E304" s="11"/>
      <c r="F304" s="10" t="s">
        <v>1877</v>
      </c>
      <c r="G304" s="11"/>
      <c r="H304" s="10" t="s">
        <v>2028</v>
      </c>
      <c r="I304" s="11"/>
      <c r="J304" s="10" t="s">
        <v>1942</v>
      </c>
      <c r="K304" s="11"/>
      <c r="L304" s="11"/>
      <c r="M304" s="10" t="s">
        <v>1864</v>
      </c>
      <c r="N304" s="11"/>
      <c r="O304" s="11"/>
    </row>
    <row r="305" ht="14.25" customHeight="1">
      <c r="A305" s="10" t="s">
        <v>2029</v>
      </c>
      <c r="B305" s="12">
        <v>1.0</v>
      </c>
      <c r="C305" s="11"/>
      <c r="D305" s="10" t="s">
        <v>1864</v>
      </c>
      <c r="E305" s="11"/>
      <c r="F305" s="10" t="s">
        <v>1943</v>
      </c>
      <c r="G305" s="11"/>
      <c r="H305" s="10" t="s">
        <v>1909</v>
      </c>
      <c r="I305" s="11"/>
      <c r="J305" s="10" t="s">
        <v>1997</v>
      </c>
      <c r="K305" s="11"/>
      <c r="L305" s="11"/>
      <c r="M305" s="10" t="s">
        <v>1864</v>
      </c>
      <c r="N305" s="11"/>
      <c r="O305" s="11"/>
    </row>
    <row r="306" ht="14.25" customHeight="1">
      <c r="A306" s="10" t="s">
        <v>2030</v>
      </c>
      <c r="B306" s="12">
        <v>0.0</v>
      </c>
      <c r="C306" s="11"/>
      <c r="D306" s="10" t="s">
        <v>2031</v>
      </c>
      <c r="F306" s="10" t="s">
        <v>1877</v>
      </c>
      <c r="G306" s="11"/>
      <c r="H306" s="10" t="s">
        <v>1864</v>
      </c>
      <c r="I306" s="11"/>
      <c r="J306" s="10" t="s">
        <v>1878</v>
      </c>
      <c r="K306" s="11"/>
      <c r="L306" s="11"/>
      <c r="M306" s="10" t="s">
        <v>1864</v>
      </c>
      <c r="N306" s="11"/>
      <c r="O306" s="11"/>
    </row>
    <row r="307" ht="14.25" customHeight="1">
      <c r="A307" s="10" t="s">
        <v>2032</v>
      </c>
      <c r="B307" s="11"/>
      <c r="C307" s="11"/>
      <c r="D307" s="10" t="s">
        <v>1878</v>
      </c>
      <c r="E307" s="11"/>
      <c r="F307" s="10" t="s">
        <v>1864</v>
      </c>
      <c r="G307" s="11"/>
      <c r="H307" s="10" t="s">
        <v>1909</v>
      </c>
      <c r="I307" s="11"/>
      <c r="J307" s="10" t="s">
        <v>1971</v>
      </c>
      <c r="K307" s="11"/>
      <c r="L307" s="11"/>
      <c r="M307" s="10" t="s">
        <v>1864</v>
      </c>
      <c r="N307" s="11"/>
      <c r="O307" s="11"/>
    </row>
    <row r="308" ht="14.25" customHeight="1">
      <c r="A308" s="10" t="s">
        <v>2033</v>
      </c>
      <c r="B308" s="12">
        <v>0.0</v>
      </c>
      <c r="C308" s="11"/>
      <c r="D308" s="10" t="s">
        <v>1864</v>
      </c>
      <c r="E308" s="11"/>
      <c r="F308" s="10" t="s">
        <v>2034</v>
      </c>
      <c r="G308" s="11"/>
      <c r="H308" s="10" t="s">
        <v>1877</v>
      </c>
      <c r="I308" s="11"/>
      <c r="J308" s="10" t="s">
        <v>2031</v>
      </c>
      <c r="K308" s="11"/>
      <c r="L308" s="11"/>
      <c r="M308" s="10" t="s">
        <v>1864</v>
      </c>
      <c r="N308" s="11"/>
      <c r="O308" s="11"/>
    </row>
    <row r="309" ht="14.25" customHeight="1">
      <c r="A309" s="10" t="s">
        <v>2035</v>
      </c>
      <c r="B309" s="12">
        <v>0.0</v>
      </c>
      <c r="C309" s="11"/>
      <c r="D309" s="10" t="s">
        <v>1864</v>
      </c>
      <c r="E309" s="11"/>
      <c r="F309" s="10" t="s">
        <v>1971</v>
      </c>
      <c r="G309" s="11"/>
      <c r="H309" s="10" t="s">
        <v>1909</v>
      </c>
      <c r="I309" s="11"/>
      <c r="J309" s="10" t="s">
        <v>1986</v>
      </c>
      <c r="K309" s="11"/>
      <c r="L309" s="11"/>
      <c r="M309" s="10" t="s">
        <v>1864</v>
      </c>
      <c r="N309" s="11"/>
      <c r="O309" s="11"/>
    </row>
    <row r="310" ht="14.25" customHeight="1">
      <c r="A310" s="10" t="s">
        <v>2036</v>
      </c>
      <c r="B310" s="12">
        <v>0.0</v>
      </c>
      <c r="C310" s="11"/>
      <c r="D310" s="10" t="s">
        <v>1864</v>
      </c>
      <c r="E310" s="11"/>
      <c r="F310" s="10" t="s">
        <v>1971</v>
      </c>
      <c r="G310" s="11"/>
      <c r="H310" s="10" t="s">
        <v>1909</v>
      </c>
      <c r="I310" s="11"/>
      <c r="J310" s="10" t="s">
        <v>1904</v>
      </c>
      <c r="K310" s="11"/>
      <c r="L310" s="11"/>
      <c r="M310" s="10" t="s">
        <v>1864</v>
      </c>
      <c r="N310" s="11"/>
      <c r="O310" s="11"/>
    </row>
    <row r="311" ht="14.25" customHeight="1">
      <c r="A311" s="10" t="s">
        <v>2037</v>
      </c>
      <c r="B311" s="12">
        <v>0.0</v>
      </c>
      <c r="C311" s="11"/>
      <c r="D311" s="10" t="s">
        <v>1878</v>
      </c>
      <c r="E311" s="11"/>
      <c r="F311" s="10" t="s">
        <v>1864</v>
      </c>
      <c r="G311" s="11"/>
      <c r="H311" s="10" t="s">
        <v>1909</v>
      </c>
      <c r="I311" s="11"/>
      <c r="J311" s="10" t="s">
        <v>1971</v>
      </c>
      <c r="K311" s="11"/>
      <c r="L311" s="11"/>
      <c r="M311" s="10" t="s">
        <v>1878</v>
      </c>
      <c r="N311" s="11"/>
      <c r="O311" s="11"/>
    </row>
    <row r="312" ht="14.25" customHeight="1">
      <c r="A312" s="10" t="s">
        <v>2038</v>
      </c>
      <c r="B312" s="12">
        <v>0.0</v>
      </c>
      <c r="C312" s="11"/>
      <c r="D312" s="10" t="s">
        <v>1864</v>
      </c>
      <c r="E312" s="11"/>
      <c r="F312" s="10" t="s">
        <v>1952</v>
      </c>
      <c r="H312" s="10" t="s">
        <v>1971</v>
      </c>
      <c r="I312" s="11"/>
      <c r="J312" s="10" t="s">
        <v>1997</v>
      </c>
      <c r="K312" s="11"/>
      <c r="L312" s="11"/>
      <c r="M312" s="10" t="s">
        <v>1864</v>
      </c>
      <c r="N312" s="11"/>
      <c r="O312" s="11"/>
    </row>
    <row r="313" ht="14.25" customHeight="1">
      <c r="A313" s="10" t="s">
        <v>2039</v>
      </c>
      <c r="B313" s="12">
        <v>0.0</v>
      </c>
      <c r="C313" s="11"/>
      <c r="D313" s="10" t="s">
        <v>1864</v>
      </c>
      <c r="E313" s="11"/>
      <c r="F313" s="10" t="s">
        <v>1909</v>
      </c>
      <c r="G313" s="11"/>
      <c r="H313" s="10" t="s">
        <v>1982</v>
      </c>
      <c r="I313" s="11"/>
      <c r="J313" s="10" t="s">
        <v>1942</v>
      </c>
      <c r="K313" s="11"/>
      <c r="L313" s="11"/>
      <c r="M313" s="10" t="s">
        <v>1909</v>
      </c>
      <c r="N313" s="11"/>
      <c r="O313" s="11"/>
    </row>
    <row r="314" ht="14.25" customHeight="1">
      <c r="A314" s="10" t="s">
        <v>2040</v>
      </c>
      <c r="B314" s="12">
        <v>0.0</v>
      </c>
      <c r="C314" s="11"/>
      <c r="D314" s="10" t="s">
        <v>1864</v>
      </c>
      <c r="E314" s="11"/>
      <c r="F314" s="10" t="s">
        <v>2034</v>
      </c>
      <c r="G314" s="11"/>
      <c r="H314" s="10" t="s">
        <v>1997</v>
      </c>
      <c r="I314" s="11"/>
      <c r="J314" s="10" t="s">
        <v>1878</v>
      </c>
      <c r="K314" s="11"/>
      <c r="L314" s="11"/>
      <c r="M314" s="10" t="s">
        <v>1864</v>
      </c>
      <c r="N314" s="11"/>
      <c r="O314" s="11"/>
    </row>
    <row r="315" ht="14.25" customHeight="1">
      <c r="A315" s="10" t="s">
        <v>2041</v>
      </c>
      <c r="B315" s="12">
        <v>1.0</v>
      </c>
      <c r="C315" s="11"/>
      <c r="D315" s="10" t="s">
        <v>1864</v>
      </c>
      <c r="E315" s="11"/>
      <c r="F315" s="10" t="s">
        <v>1878</v>
      </c>
      <c r="G315" s="11"/>
      <c r="H315" s="10" t="s">
        <v>1909</v>
      </c>
      <c r="I315" s="11"/>
      <c r="J315" s="10" t="s">
        <v>1971</v>
      </c>
      <c r="K315" s="11"/>
      <c r="L315" s="11"/>
      <c r="M315" s="10" t="s">
        <v>1864</v>
      </c>
      <c r="N315" s="11"/>
      <c r="O315" s="11"/>
    </row>
    <row r="316" ht="14.25" customHeight="1">
      <c r="A316" s="10" t="s">
        <v>2042</v>
      </c>
      <c r="B316" s="12">
        <v>1.0</v>
      </c>
      <c r="C316" s="11"/>
      <c r="D316" s="10" t="s">
        <v>1864</v>
      </c>
      <c r="E316" s="11"/>
      <c r="F316" s="10" t="s">
        <v>1909</v>
      </c>
      <c r="G316" s="11"/>
      <c r="H316" s="10" t="s">
        <v>1878</v>
      </c>
      <c r="I316" s="11"/>
      <c r="J316" s="10" t="s">
        <v>1997</v>
      </c>
      <c r="K316" s="11"/>
      <c r="L316" s="11"/>
      <c r="M316" s="10" t="s">
        <v>1864</v>
      </c>
      <c r="N316" s="11"/>
      <c r="O316" s="11"/>
    </row>
    <row r="317" ht="14.25" customHeight="1">
      <c r="A317" s="10" t="s">
        <v>2043</v>
      </c>
      <c r="B317" s="12">
        <v>1.0</v>
      </c>
      <c r="C317" s="11"/>
      <c r="D317" s="10" t="s">
        <v>2031</v>
      </c>
      <c r="F317" s="10" t="s">
        <v>1864</v>
      </c>
      <c r="G317" s="11"/>
      <c r="H317" s="10" t="s">
        <v>1878</v>
      </c>
      <c r="I317" s="11"/>
      <c r="J317" s="10" t="s">
        <v>1909</v>
      </c>
      <c r="K317" s="11"/>
      <c r="L317" s="11"/>
      <c r="M317" s="10" t="s">
        <v>1864</v>
      </c>
      <c r="N317" s="11"/>
      <c r="O317" s="11"/>
    </row>
    <row r="318" ht="14.25" customHeight="1">
      <c r="A318" s="10" t="s">
        <v>2044</v>
      </c>
      <c r="B318" s="12">
        <v>0.0</v>
      </c>
      <c r="C318" s="11"/>
      <c r="D318" s="10" t="s">
        <v>1864</v>
      </c>
      <c r="E318" s="11"/>
      <c r="F318" s="10" t="s">
        <v>2034</v>
      </c>
      <c r="G318" s="11"/>
      <c r="H318" s="10" t="s">
        <v>1909</v>
      </c>
      <c r="I318" s="11"/>
      <c r="J318" s="10" t="s">
        <v>1942</v>
      </c>
      <c r="K318" s="11"/>
      <c r="L318" s="11"/>
      <c r="M318" s="10" t="s">
        <v>1864</v>
      </c>
      <c r="N318" s="11"/>
      <c r="O318" s="11"/>
    </row>
    <row r="319" ht="14.25" customHeight="1">
      <c r="A319" s="10" t="s">
        <v>2045</v>
      </c>
      <c r="B319" s="12">
        <v>1.0</v>
      </c>
      <c r="C319" s="11"/>
      <c r="D319" s="10" t="s">
        <v>1864</v>
      </c>
      <c r="E319" s="11"/>
      <c r="F319" s="10" t="s">
        <v>2046</v>
      </c>
      <c r="H319" s="10" t="s">
        <v>1878</v>
      </c>
      <c r="I319" s="11"/>
      <c r="J319" s="10" t="s">
        <v>1909</v>
      </c>
      <c r="K319" s="11"/>
      <c r="L319" s="11"/>
      <c r="M319" s="10" t="s">
        <v>1864</v>
      </c>
      <c r="N319" s="11"/>
      <c r="O319" s="11"/>
    </row>
    <row r="320" ht="14.25" customHeight="1">
      <c r="A320" s="10" t="s">
        <v>2047</v>
      </c>
      <c r="B320" s="11"/>
      <c r="C320" s="11"/>
      <c r="D320" s="10" t="s">
        <v>1971</v>
      </c>
      <c r="E320" s="11"/>
      <c r="F320" s="10" t="s">
        <v>1909</v>
      </c>
      <c r="G320" s="11"/>
      <c r="H320" s="10" t="s">
        <v>1864</v>
      </c>
      <c r="I320" s="11"/>
      <c r="J320" s="10" t="s">
        <v>1952</v>
      </c>
      <c r="K320" s="11"/>
      <c r="L320" s="11"/>
      <c r="M320" s="10" t="s">
        <v>1971</v>
      </c>
      <c r="N320" s="11"/>
      <c r="O320" s="11"/>
    </row>
    <row r="321" ht="14.25" customHeight="1">
      <c r="A321" s="10" t="s">
        <v>2048</v>
      </c>
      <c r="B321" s="11"/>
      <c r="C321" s="11"/>
      <c r="D321" s="10" t="s">
        <v>1864</v>
      </c>
      <c r="E321" s="11"/>
      <c r="F321" s="10" t="s">
        <v>1971</v>
      </c>
      <c r="G321" s="11"/>
      <c r="H321" s="10" t="s">
        <v>1877</v>
      </c>
      <c r="I321" s="11"/>
      <c r="J321" s="10" t="s">
        <v>1942</v>
      </c>
      <c r="K321" s="11"/>
      <c r="L321" s="11"/>
      <c r="M321" s="10" t="s">
        <v>1971</v>
      </c>
      <c r="N321" s="11"/>
      <c r="O321" s="11"/>
    </row>
    <row r="322" ht="14.25" customHeight="1">
      <c r="A322" s="10" t="s">
        <v>2049</v>
      </c>
      <c r="B322" s="12">
        <v>1.0</v>
      </c>
      <c r="C322" s="11"/>
      <c r="D322" s="10" t="s">
        <v>1864</v>
      </c>
      <c r="E322" s="11"/>
      <c r="F322" s="10" t="s">
        <v>1952</v>
      </c>
      <c r="H322" s="10" t="s">
        <v>1877</v>
      </c>
      <c r="I322" s="11"/>
      <c r="J322" s="10" t="s">
        <v>2034</v>
      </c>
      <c r="K322" s="11"/>
      <c r="L322" s="11"/>
      <c r="M322" s="10" t="s">
        <v>1864</v>
      </c>
      <c r="N322" s="11"/>
      <c r="O322" s="11"/>
    </row>
    <row r="323" ht="14.25" customHeight="1">
      <c r="A323" s="10" t="s">
        <v>2050</v>
      </c>
      <c r="B323" s="11"/>
      <c r="C323" s="11"/>
      <c r="D323" s="10" t="s">
        <v>1864</v>
      </c>
      <c r="E323" s="11"/>
      <c r="F323" s="10" t="s">
        <v>1909</v>
      </c>
      <c r="G323" s="11"/>
      <c r="H323" s="10" t="s">
        <v>1878</v>
      </c>
      <c r="I323" s="11"/>
      <c r="J323" s="10" t="s">
        <v>2031</v>
      </c>
      <c r="K323" s="11"/>
      <c r="L323" s="11"/>
      <c r="M323" s="10" t="s">
        <v>1864</v>
      </c>
      <c r="N323" s="11"/>
      <c r="O323" s="11"/>
    </row>
    <row r="324" ht="14.25" customHeight="1">
      <c r="A324" s="10" t="s">
        <v>2051</v>
      </c>
      <c r="B324" s="11"/>
      <c r="C324" s="11"/>
      <c r="D324" s="10" t="s">
        <v>1864</v>
      </c>
      <c r="E324" s="11"/>
      <c r="F324" s="10" t="s">
        <v>1909</v>
      </c>
      <c r="G324" s="11"/>
      <c r="H324" s="10" t="s">
        <v>1878</v>
      </c>
      <c r="I324" s="11"/>
      <c r="J324" s="10" t="s">
        <v>1942</v>
      </c>
      <c r="K324" s="11"/>
      <c r="L324" s="11"/>
      <c r="M324" s="10" t="s">
        <v>1864</v>
      </c>
      <c r="N324" s="11"/>
      <c r="O324" s="11"/>
    </row>
    <row r="325" ht="14.25" customHeight="1">
      <c r="A325" s="10" t="s">
        <v>2052</v>
      </c>
      <c r="B325" s="12">
        <v>1.0</v>
      </c>
      <c r="C325" s="11"/>
      <c r="D325" s="10" t="s">
        <v>1864</v>
      </c>
      <c r="E325" s="11"/>
      <c r="F325" s="10" t="s">
        <v>1909</v>
      </c>
      <c r="G325" s="11"/>
      <c r="H325" s="10" t="s">
        <v>1971</v>
      </c>
      <c r="I325" s="11"/>
      <c r="J325" s="10" t="s">
        <v>2034</v>
      </c>
      <c r="K325" s="11"/>
      <c r="L325" s="11"/>
      <c r="M325" s="10" t="s">
        <v>1864</v>
      </c>
      <c r="N325" s="11"/>
      <c r="O325" s="11"/>
    </row>
    <row r="326" ht="14.25" customHeight="1">
      <c r="A326" s="10" t="s">
        <v>2053</v>
      </c>
      <c r="B326" s="12">
        <v>0.0</v>
      </c>
      <c r="C326" s="11"/>
      <c r="D326" s="10" t="s">
        <v>1864</v>
      </c>
      <c r="E326" s="11"/>
      <c r="F326" s="10" t="s">
        <v>2034</v>
      </c>
      <c r="G326" s="11"/>
      <c r="H326" s="10" t="s">
        <v>1909</v>
      </c>
      <c r="I326" s="11"/>
      <c r="J326" s="10" t="s">
        <v>1997</v>
      </c>
      <c r="K326" s="11"/>
      <c r="L326" s="11"/>
      <c r="M326" s="10" t="s">
        <v>1864</v>
      </c>
      <c r="N326" s="11"/>
      <c r="O326" s="11"/>
    </row>
    <row r="327" ht="14.25" customHeight="1">
      <c r="A327" s="10" t="s">
        <v>2054</v>
      </c>
      <c r="B327" s="12">
        <v>0.0</v>
      </c>
      <c r="C327" s="11"/>
      <c r="D327" s="10" t="s">
        <v>1864</v>
      </c>
      <c r="E327" s="11"/>
      <c r="F327" s="10" t="s">
        <v>1909</v>
      </c>
      <c r="G327" s="11"/>
      <c r="H327" s="10" t="s">
        <v>1952</v>
      </c>
      <c r="I327" s="11"/>
      <c r="J327" s="10" t="s">
        <v>1997</v>
      </c>
      <c r="K327" s="11"/>
      <c r="L327" s="11"/>
      <c r="M327" s="10" t="s">
        <v>1864</v>
      </c>
      <c r="N327" s="11"/>
      <c r="O327" s="11"/>
    </row>
    <row r="328" ht="14.25" customHeight="1">
      <c r="A328" s="10" t="s">
        <v>2055</v>
      </c>
      <c r="B328" s="12">
        <v>1.0</v>
      </c>
      <c r="C328" s="11"/>
      <c r="D328" s="10" t="s">
        <v>1864</v>
      </c>
      <c r="E328" s="11"/>
      <c r="F328" s="10" t="s">
        <v>1909</v>
      </c>
      <c r="G328" s="11"/>
      <c r="H328" s="10" t="s">
        <v>1878</v>
      </c>
      <c r="I328" s="11"/>
      <c r="J328" s="10" t="s">
        <v>1997</v>
      </c>
      <c r="K328" s="11"/>
      <c r="L328" s="11"/>
      <c r="M328" s="10" t="s">
        <v>1864</v>
      </c>
      <c r="N328" s="11"/>
      <c r="O328" s="11"/>
    </row>
    <row r="329" ht="14.25" customHeight="1">
      <c r="A329" s="10" t="s">
        <v>2056</v>
      </c>
      <c r="B329" s="12">
        <v>1.0</v>
      </c>
      <c r="C329" s="11"/>
      <c r="D329" s="10" t="s">
        <v>1864</v>
      </c>
      <c r="E329" s="11"/>
      <c r="F329" s="10" t="s">
        <v>1909</v>
      </c>
      <c r="G329" s="11"/>
      <c r="H329" s="10" t="s">
        <v>1952</v>
      </c>
      <c r="I329" s="11"/>
      <c r="J329" s="10" t="s">
        <v>1964</v>
      </c>
      <c r="K329" s="11"/>
      <c r="L329" s="11"/>
      <c r="M329" s="10" t="s">
        <v>1864</v>
      </c>
      <c r="N329" s="11"/>
      <c r="O329" s="11"/>
    </row>
    <row r="330" ht="14.25" customHeight="1">
      <c r="A330" s="10" t="s">
        <v>2057</v>
      </c>
      <c r="B330" s="12">
        <v>1.0</v>
      </c>
      <c r="C330" s="10" t="s">
        <v>2058</v>
      </c>
      <c r="D330" s="10" t="s">
        <v>1864</v>
      </c>
      <c r="E330" s="11"/>
      <c r="F330" s="10" t="s">
        <v>1971</v>
      </c>
      <c r="G330" s="11"/>
      <c r="H330" s="10" t="s">
        <v>1909</v>
      </c>
      <c r="I330" s="11"/>
      <c r="J330" s="10" t="s">
        <v>1878</v>
      </c>
      <c r="K330" s="11"/>
      <c r="L330" s="11"/>
      <c r="M330" s="10" t="s">
        <v>1864</v>
      </c>
      <c r="N330" s="11"/>
      <c r="O330" s="11"/>
    </row>
    <row r="331" ht="14.25" customHeight="1">
      <c r="A331" s="10" t="s">
        <v>2059</v>
      </c>
      <c r="B331" s="12">
        <v>0.0</v>
      </c>
      <c r="C331" s="11"/>
      <c r="D331" s="10" t="s">
        <v>1864</v>
      </c>
      <c r="E331" s="11"/>
      <c r="F331" s="10" t="s">
        <v>2031</v>
      </c>
      <c r="H331" s="10" t="s">
        <v>1877</v>
      </c>
      <c r="I331" s="11"/>
      <c r="J331" s="10" t="s">
        <v>2034</v>
      </c>
      <c r="K331" s="11"/>
      <c r="L331" s="11"/>
      <c r="M331" s="10" t="s">
        <v>1864</v>
      </c>
      <c r="N331" s="11"/>
      <c r="O331" s="11"/>
    </row>
    <row r="332" ht="14.25" customHeight="1">
      <c r="A332" s="10" t="s">
        <v>2060</v>
      </c>
      <c r="B332" s="12">
        <v>1.0</v>
      </c>
      <c r="C332" s="11"/>
      <c r="D332" s="10" t="s">
        <v>1864</v>
      </c>
      <c r="E332" s="11"/>
      <c r="F332" s="10" t="s">
        <v>1909</v>
      </c>
      <c r="G332" s="11"/>
      <c r="H332" s="10" t="s">
        <v>2061</v>
      </c>
      <c r="I332" s="11"/>
      <c r="J332" s="10" t="s">
        <v>1878</v>
      </c>
      <c r="K332" s="11"/>
      <c r="L332" s="11"/>
      <c r="M332" s="10" t="s">
        <v>1864</v>
      </c>
      <c r="N332" s="11"/>
      <c r="O332" s="11"/>
    </row>
    <row r="333" ht="14.25" customHeight="1">
      <c r="A333" s="10" t="s">
        <v>2062</v>
      </c>
      <c r="B333" s="12">
        <v>0.0</v>
      </c>
      <c r="C333" s="11"/>
      <c r="D333" s="10" t="s">
        <v>1864</v>
      </c>
      <c r="E333" s="11"/>
      <c r="F333" s="10" t="s">
        <v>1952</v>
      </c>
      <c r="H333" s="10" t="s">
        <v>1997</v>
      </c>
      <c r="I333" s="11"/>
      <c r="J333" s="10" t="s">
        <v>1877</v>
      </c>
      <c r="K333" s="11"/>
      <c r="L333" s="11"/>
      <c r="M333" s="10" t="s">
        <v>1864</v>
      </c>
      <c r="N333" s="11"/>
      <c r="O333" s="11"/>
    </row>
    <row r="334" ht="14.25" customHeight="1">
      <c r="A334" s="10" t="s">
        <v>2063</v>
      </c>
      <c r="B334" s="12">
        <v>1.0</v>
      </c>
      <c r="C334" s="11"/>
      <c r="D334" s="10" t="s">
        <v>1864</v>
      </c>
      <c r="E334" s="11"/>
      <c r="F334" s="10" t="s">
        <v>1971</v>
      </c>
      <c r="G334" s="11"/>
      <c r="H334" s="10" t="s">
        <v>1909</v>
      </c>
      <c r="I334" s="11"/>
      <c r="J334" s="10" t="s">
        <v>1878</v>
      </c>
      <c r="K334" s="11"/>
      <c r="L334" s="11"/>
      <c r="M334" s="10" t="s">
        <v>1864</v>
      </c>
      <c r="N334" s="11"/>
      <c r="O334" s="11"/>
    </row>
    <row r="335" ht="14.25" customHeight="1">
      <c r="A335" s="10" t="s">
        <v>2064</v>
      </c>
      <c r="B335" s="12">
        <v>0.0</v>
      </c>
      <c r="C335" s="11"/>
      <c r="D335" s="10" t="s">
        <v>1864</v>
      </c>
      <c r="E335" s="11"/>
      <c r="F335" s="10" t="s">
        <v>2034</v>
      </c>
      <c r="G335" s="11"/>
      <c r="H335" s="10" t="s">
        <v>1909</v>
      </c>
      <c r="I335" s="11"/>
      <c r="J335" s="10" t="s">
        <v>1986</v>
      </c>
      <c r="K335" s="11"/>
      <c r="L335" s="11"/>
      <c r="M335" s="10" t="s">
        <v>1864</v>
      </c>
      <c r="N335" s="11"/>
      <c r="O335" s="11"/>
    </row>
    <row r="336" ht="14.25" customHeight="1">
      <c r="A336" s="10" t="s">
        <v>2065</v>
      </c>
      <c r="B336" s="11"/>
      <c r="C336" s="11"/>
      <c r="D336" s="10" t="s">
        <v>1864</v>
      </c>
      <c r="E336" s="11"/>
      <c r="F336" s="10" t="s">
        <v>1909</v>
      </c>
      <c r="G336" s="11"/>
      <c r="H336" s="10" t="s">
        <v>1997</v>
      </c>
      <c r="I336" s="11"/>
      <c r="J336" s="10" t="s">
        <v>1878</v>
      </c>
      <c r="K336" s="11"/>
      <c r="L336" s="11"/>
      <c r="M336" s="10" t="s">
        <v>1864</v>
      </c>
      <c r="N336" s="11"/>
      <c r="O336" s="11"/>
    </row>
    <row r="337" ht="14.25" customHeight="1">
      <c r="A337" s="10" t="s">
        <v>2066</v>
      </c>
      <c r="B337" s="12">
        <v>0.0</v>
      </c>
      <c r="C337" s="11"/>
      <c r="D337" s="10" t="s">
        <v>1864</v>
      </c>
      <c r="E337" s="11"/>
      <c r="F337" s="10" t="s">
        <v>1909</v>
      </c>
      <c r="G337" s="11"/>
      <c r="H337" s="10" t="s">
        <v>1878</v>
      </c>
      <c r="I337" s="11"/>
      <c r="J337" s="10" t="s">
        <v>2031</v>
      </c>
      <c r="K337" s="11"/>
      <c r="L337" s="11"/>
      <c r="M337" s="10" t="s">
        <v>1864</v>
      </c>
      <c r="N337" s="11"/>
      <c r="O337" s="11"/>
    </row>
    <row r="338" ht="14.25" customHeight="1">
      <c r="A338" s="10" t="s">
        <v>2067</v>
      </c>
      <c r="B338" s="12">
        <v>1.0</v>
      </c>
      <c r="C338" s="11"/>
      <c r="D338" s="10" t="s">
        <v>1864</v>
      </c>
      <c r="E338" s="11"/>
      <c r="F338" s="10" t="s">
        <v>1909</v>
      </c>
      <c r="G338" s="11"/>
      <c r="H338" s="10" t="s">
        <v>1878</v>
      </c>
      <c r="I338" s="11"/>
      <c r="J338" s="10" t="s">
        <v>1971</v>
      </c>
      <c r="K338" s="11"/>
      <c r="L338" s="11"/>
      <c r="M338" s="10" t="s">
        <v>1864</v>
      </c>
      <c r="N338" s="11"/>
      <c r="O338" s="11"/>
    </row>
    <row r="339" ht="14.25" customHeight="1">
      <c r="A339" s="10" t="s">
        <v>2068</v>
      </c>
      <c r="B339" s="12">
        <v>0.0</v>
      </c>
      <c r="C339" s="11"/>
      <c r="D339" s="10" t="s">
        <v>1864</v>
      </c>
      <c r="E339" s="11"/>
      <c r="F339" s="10" t="s">
        <v>1877</v>
      </c>
      <c r="G339" s="11"/>
      <c r="H339" s="10" t="s">
        <v>1878</v>
      </c>
      <c r="I339" s="11"/>
      <c r="J339" s="10" t="s">
        <v>1997</v>
      </c>
      <c r="K339" s="11"/>
      <c r="L339" s="11"/>
      <c r="M339" s="10" t="s">
        <v>1864</v>
      </c>
      <c r="N339" s="11"/>
      <c r="O339" s="11"/>
    </row>
    <row r="340" ht="14.25" customHeight="1">
      <c r="A340" s="10" t="s">
        <v>2069</v>
      </c>
      <c r="B340" s="12">
        <v>0.0</v>
      </c>
      <c r="C340" s="11"/>
      <c r="D340" s="10" t="s">
        <v>1864</v>
      </c>
      <c r="E340" s="11"/>
      <c r="F340" s="10" t="s">
        <v>1971</v>
      </c>
      <c r="G340" s="11"/>
      <c r="H340" s="10" t="s">
        <v>1909</v>
      </c>
      <c r="I340" s="11"/>
      <c r="J340" s="10" t="s">
        <v>1878</v>
      </c>
      <c r="K340" s="11"/>
      <c r="L340" s="11"/>
      <c r="M340" s="10" t="s">
        <v>1864</v>
      </c>
      <c r="N340" s="11"/>
      <c r="O340" s="11"/>
    </row>
    <row r="341" ht="14.25" customHeight="1">
      <c r="A341" s="10" t="s">
        <v>2070</v>
      </c>
      <c r="B341" s="12">
        <v>0.0</v>
      </c>
      <c r="C341" s="11"/>
      <c r="D341" s="10" t="s">
        <v>1864</v>
      </c>
      <c r="E341" s="11"/>
      <c r="F341" s="10" t="s">
        <v>1909</v>
      </c>
      <c r="G341" s="11"/>
      <c r="H341" s="10" t="s">
        <v>1971</v>
      </c>
      <c r="I341" s="11"/>
      <c r="J341" s="10" t="s">
        <v>1878</v>
      </c>
      <c r="K341" s="11"/>
      <c r="L341" s="11"/>
      <c r="M341" s="10" t="s">
        <v>1864</v>
      </c>
      <c r="N341" s="11"/>
      <c r="O341" s="11"/>
    </row>
    <row r="342" ht="14.25" customHeight="1">
      <c r="A342" s="10" t="s">
        <v>2071</v>
      </c>
      <c r="B342" s="12">
        <v>1.0</v>
      </c>
      <c r="C342" s="10" t="s">
        <v>2072</v>
      </c>
      <c r="D342" s="10" t="s">
        <v>1864</v>
      </c>
      <c r="E342" s="11"/>
      <c r="F342" s="10" t="s">
        <v>1909</v>
      </c>
      <c r="G342" s="11"/>
      <c r="H342" s="10" t="s">
        <v>1952</v>
      </c>
      <c r="I342" s="11"/>
      <c r="J342" s="10" t="s">
        <v>1997</v>
      </c>
      <c r="K342" s="11"/>
      <c r="L342" s="11"/>
      <c r="M342" s="10" t="s">
        <v>1864</v>
      </c>
      <c r="N342" s="11"/>
      <c r="O342" s="11"/>
    </row>
    <row r="343" ht="14.25" customHeight="1">
      <c r="A343" s="10" t="s">
        <v>2073</v>
      </c>
      <c r="B343" s="11"/>
      <c r="C343" s="11"/>
      <c r="D343" s="10" t="s">
        <v>1864</v>
      </c>
      <c r="E343" s="11"/>
      <c r="F343" s="10" t="s">
        <v>1878</v>
      </c>
      <c r="G343" s="11"/>
      <c r="H343" s="10" t="s">
        <v>1909</v>
      </c>
      <c r="I343" s="11"/>
      <c r="J343" s="10" t="s">
        <v>1997</v>
      </c>
      <c r="K343" s="11"/>
      <c r="L343" s="11"/>
      <c r="M343" s="10" t="s">
        <v>1864</v>
      </c>
      <c r="N343" s="11"/>
      <c r="O343" s="11"/>
    </row>
    <row r="344" ht="14.25" customHeight="1">
      <c r="A344" s="10" t="s">
        <v>2074</v>
      </c>
      <c r="B344" s="11"/>
      <c r="C344" s="11"/>
      <c r="D344" s="10" t="s">
        <v>1864</v>
      </c>
      <c r="E344" s="11"/>
      <c r="F344" s="10" t="s">
        <v>1909</v>
      </c>
      <c r="G344" s="11"/>
      <c r="H344" s="10" t="s">
        <v>1878</v>
      </c>
      <c r="I344" s="11"/>
      <c r="J344" s="10" t="s">
        <v>1997</v>
      </c>
      <c r="K344" s="11"/>
      <c r="L344" s="11"/>
      <c r="M344" s="10" t="s">
        <v>1864</v>
      </c>
      <c r="N344" s="11"/>
      <c r="O344" s="11"/>
    </row>
    <row r="345" ht="14.25" customHeight="1">
      <c r="A345" s="10" t="s">
        <v>2075</v>
      </c>
      <c r="B345" s="12">
        <v>1.0</v>
      </c>
      <c r="C345" s="11"/>
      <c r="D345" s="10" t="s">
        <v>1864</v>
      </c>
      <c r="E345" s="11"/>
      <c r="F345" s="10" t="s">
        <v>1878</v>
      </c>
      <c r="G345" s="11"/>
      <c r="H345" s="10" t="s">
        <v>1909</v>
      </c>
      <c r="I345" s="11"/>
      <c r="J345" s="10" t="s">
        <v>1991</v>
      </c>
      <c r="K345" s="11"/>
      <c r="L345" s="11"/>
      <c r="M345" s="10" t="s">
        <v>1864</v>
      </c>
      <c r="N345" s="11"/>
      <c r="O345" s="11"/>
    </row>
    <row r="346" ht="14.25" customHeight="1">
      <c r="A346" s="10" t="s">
        <v>2076</v>
      </c>
      <c r="B346" s="12">
        <v>1.0</v>
      </c>
      <c r="C346" s="11"/>
      <c r="D346" s="10" t="s">
        <v>1864</v>
      </c>
      <c r="E346" s="11"/>
      <c r="F346" s="10" t="s">
        <v>1878</v>
      </c>
      <c r="G346" s="11"/>
      <c r="H346" s="10" t="s">
        <v>1909</v>
      </c>
      <c r="I346" s="11"/>
      <c r="J346" s="10" t="s">
        <v>2077</v>
      </c>
      <c r="K346" s="11"/>
      <c r="L346" s="11"/>
      <c r="M346" s="10" t="s">
        <v>1864</v>
      </c>
      <c r="N346" s="11"/>
      <c r="O346" s="11"/>
    </row>
    <row r="347" ht="14.25" customHeight="1">
      <c r="A347" s="10" t="s">
        <v>2078</v>
      </c>
      <c r="B347" s="11"/>
      <c r="C347" s="11"/>
      <c r="D347" s="10" t="s">
        <v>1864</v>
      </c>
      <c r="E347" s="11"/>
      <c r="F347" s="10" t="s">
        <v>1909</v>
      </c>
      <c r="G347" s="11"/>
      <c r="H347" s="10" t="s">
        <v>1878</v>
      </c>
      <c r="I347" s="11"/>
      <c r="J347" s="10" t="s">
        <v>2031</v>
      </c>
      <c r="K347" s="11"/>
      <c r="L347" s="11"/>
      <c r="M347" s="10" t="s">
        <v>1864</v>
      </c>
      <c r="N347" s="11"/>
      <c r="O347" s="11"/>
    </row>
    <row r="348" ht="14.25" customHeight="1">
      <c r="A348" s="10" t="s">
        <v>2079</v>
      </c>
      <c r="B348" s="12">
        <v>1.0</v>
      </c>
      <c r="C348" s="10" t="s">
        <v>2080</v>
      </c>
      <c r="D348" s="10" t="s">
        <v>1864</v>
      </c>
      <c r="E348" s="11"/>
      <c r="F348" s="10" t="s">
        <v>1909</v>
      </c>
      <c r="G348" s="11"/>
      <c r="H348" s="10" t="s">
        <v>1971</v>
      </c>
      <c r="I348" s="11"/>
      <c r="J348" s="10" t="s">
        <v>1878</v>
      </c>
      <c r="K348" s="11"/>
      <c r="L348" s="11"/>
      <c r="M348" s="10" t="s">
        <v>1864</v>
      </c>
      <c r="N348" s="10" t="s">
        <v>1909</v>
      </c>
    </row>
    <row r="349" ht="14.25" customHeight="1">
      <c r="A349" s="10" t="s">
        <v>2081</v>
      </c>
      <c r="B349" s="12">
        <v>1.0</v>
      </c>
      <c r="C349" s="11"/>
      <c r="D349" s="10" t="s">
        <v>1864</v>
      </c>
      <c r="E349" s="11"/>
      <c r="F349" s="10" t="s">
        <v>1877</v>
      </c>
      <c r="G349" s="11"/>
      <c r="H349" s="10" t="s">
        <v>1878</v>
      </c>
      <c r="I349" s="11"/>
      <c r="J349" s="10" t="s">
        <v>2031</v>
      </c>
      <c r="K349" s="11"/>
      <c r="L349" s="11"/>
      <c r="M349" s="10" t="s">
        <v>1864</v>
      </c>
      <c r="N349" s="11"/>
      <c r="O349" s="11"/>
    </row>
    <row r="350" ht="14.25" customHeight="1">
      <c r="A350" s="10" t="s">
        <v>2082</v>
      </c>
      <c r="B350" s="11"/>
      <c r="C350" s="11"/>
      <c r="D350" s="10" t="s">
        <v>1864</v>
      </c>
      <c r="E350" s="11"/>
      <c r="F350" s="10" t="s">
        <v>1909</v>
      </c>
      <c r="G350" s="11"/>
      <c r="H350" s="10" t="s">
        <v>1971</v>
      </c>
      <c r="I350" s="11"/>
      <c r="J350" s="10" t="s">
        <v>1878</v>
      </c>
      <c r="K350" s="11"/>
      <c r="L350" s="11"/>
      <c r="M350" s="10" t="s">
        <v>1864</v>
      </c>
      <c r="N350" s="11"/>
      <c r="O350" s="11"/>
    </row>
    <row r="351" ht="14.25" customHeight="1">
      <c r="A351" s="10" t="s">
        <v>2083</v>
      </c>
      <c r="B351" s="12">
        <v>0.0</v>
      </c>
      <c r="C351" s="11"/>
      <c r="D351" s="10" t="s">
        <v>1864</v>
      </c>
      <c r="E351" s="11"/>
      <c r="F351" s="10" t="s">
        <v>1971</v>
      </c>
      <c r="G351" s="11"/>
      <c r="H351" s="10" t="s">
        <v>1909</v>
      </c>
      <c r="I351" s="11"/>
      <c r="J351" s="10" t="s">
        <v>1878</v>
      </c>
      <c r="K351" s="11"/>
      <c r="L351" s="11"/>
      <c r="M351" s="10" t="s">
        <v>1864</v>
      </c>
      <c r="N351" s="11"/>
      <c r="O351" s="11"/>
    </row>
    <row r="352" ht="14.25" customHeight="1">
      <c r="A352" s="10" t="s">
        <v>2084</v>
      </c>
      <c r="B352" s="12">
        <v>0.0</v>
      </c>
      <c r="C352" s="11"/>
      <c r="D352" s="10" t="s">
        <v>1864</v>
      </c>
      <c r="E352" s="11"/>
      <c r="F352" s="10" t="s">
        <v>1909</v>
      </c>
      <c r="G352" s="11"/>
      <c r="H352" s="10" t="s">
        <v>2034</v>
      </c>
      <c r="I352" s="11"/>
      <c r="J352" s="10" t="s">
        <v>1878</v>
      </c>
      <c r="K352" s="11"/>
      <c r="L352" s="11"/>
      <c r="M352" s="10" t="s">
        <v>1864</v>
      </c>
      <c r="N352" s="11"/>
      <c r="O352" s="11"/>
    </row>
    <row r="353" ht="14.25" customHeight="1">
      <c r="A353" s="10" t="s">
        <v>2085</v>
      </c>
      <c r="B353" s="12">
        <v>1.0</v>
      </c>
      <c r="C353" s="11"/>
      <c r="D353" s="10" t="s">
        <v>1864</v>
      </c>
      <c r="E353" s="11"/>
      <c r="F353" s="10" t="s">
        <v>1877</v>
      </c>
      <c r="G353" s="11"/>
      <c r="H353" s="10" t="s">
        <v>1982</v>
      </c>
      <c r="I353" s="11"/>
      <c r="J353" s="10" t="s">
        <v>1997</v>
      </c>
      <c r="K353" s="11"/>
      <c r="L353" s="11"/>
      <c r="M353" s="10" t="s">
        <v>1864</v>
      </c>
      <c r="N353" s="11"/>
      <c r="O353" s="11"/>
    </row>
    <row r="354" ht="14.25" customHeight="1">
      <c r="A354" s="10" t="s">
        <v>2086</v>
      </c>
      <c r="B354" s="12">
        <v>1.0</v>
      </c>
      <c r="C354" s="11"/>
      <c r="D354" s="10" t="s">
        <v>1864</v>
      </c>
      <c r="E354" s="11"/>
      <c r="F354" s="10" t="s">
        <v>1878</v>
      </c>
      <c r="G354" s="11"/>
      <c r="H354" s="10" t="s">
        <v>1971</v>
      </c>
      <c r="I354" s="11"/>
      <c r="J354" s="10" t="s">
        <v>1909</v>
      </c>
      <c r="K354" s="11"/>
      <c r="L354" s="11"/>
      <c r="M354" s="10" t="s">
        <v>1864</v>
      </c>
      <c r="N354" s="11"/>
      <c r="O354" s="11"/>
    </row>
    <row r="355" ht="14.25" customHeight="1">
      <c r="A355" s="10" t="s">
        <v>2087</v>
      </c>
      <c r="B355" s="12">
        <v>0.0</v>
      </c>
      <c r="C355" s="11"/>
      <c r="D355" s="10" t="s">
        <v>1864</v>
      </c>
      <c r="E355" s="11"/>
      <c r="F355" s="10" t="s">
        <v>2088</v>
      </c>
      <c r="H355" s="10" t="s">
        <v>1952</v>
      </c>
      <c r="I355" s="11"/>
      <c r="J355" s="10" t="s">
        <v>1904</v>
      </c>
      <c r="K355" s="11"/>
      <c r="L355" s="11"/>
      <c r="M355" s="10" t="s">
        <v>1864</v>
      </c>
      <c r="N355" s="11"/>
      <c r="O355" s="11"/>
    </row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N255:O255"/>
    <mergeCell ref="D259:E259"/>
    <mergeCell ref="D260:E260"/>
    <mergeCell ref="J261:L261"/>
    <mergeCell ref="D262:E262"/>
    <mergeCell ref="F264:G264"/>
    <mergeCell ref="J267:L267"/>
    <mergeCell ref="M273:O273"/>
    <mergeCell ref="M274:N274"/>
    <mergeCell ref="N348:O348"/>
    <mergeCell ref="F269:G269"/>
    <mergeCell ref="M269:N269"/>
    <mergeCell ref="F271:G271"/>
    <mergeCell ref="M272:N272"/>
    <mergeCell ref="D273:E273"/>
    <mergeCell ref="F273:G273"/>
    <mergeCell ref="F274:G274"/>
    <mergeCell ref="D277:E277"/>
    <mergeCell ref="F277:G277"/>
    <mergeCell ref="M277:N277"/>
    <mergeCell ref="D279:E279"/>
    <mergeCell ref="M279:N279"/>
    <mergeCell ref="F288:G288"/>
    <mergeCell ref="F289:G289"/>
    <mergeCell ref="F333:G333"/>
    <mergeCell ref="F355:G355"/>
    <mergeCell ref="F297:G297"/>
    <mergeCell ref="D306:E306"/>
    <mergeCell ref="F312:G312"/>
    <mergeCell ref="D317:E317"/>
    <mergeCell ref="F319:G319"/>
    <mergeCell ref="F322:G322"/>
    <mergeCell ref="F331:G33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4.29"/>
    <col customWidth="1" min="2" max="2" width="79.43"/>
    <col customWidth="1" min="3" max="3" width="80.86"/>
    <col customWidth="1" min="4" max="4" width="49.71"/>
    <col customWidth="1" min="5" max="5" width="72.43"/>
    <col customWidth="1" min="6" max="6" width="8.71"/>
    <col customWidth="1" min="7" max="7" width="15.14"/>
    <col customWidth="1" min="8" max="8" width="34.71"/>
    <col customWidth="1" min="9" max="9" width="38.43"/>
    <col customWidth="1" min="10" max="10" width="28.71"/>
    <col customWidth="1" min="11" max="11" width="54.43"/>
    <col customWidth="1" min="12" max="16" width="43.0"/>
    <col customWidth="1" min="17" max="27" width="8.71"/>
  </cols>
  <sheetData>
    <row r="1" ht="14.25" customHeight="1">
      <c r="A1" s="1" t="s">
        <v>0</v>
      </c>
      <c r="B1" s="1" t="s">
        <v>1</v>
      </c>
      <c r="C1" s="1" t="s">
        <v>1181</v>
      </c>
      <c r="D1" s="1" t="s">
        <v>701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4.25" customHeight="1">
      <c r="A2" s="4">
        <v>1.0</v>
      </c>
      <c r="B2" s="5" t="str">
        <f>IFERROR(__xludf.DUMMYFUNCTION("GOOGLETRANSLATE(H2, ""th"", ""en"")
"),"You notice that your teammates in the lane look tired. What do you do?")</f>
        <v>You notice that your teammates in the lane look tired. What do you do?</v>
      </c>
      <c r="C2" s="5" t="str">
        <f>IFERROR(__xludf.DUMMYFUNCTION("GOOGLETRANSLATE(I2, ""th"", ""en"")
"),"A) Take the lead and motivate the team; B) Slow down; C) Maintain a rhythm and observe; D) Consult the coach.")</f>
        <v>A) Take the lead and motivate the team; B) Slow down; C) Maintain a rhythm and observe; D) Consult the coach.</v>
      </c>
      <c r="D2" s="5" t="str">
        <f>IFERROR(__xludf.DUMMYFUNCTION("GOOGLETRANSLATE(J2, ""th"", ""en"")
"),"A) Take on leadership roles and motivate the team.")</f>
        <v>A) Take on leadership roles and motivate the team.</v>
      </c>
      <c r="E2" s="5" t="str">
        <f>IFERROR(__xludf.DUMMYFUNCTION("GOOGLETRANSLATE(K2, ""th"", ""en"")
"),"Leading the team at this pace helps improve team coordination.")</f>
        <v>Leading the team at this pace helps improve team coordination.</v>
      </c>
      <c r="G2" s="6">
        <v>1.0</v>
      </c>
      <c r="H2" s="7" t="s">
        <v>2089</v>
      </c>
      <c r="I2" s="7" t="s">
        <v>11</v>
      </c>
      <c r="J2" s="7" t="s">
        <v>12</v>
      </c>
      <c r="K2" s="7" t="s">
        <v>13</v>
      </c>
    </row>
    <row r="3" ht="14.25" customHeight="1">
      <c r="A3" s="4">
        <v>2.0</v>
      </c>
      <c r="B3" s="5" t="str">
        <f>IFERROR(__xludf.DUMMYFUNCTION("GOOGLETRANSLATE(H3, ""th"", ""en"")
"),"The coach asks you to sing a cheer song for the team. What do you do?")</f>
        <v>The coach asks you to sing a cheer song for the team. What do you do?</v>
      </c>
      <c r="C3" s="5" t="str">
        <f>IFERROR(__xludf.DUMMYFUNCTION("GOOGLETRANSLATE(I3, ""th"", ""en"")
"),"A) Refuse; B) Choose easy songs; C) Sing without energy; D) Write a new, complex song.")</f>
        <v>A) Refuse; B) Choose easy songs; C) Sing without energy; D) Write a new, complex song.</v>
      </c>
      <c r="D3" s="5" t="str">
        <f>IFERROR(__xludf.DUMMYFUNCTION("GOOGLETRANSLATE(J3, ""th"", ""en"")
"),"B) Choose an easy song.")</f>
        <v>B) Choose an easy song.</v>
      </c>
      <c r="E3" s="5" t="str">
        <f>IFERROR(__xludf.DUMMYFUNCTION("GOOGLETRANSLATE(K3, ""th"", ""en"")
"),"Choosing easy songs helps build confidence and connect with the team.")</f>
        <v>Choosing easy songs helps build confidence and connect with the team.</v>
      </c>
      <c r="G3" s="6">
        <v>2.0</v>
      </c>
      <c r="H3" s="7" t="s">
        <v>2090</v>
      </c>
      <c r="I3" s="7" t="s">
        <v>15</v>
      </c>
      <c r="J3" s="7" t="s">
        <v>16</v>
      </c>
      <c r="K3" s="7" t="s">
        <v>17</v>
      </c>
    </row>
    <row r="4" ht="14.25" customHeight="1">
      <c r="A4" s="4">
        <v>3.0</v>
      </c>
      <c r="B4" s="5" t="str">
        <f>IFERROR(__xludf.DUMMYFUNCTION("GOOGLETRANSLATE(H4, ""th"", ""en"")
"),"While playing Wow Lane, you notice that the circles are not equal. What do you do?")</f>
        <v>While playing Wow Lane, you notice that the circles are not equal. What do you do?</v>
      </c>
      <c r="C4" s="5" t="str">
        <f>IFERROR(__xludf.DUMMYFUNCTION("GOOGLETRANSLATE(I4, ""th"", ""en"")
"),"A) Adjust your position immediately; B) Ignore and continue playing; C) Notify the coach; D) Walk out of the circle.")</f>
        <v>A) Adjust your position immediately; B) Ignore and continue playing; C) Notify the coach; D) Walk out of the circle.</v>
      </c>
      <c r="D4" s="5" t="str">
        <f>IFERROR(__xludf.DUMMYFUNCTION("GOOGLETRANSLATE(J4, ""th"", ""en"")
"),"A) Adjust your position immediately.")</f>
        <v>A) Adjust your position immediately.</v>
      </c>
      <c r="E4" s="5" t="str">
        <f>IFERROR(__xludf.DUMMYFUNCTION("GOOGLETRANSLATE(K4, ""th"", ""en"")
"),"Keeping the circle balanced is essential to the smooth running of the game.")</f>
        <v>Keeping the circle balanced is essential to the smooth running of the game.</v>
      </c>
      <c r="G4" s="6">
        <v>3.0</v>
      </c>
      <c r="H4" s="7" t="s">
        <v>2091</v>
      </c>
      <c r="I4" s="7" t="s">
        <v>2092</v>
      </c>
      <c r="J4" s="7" t="s">
        <v>20</v>
      </c>
      <c r="K4" s="7" t="s">
        <v>2093</v>
      </c>
    </row>
    <row r="5" ht="14.25" customHeight="1">
      <c r="A5" s="4">
        <v>4.0</v>
      </c>
      <c r="B5" s="5" t="str">
        <f>IFERROR(__xludf.DUMMYFUNCTION("GOOGLETRANSLATE(H5, ""th"", ""en"")
"),"A teammate makes a mistake during a play. What do you do?")</f>
        <v>A teammate makes a mistake during a play. What do you do?</v>
      </c>
      <c r="C5" s="5" t="str">
        <f>IFERROR(__xludf.DUMMYFUNCTION("GOOGLETRANSLATE(I5, ""th"", ""en"")
"),"A) Help him quietly; B) Reprimand him loudly; C) Continue playing normally; D) Stop the game.")</f>
        <v>A) Help him quietly; B) Reprimand him loudly; C) Continue playing normally; D) Stop the game.</v>
      </c>
      <c r="D5" s="5" t="str">
        <f>IFERROR(__xludf.DUMMYFUNCTION("GOOGLETRANSLATE(J5, ""th"", ""en"")
"),"A) Help him quietly.")</f>
        <v>A) Help him quietly.</v>
      </c>
      <c r="E5" s="5" t="str">
        <f>IFERROR(__xludf.DUMMYFUNCTION("GOOGLETRANSLATE(K5, ""th"", ""en"")
"),"Silent contributions help build team unity.")</f>
        <v>Silent contributions help build team unity.</v>
      </c>
      <c r="G5" s="6">
        <v>4.0</v>
      </c>
      <c r="H5" s="7" t="s">
        <v>2094</v>
      </c>
      <c r="I5" s="7" t="s">
        <v>23</v>
      </c>
      <c r="J5" s="7" t="s">
        <v>24</v>
      </c>
      <c r="K5" s="7" t="s">
        <v>25</v>
      </c>
    </row>
    <row r="6" ht="14.25" customHeight="1">
      <c r="A6" s="4">
        <v>5.0</v>
      </c>
      <c r="B6" s="5" t="str">
        <f>IFERROR(__xludf.DUMMYFUNCTION("GOOGLETRANSLATE(H6, ""th"", ""en"")
"),"The ball hits you and you lose your rhythm. What do you do?")</f>
        <v>The ball hits you and you lose your rhythm. What do you do?</v>
      </c>
      <c r="C6" s="5" t="str">
        <f>IFERROR(__xludf.DUMMYFUNCTION("GOOGLETRANSLATE(I6, ""th"", ""en"")
"),"A) Apologize to the team and try to fix it; B) Ignore it; C) Blame your teammates; D) Stop playing.")</f>
        <v>A) Apologize to the team and try to fix it; B) Ignore it; C) Blame your teammates; D) Stop playing.</v>
      </c>
      <c r="D6" s="5" t="str">
        <f>IFERROR(__xludf.DUMMYFUNCTION("GOOGLETRANSLATE(J6, ""th"", ""en"")
"),"A) Apologize to the team and try to fix it.")</f>
        <v>A) Apologize to the team and try to fix it.</v>
      </c>
      <c r="E6" s="5" t="str">
        <f>IFERROR(__xludf.DUMMYFUNCTION("GOOGLETRANSLATE(K6, ""th"", ""en"")
"),"Admitting mistakes and trying to make amends helps build trust.")</f>
        <v>Admitting mistakes and trying to make amends helps build trust.</v>
      </c>
      <c r="G6" s="6">
        <v>5.0</v>
      </c>
      <c r="H6" s="7" t="s">
        <v>2095</v>
      </c>
      <c r="I6" s="7" t="s">
        <v>2096</v>
      </c>
      <c r="J6" s="7" t="s">
        <v>2097</v>
      </c>
      <c r="K6" s="7" t="s">
        <v>2098</v>
      </c>
    </row>
    <row r="7" ht="14.25" customHeight="1">
      <c r="A7" s="4">
        <v>6.0</v>
      </c>
      <c r="B7" s="5" t="str">
        <f>IFERROR(__xludf.DUMMYFUNCTION("GOOGLETRANSLATE(H7, ""th"", ""en"")
"),"You find that your wind stick is slowing down during battle. What do you do?")</f>
        <v>You find that your wind stick is slowing down during battle. What do you do?</v>
      </c>
      <c r="C7" s="5" t="str">
        <f>IFERROR(__xludf.DUMMYFUNCTION("GOOGLETRANSLATE(I7, ""th"", ""en"")
"),"A) Adjust direction and increase speed; B) Drop the wind stick and change tactics; C) Wait for the wind to help; D) Notify the coach.")</f>
        <v>A) Adjust direction and increase speed; B) Drop the wind stick and change tactics; C) Wait for the wind to help; D) Notify the coach.</v>
      </c>
      <c r="D7" s="5" t="str">
        <f>IFERROR(__xludf.DUMMYFUNCTION("GOOGLETRANSLATE(J7, ""th"", ""en"")
"),"A) Adjust direction and increase speed.")</f>
        <v>A) Adjust direction and increase speed.</v>
      </c>
      <c r="E7" s="5" t="str">
        <f>IFERROR(__xludf.DUMMYFUNCTION("GOOGLETRANSLATE(K7, ""th"", ""en"")
"),"Adjusting the direction and increasing the speed allows the wind instruments to move better.")</f>
        <v>Adjusting the direction and increasing the speed allows the wind instruments to move better.</v>
      </c>
      <c r="G7" s="6">
        <v>6.0</v>
      </c>
      <c r="H7" s="7" t="s">
        <v>2099</v>
      </c>
      <c r="I7" s="7" t="s">
        <v>2100</v>
      </c>
      <c r="J7" s="7" t="s">
        <v>2101</v>
      </c>
      <c r="K7" s="7" t="s">
        <v>2102</v>
      </c>
    </row>
    <row r="8" ht="14.25" customHeight="1">
      <c r="A8" s="4">
        <v>7.0</v>
      </c>
      <c r="B8" s="5" t="str">
        <f>IFERROR(__xludf.DUMMYFUNCTION("GOOGLETRANSLATE(H8, ""th"", ""en"")
"),"Your opponent's wind stick is about to collide with your wind stick, what will you do?")</f>
        <v>Your opponent's wind stick is about to collide with your wind stick, what will you do?</v>
      </c>
      <c r="C8" s="5" t="str">
        <f>IFERROR(__xludf.DUMMYFUNCTION("GOOGLETRANSLATE(I8, ""th"", ""en"")
"),"A) Turn around and hit his wind stick; B) Let his wind stick hit you; C) Try to pull the wind stick back; D) Wait for your opponent to make a mistake.")</f>
        <v>A) Turn around and hit his wind stick; B) Let his wind stick hit you; C) Try to pull the wind stick back; D) Wait for your opponent to make a mistake.</v>
      </c>
      <c r="D8" s="5" t="str">
        <f>IFERROR(__xludf.DUMMYFUNCTION("GOOGLETRANSLATE(J8, ""th"", ""en"")
"),"A) Turn and dodge and hit the wind stick.")</f>
        <v>A) Turn and dodge and hit the wind stick.</v>
      </c>
      <c r="E8" s="5" t="str">
        <f>IFERROR(__xludf.DUMMYFUNCTION("GOOGLETRANSLATE(K8, ""th"", ""en"")
"),"Dodging and attacking your opponent's wind attacks is a good strategy in this situation.")</f>
        <v>Dodging and attacking your opponent's wind attacks is a good strategy in this situation.</v>
      </c>
      <c r="G8" s="6">
        <v>7.0</v>
      </c>
      <c r="H8" s="7" t="s">
        <v>2103</v>
      </c>
      <c r="I8" s="7" t="s">
        <v>2104</v>
      </c>
      <c r="J8" s="7" t="s">
        <v>2105</v>
      </c>
      <c r="K8" s="7" t="s">
        <v>2106</v>
      </c>
    </row>
    <row r="9" ht="14.25" customHeight="1">
      <c r="A9" s="4">
        <v>8.0</v>
      </c>
      <c r="B9" s="5" t="str">
        <f>IFERROR(__xludf.DUMMYFUNCTION("GOOGLETRANSLATE(H9, ""th"", ""en"")
"),"During the competition, you feel that controlling your wind instruments is becoming more difficult. What should you do?")</f>
        <v>During the competition, you feel that controlling your wind instruments is becoming more difficult. What should you do?</v>
      </c>
      <c r="C9" s="5" t="str">
        <f>IFERROR(__xludf.DUMMYFUNCTION("GOOGLETRANSLATE(I9, ""th"", ""en"")
"),"A) Readjust and try to improve control; B) Notify the coach for advice; C) Wait until the wind dies down; D) Stop the race.")</f>
        <v>A) Readjust and try to improve control; B) Notify the coach for advice; C) Wait until the wind dies down; D) Stop the race.</v>
      </c>
      <c r="D9" s="5" t="str">
        <f>IFERROR(__xludf.DUMMYFUNCTION("GOOGLETRANSLATE(J9, ""th"", ""en"")
"),"A) Adjust your hand and try to control it better.")</f>
        <v>A) Adjust your hand and try to control it better.</v>
      </c>
      <c r="E9" s="5" t="str">
        <f>IFERROR(__xludf.DUMMYFUNCTION("GOOGLETRANSLATE(K9, ""th"", ""en"")
"),"New adjustments allow for better control of the wind instruments.")</f>
        <v>New adjustments allow for better control of the wind instruments.</v>
      </c>
      <c r="G9" s="6">
        <v>8.0</v>
      </c>
      <c r="H9" s="7" t="s">
        <v>2107</v>
      </c>
      <c r="I9" s="7" t="s">
        <v>2108</v>
      </c>
      <c r="J9" s="7" t="s">
        <v>2109</v>
      </c>
      <c r="K9" s="7" t="s">
        <v>2110</v>
      </c>
    </row>
    <row r="10" ht="14.25" customHeight="1">
      <c r="A10" s="4">
        <v>9.0</v>
      </c>
      <c r="B10" s="5" t="str">
        <f>IFERROR(__xludf.DUMMYFUNCTION("GOOGLETRANSLATE(H10, ""th"", ""en"")
"),"You see your opponent starting to use a new strategy during the game, what do you do?")</f>
        <v>You see your opponent starting to use a new strategy during the game, what do you do?</v>
      </c>
      <c r="C10" s="5" t="str">
        <f>IFERROR(__xludf.DUMMYFUNCTION("GOOGLETRANSLATE(I10, ""th"", ""en"")
"),"A) Adjust your strategy and counter; B) Wait for him to make a mistake; C) Quit playing; D) Try to snatch the wind stick back.")</f>
        <v>A) Adjust your strategy and counter; B) Wait for him to make a mistake; C) Quit playing; D) Try to snatch the wind stick back.</v>
      </c>
      <c r="D10" s="5" t="str">
        <f>IFERROR(__xludf.DUMMYFUNCTION("GOOGLETRANSLATE(J10, ""th"", ""en"")
"),"A) Adjust strategies and respond.")</f>
        <v>A) Adjust strategies and respond.</v>
      </c>
      <c r="E10" s="5" t="str">
        <f>IFERROR(__xludf.DUMMYFUNCTION("GOOGLETRANSLATE(K10, ""th"", ""en"")
"),"Adapting your strategy to change can help you win.")</f>
        <v>Adapting your strategy to change can help you win.</v>
      </c>
      <c r="G10" s="6">
        <v>9.0</v>
      </c>
      <c r="H10" s="7" t="s">
        <v>2111</v>
      </c>
      <c r="I10" s="7" t="s">
        <v>2112</v>
      </c>
      <c r="J10" s="7" t="s">
        <v>2113</v>
      </c>
      <c r="K10" s="7" t="s">
        <v>2114</v>
      </c>
    </row>
    <row r="11" ht="14.25" customHeight="1">
      <c r="A11" s="4">
        <v>10.0</v>
      </c>
      <c r="B11" s="5" t="str">
        <f>IFERROR(__xludf.DUMMYFUNCTION("GOOGLETRANSLATE(H11, ""th"", ""en"")
"),"The competition is getting tense and you feel pressured, what do you do?")</f>
        <v>The competition is getting tense and you feel pressured, what do you do?</v>
      </c>
      <c r="C11" s="5" t="str">
        <f>IFERROR(__xludf.DUMMYFUNCTION("GOOGLETRANSLATE(I11, ""th"", ""en"")
"),"A) Keep calm and stick to the plan; B) Apologize and quit; C) Make an unintentional mistake; D) Re-adjust your posture.")</f>
        <v>A) Keep calm and stick to the plan; B) Apologize and quit; C) Make an unintentional mistake; D) Re-adjust your posture.</v>
      </c>
      <c r="D11" s="5" t="str">
        <f>IFERROR(__xludf.DUMMYFUNCTION("GOOGLETRANSLATE(J11, ""th"", ""en"")
"),"A) Keep calm and follow the plan.")</f>
        <v>A) Keep calm and follow the plan.</v>
      </c>
      <c r="E11" s="5" t="str">
        <f>IFERROR(__xludf.DUMMYFUNCTION("GOOGLETRANSLATE(K11, ""th"", ""en"")
"),"Keeping calm helps you play at your most effective level.")</f>
        <v>Keeping calm helps you play at your most effective level.</v>
      </c>
      <c r="G11" s="6">
        <v>10.0</v>
      </c>
      <c r="H11" s="7" t="s">
        <v>2115</v>
      </c>
      <c r="I11" s="7" t="s">
        <v>2116</v>
      </c>
      <c r="J11" s="7" t="s">
        <v>2117</v>
      </c>
      <c r="K11" s="7" t="s">
        <v>2118</v>
      </c>
    </row>
    <row r="12" ht="14.25" customHeight="1">
      <c r="A12" s="4">
        <v>11.0</v>
      </c>
      <c r="B12" s="5" t="str">
        <f>IFERROR(__xludf.DUMMYFUNCTION("GOOGLETRANSLATE(H12, ""th"", ""en"")
"),"You see your teammates starting to lose motivation, what do you do?")</f>
        <v>You see your teammates starting to lose motivation, what do you do?</v>
      </c>
      <c r="C12" s="5" t="str">
        <f>IFERROR(__xludf.DUMMYFUNCTION("GOOGLETRANSLATE(I12, ""th"", ""en"")
"),"A) Encourage and talk to him; B) Let him be quiet; C) Make him feel bad; D) Avoid talking.")</f>
        <v>A) Encourage and talk to him; B) Let him be quiet; C) Make him feel bad; D) Avoid talking.</v>
      </c>
      <c r="D12" s="5" t="str">
        <f>IFERROR(__xludf.DUMMYFUNCTION("GOOGLETRANSLATE(J12, ""th"", ""en"")
"),"A) Encourage and talk to him.")</f>
        <v>A) Encourage and talk to him.</v>
      </c>
      <c r="E12" s="5" t="str">
        <f>IFERROR(__xludf.DUMMYFUNCTION("GOOGLETRANSLATE(K12, ""th"", ""en"")
"),"Encouragement helps teammates restore confidence.")</f>
        <v>Encouragement helps teammates restore confidence.</v>
      </c>
      <c r="G12" s="6">
        <v>11.0</v>
      </c>
      <c r="H12" s="7" t="s">
        <v>2119</v>
      </c>
      <c r="I12" s="7" t="s">
        <v>2120</v>
      </c>
      <c r="J12" s="7" t="s">
        <v>2121</v>
      </c>
      <c r="K12" s="7" t="s">
        <v>2122</v>
      </c>
    </row>
    <row r="13" ht="14.25" customHeight="1">
      <c r="A13" s="4">
        <v>12.0</v>
      </c>
      <c r="B13" s="5" t="str">
        <f>IFERROR(__xludf.DUMMYFUNCTION("GOOGLETRANSLATE(H13, ""th"", ""en"")
"),"You want to hit the wind stick out of the circle, but your opponent sees you. What do you do?")</f>
        <v>You want to hit the wind stick out of the circle, but your opponent sees you. What do you do?</v>
      </c>
      <c r="C13" s="5" t="str">
        <f>IFERROR(__xludf.DUMMYFUNCTION("GOOGLETRANSLATE(I13, ""th"", ""en"")
"),"A) Create a deflection and attack when he is not observing; B) Immediately strike the wind stick at high speed; C) Delay and wait for the best opportunity; D) Retreat from the circle.")</f>
        <v>A) Create a deflection and attack when he is not observing; B) Immediately strike the wind stick at high speed; C) Delay and wait for the best opportunity; D) Retreat from the circle.</v>
      </c>
      <c r="D13" s="5" t="str">
        <f>IFERROR(__xludf.DUMMYFUNCTION("GOOGLETRANSLATE(J13, ""th"", ""en"")
"),"A) Create a diversion and attack when he is not observing.")</f>
        <v>A) Create a diversion and attack when he is not observing.</v>
      </c>
      <c r="E13" s="5" t="str">
        <f>IFERROR(__xludf.DUMMYFUNCTION("GOOGLETRANSLATE(K13, ""th"", ""en"")
"),"Deflection and attack keep your wind wood safe.")</f>
        <v>Deflection and attack keep your wind wood safe.</v>
      </c>
      <c r="G13" s="6">
        <v>12.0</v>
      </c>
      <c r="H13" s="7" t="s">
        <v>2123</v>
      </c>
      <c r="I13" s="7" t="s">
        <v>2124</v>
      </c>
      <c r="J13" s="7" t="s">
        <v>2125</v>
      </c>
      <c r="K13" s="7" t="s">
        <v>2126</v>
      </c>
    </row>
    <row r="14" ht="14.25" customHeight="1">
      <c r="A14" s="4">
        <v>13.0</v>
      </c>
      <c r="B14" s="5" t="str">
        <f>IFERROR(__xludf.DUMMYFUNCTION("GOOGLETRANSLATE(H14, ""th"", ""en"")
"),"You want to send a wind stick to hit your opponent, but the wind is too strong. What do you do?")</f>
        <v>You want to send a wind stick to hit your opponent, but the wind is too strong. What do you do?</v>
      </c>
      <c r="C14" s="5" t="str">
        <f>IFERROR(__xludf.DUMMYFUNCTION("GOOGLETRANSLATE(I14, ""th"", ""en"")
"),"A) Wait for the wind to weaken; B) Use a heavier wind stick; C) Adjust the direction and send the wind stick in another direction; D) Stop playing.")</f>
        <v>A) Wait for the wind to weaken; B) Use a heavier wind stick; C) Adjust the direction and send the wind stick in another direction; D) Stop playing.</v>
      </c>
      <c r="D14" s="5" t="str">
        <f>IFERROR(__xludf.DUMMYFUNCTION("GOOGLETRANSLATE(J14, ""th"", ""en"")
"),"C) Adjust the direction and send the wind stick in another direction.")</f>
        <v>C) Adjust the direction and send the wind stick in another direction.</v>
      </c>
      <c r="E14" s="5" t="str">
        <f>IFERROR(__xludf.DUMMYFUNCTION("GOOGLETRANSLATE(K14, ""th"", ""en"")
"),"The adjustment of direction helps the wind to be sent out steadily.")</f>
        <v>The adjustment of direction helps the wind to be sent out steadily.</v>
      </c>
      <c r="G14" s="6">
        <v>13.0</v>
      </c>
      <c r="H14" s="7" t="s">
        <v>2127</v>
      </c>
      <c r="I14" s="7" t="s">
        <v>2128</v>
      </c>
      <c r="J14" s="7" t="s">
        <v>2129</v>
      </c>
      <c r="K14" s="7" t="s">
        <v>2130</v>
      </c>
    </row>
    <row r="15" ht="14.25" customHeight="1">
      <c r="A15" s="4">
        <v>14.0</v>
      </c>
      <c r="B15" s="5" t="str">
        <f>IFERROR(__xludf.DUMMYFUNCTION("GOOGLETRANSLATE(H15, ""th"", ""en"")
"),"You see your opponent's wind stick about to hit your wind stick, what do you do?")</f>
        <v>You see your opponent's wind stick about to hit your wind stick, what do you do?</v>
      </c>
      <c r="C15" s="5" t="str">
        <f>IFERROR(__xludf.DUMMYFUNCTION("GOOGLETRANSLATE(I15, ""th"", ""en"")
"),"A) Avoid getting hit by the wind stick; B) Use your wind stick to counterattack; C) Let him win; D) Stop moving.")</f>
        <v>A) Avoid getting hit by the wind stick; B) Use your wind stick to counterattack; C) Let him win; D) Stop moving.</v>
      </c>
      <c r="D15" s="5" t="str">
        <f>IFERROR(__xludf.DUMMYFUNCTION("GOOGLETRANSLATE(J15, ""th"", ""en"")
"),"B) Use your wind stick to hit back.")</f>
        <v>B) Use your wind stick to hit back.</v>
      </c>
      <c r="E15" s="5" t="str">
        <f>IFERROR(__xludf.DUMMYFUNCTION("GOOGLETRANSLATE(K15, ""th"", ""en"")
"),"Using your own wind stick to hit back helps prevent loss.")</f>
        <v>Using your own wind stick to hit back helps prevent loss.</v>
      </c>
      <c r="G15" s="6">
        <v>14.0</v>
      </c>
      <c r="H15" s="7" t="s">
        <v>2131</v>
      </c>
      <c r="I15" s="7" t="s">
        <v>2132</v>
      </c>
      <c r="J15" s="7" t="s">
        <v>2133</v>
      </c>
      <c r="K15" s="7" t="s">
        <v>2134</v>
      </c>
    </row>
    <row r="16" ht="14.25" customHeight="1">
      <c r="A16" s="4">
        <v>15.0</v>
      </c>
      <c r="B16" s="5" t="str">
        <f>IFERROR(__xludf.DUMMYFUNCTION("GOOGLETRANSLATE(H16, ""th"", ""en"")
"),"Your wind instruments start to shake, what should you do?")</f>
        <v>Your wind instruments start to shake, what should you do?</v>
      </c>
      <c r="C16" s="5" t="str">
        <f>IFERROR(__xludf.DUMMYFUNCTION("GOOGLETRANSLATE(I16, ""th"", ""en"")
"),"A) Use your hands to hold the wind instruments steady; B) Let the wind instruments swing until they stop; C) Try to force the wind instruments into a good position; D) Stop playing.")</f>
        <v>A) Use your hands to hold the wind instruments steady; B) Let the wind instruments swing until they stop; C) Try to force the wind instruments into a good position; D) Stop playing.</v>
      </c>
      <c r="D16" s="5" t="str">
        <f>IFERROR(__xludf.DUMMYFUNCTION("GOOGLETRANSLATE(J16, ""th"", ""en"")
"),"A) Use your hands to hold the wind instruments steady.")</f>
        <v>A) Use your hands to hold the wind instruments steady.</v>
      </c>
      <c r="E16" s="5" t="str">
        <f>IFERROR(__xludf.DUMMYFUNCTION("GOOGLETRANSLATE(K16, ""th"", ""en"")
"),"Using your hands to hold the wind instruments provides better control.")</f>
        <v>Using your hands to hold the wind instruments provides better control.</v>
      </c>
      <c r="G16" s="6">
        <v>15.0</v>
      </c>
      <c r="H16" s="7" t="s">
        <v>2135</v>
      </c>
      <c r="I16" s="7" t="s">
        <v>2136</v>
      </c>
      <c r="J16" s="7" t="s">
        <v>2137</v>
      </c>
      <c r="K16" s="7" t="s">
        <v>2138</v>
      </c>
    </row>
    <row r="17" ht="14.25" customHeight="1">
      <c r="A17" s="4">
        <v>16.0</v>
      </c>
      <c r="B17" s="5" t="str">
        <f>IFERROR(__xludf.DUMMYFUNCTION("GOOGLETRANSLATE(H17, ""th"", ""en"")
"),"Your opponent starts using unexpected tactics during the game. What will you do?")</f>
        <v>Your opponent starts using unexpected tactics during the game. What will you do?</v>
      </c>
      <c r="C17" s="5" t="str">
        <f>IFERROR(__xludf.DUMMYFUNCTION("GOOGLETRANSLATE(I17, ""th"", ""en"")
"),"A) Stop and rethink; B) Respond with a similar strategy; C) Assess the situation and respond; D) Try to get into his space.")</f>
        <v>A) Stop and rethink; B) Respond with a similar strategy; C) Assess the situation and respond; D) Try to get into his space.</v>
      </c>
      <c r="D17" s="5" t="str">
        <f>IFERROR(__xludf.DUMMYFUNCTION("GOOGLETRANSLATE(J17, ""th"", ""en"")
"),"C) Assess the situation and respond.")</f>
        <v>C) Assess the situation and respond.</v>
      </c>
      <c r="E17" s="5" t="str">
        <f>IFERROR(__xludf.DUMMYFUNCTION("GOOGLETRANSLATE(K17, ""th"", ""en"")
"),"Evaluating and responding to new strategies helps you maintain your advantage.")</f>
        <v>Evaluating and responding to new strategies helps you maintain your advantage.</v>
      </c>
      <c r="G17" s="6">
        <v>16.0</v>
      </c>
      <c r="H17" s="7" t="s">
        <v>2139</v>
      </c>
      <c r="I17" s="7" t="s">
        <v>2140</v>
      </c>
      <c r="J17" s="7" t="s">
        <v>2141</v>
      </c>
      <c r="K17" s="7" t="s">
        <v>2142</v>
      </c>
    </row>
    <row r="18" ht="14.25" customHeight="1">
      <c r="A18" s="4">
        <v>17.0</v>
      </c>
      <c r="B18" s="5" t="str">
        <f>IFERROR(__xludf.DUMMYFUNCTION("GOOGLETRANSLATE(H18, ""th"", ""en"")
"),"Your wind instrument got stuck on something in the field, what should you do?")</f>
        <v>Your wind instrument got stuck on something in the field, what should you do?</v>
      </c>
      <c r="C18" s="5" t="str">
        <f>IFERROR(__xludf.DUMMYFUNCTION("GOOGLETRANSLATE(I18, ""th"", ""en"")
"),"A) Try to pull the wind stick out; B) Notify the coach; C) Move away from the field; D) Try to release the wind stick.")</f>
        <v>A) Try to pull the wind stick out; B) Notify the coach; C) Move away from the field; D) Try to release the wind stick.</v>
      </c>
      <c r="D18" s="5" t="str">
        <f>IFERROR(__xludf.DUMMYFUNCTION("GOOGLETRANSLATE(J18, ""th"", ""en"")
"),"A) Try to pull out the wind stick.")</f>
        <v>A) Try to pull out the wind stick.</v>
      </c>
      <c r="E18" s="5" t="str">
        <f>IFERROR(__xludf.DUMMYFUNCTION("GOOGLETRANSLATE(K18, ""th"", ""en"")
"),"Immediate resolution of the issue allows gameplay to continue.")</f>
        <v>Immediate resolution of the issue allows gameplay to continue.</v>
      </c>
      <c r="G18" s="6">
        <v>17.0</v>
      </c>
      <c r="H18" s="7" t="s">
        <v>2143</v>
      </c>
      <c r="I18" s="7" t="s">
        <v>2144</v>
      </c>
      <c r="J18" s="7" t="s">
        <v>2145</v>
      </c>
      <c r="K18" s="7" t="s">
        <v>2146</v>
      </c>
    </row>
    <row r="19" ht="14.25" customHeight="1">
      <c r="A19" s="4">
        <v>18.0</v>
      </c>
      <c r="B19" s="5" t="str">
        <f>IFERROR(__xludf.DUMMYFUNCTION("GOOGLETRANSLATE(H19, ""th"", ""en"")
"),"Your opponent's wind stick is spinning and might fall out of your hand. What will you do?")</f>
        <v>Your opponent's wind stick is spinning and might fall out of your hand. What will you do?</v>
      </c>
      <c r="C19" s="5" t="str">
        <f>IFERROR(__xludf.DUMMYFUNCTION("GOOGLETRANSLATE(I19, ""th"", ""en"")
"),"A) Control the wind stick back into a good position; B) Let the wind stick fall; C) Retreat from the field; D) Attack his wind stick first.")</f>
        <v>A) Control the wind stick back into a good position; B) Let the wind stick fall; C) Retreat from the field; D) Attack his wind stick first.</v>
      </c>
      <c r="D19" s="5" t="str">
        <f>IFERROR(__xludf.DUMMYFUNCTION("GOOGLETRANSLATE(J19, ""th"", ""en"")
"),"A) Control the wind instruments to return to their proper position.")</f>
        <v>A) Control the wind instruments to return to their proper position.</v>
      </c>
      <c r="E19" s="5" t="str">
        <f>IFERROR(__xludf.DUMMYFUNCTION("GOOGLETRANSLATE(K19, ""th"", ""en"")
"),"Wood control")</f>
        <v>Wood control</v>
      </c>
      <c r="G19" s="6">
        <v>18.0</v>
      </c>
      <c r="H19" s="7" t="s">
        <v>2147</v>
      </c>
      <c r="I19" s="7" t="s">
        <v>2148</v>
      </c>
      <c r="J19" s="7" t="s">
        <v>2149</v>
      </c>
      <c r="K19" s="7" t="s">
        <v>2150</v>
      </c>
    </row>
    <row r="20" ht="14.25" customHeight="1">
      <c r="A20" s="4">
        <v>19.0</v>
      </c>
      <c r="B20" s="5" t="str">
        <f>IFERROR(__xludf.DUMMYFUNCTION("GOOGLETRANSLATE(H20, ""th"", ""en"")
"),"You feel like your wind instruments are starting to lose their balance, what should you do?")</f>
        <v>You feel like your wind instruments are starting to lose their balance, what should you do?</v>
      </c>
      <c r="C20" s="5" t="str">
        <f>IFERROR(__xludf.DUMMYFUNCTION("GOOGLETRANSLATE(I20, ""th"", ""en"")
"),"A) Stabilize your wind stick holding; B) Stop moving and wait for the wind to improve; C) Attack your opponent's wind stick instead; D) Change to a new wind stick.")</f>
        <v>A) Stabilize your wind stick holding; B) Stop moving and wait for the wind to improve; C) Attack your opponent's wind stick instead; D) Change to a new wind stick.</v>
      </c>
      <c r="D20" s="5" t="str">
        <f>IFERROR(__xludf.DUMMYFUNCTION("GOOGLETRANSLATE(J20, ""th"", ""en"")
"),"A) Adjust the holding of the wind instruments to be stable.")</f>
        <v>A) Adjust the holding of the wind instruments to be stable.</v>
      </c>
      <c r="E20" s="5" t="str">
        <f>IFERROR(__xludf.DUMMYFUNCTION("GOOGLETRANSLATE(K20, ""th"", ""en"")
"),"Adjusting your wind instrument holding posture helps increase stability while playing.")</f>
        <v>Adjusting your wind instrument holding posture helps increase stability while playing.</v>
      </c>
      <c r="G20" s="6">
        <v>19.0</v>
      </c>
      <c r="H20" s="7" t="s">
        <v>2151</v>
      </c>
      <c r="I20" s="7" t="s">
        <v>2152</v>
      </c>
      <c r="J20" s="7" t="s">
        <v>2153</v>
      </c>
      <c r="K20" s="7" t="s">
        <v>2154</v>
      </c>
    </row>
    <row r="21" ht="14.25" customHeight="1">
      <c r="A21" s="4">
        <v>20.0</v>
      </c>
      <c r="B21" s="5" t="str">
        <f>IFERROR(__xludf.DUMMYFUNCTION("GOOGLETRANSLATE(H21, ""th"", ""en"")
"),"You see your opponent preparing a wind stick to hit your wind stick, what do you do?")</f>
        <v>You see your opponent preparing a wind stick to hit your wind stick, what do you do?</v>
      </c>
      <c r="C21" s="5" t="str">
        <f>IFERROR(__xludf.DUMMYFUNCTION("GOOGLETRANSLATE(I21, ""th"", ""en"")
"),"A) Wait and see and dodge the blow; B) Hit back his blow; C) Run off the field; D) Apologize and surrender.")</f>
        <v>A) Wait and see and dodge the blow; B) Hit back his blow; C) Run off the field; D) Apologize and surrender.</v>
      </c>
      <c r="D21" s="5" t="str">
        <f>IFERROR(__xludf.DUMMYFUNCTION("GOOGLETRANSLATE(J21, ""th"", ""en"")
"),"B) Hit his wind stick back.")</f>
        <v>B) Hit his wind stick back.</v>
      </c>
      <c r="E21" s="5" t="str">
        <f>IFERROR(__xludf.DUMMYFUNCTION("GOOGLETRANSLATE(K21, ""th"", ""en"")
"),"Countering your opponent's wind moves helps prevent you from wasting your wind moves.")</f>
        <v>Countering your opponent's wind moves helps prevent you from wasting your wind moves.</v>
      </c>
      <c r="G21" s="6">
        <v>20.0</v>
      </c>
      <c r="H21" s="7" t="s">
        <v>2155</v>
      </c>
      <c r="I21" s="7" t="s">
        <v>2156</v>
      </c>
      <c r="J21" s="7" t="s">
        <v>2157</v>
      </c>
      <c r="K21" s="7" t="s">
        <v>2158</v>
      </c>
    </row>
    <row r="22" ht="14.25" customHeight="1">
      <c r="A22" s="4">
        <v>21.0</v>
      </c>
      <c r="B22" s="5" t="str">
        <f>IFERROR(__xludf.DUMMYFUNCTION("GOOGLETRANSLATE(H22, ""th"", ""en"")
"),"While playing, you feel that your opponent's strategy is becoming more effective. What should you do?")</f>
        <v>While playing, you feel that your opponent's strategy is becoming more effective. What should you do?</v>
      </c>
      <c r="C22" s="5" t="str">
        <f>IFERROR(__xludf.DUMMYFUNCTION("GOOGLETRANSLATE(I22, ""th"", ""en"")
"),"A) Change your strategy and counterattack; B) Wait for him to make a mistake; C) Take the baton from him; D) Quit playing.")</f>
        <v>A) Change your strategy and counterattack; B) Wait for him to make a mistake; C) Take the baton from him; D) Quit playing.</v>
      </c>
      <c r="D22" s="5" t="str">
        <f>IFERROR(__xludf.DUMMYFUNCTION("GOOGLETRANSLATE(J22, ""th"", ""en"")
"),"A) Change your own strategy and respond.")</f>
        <v>A) Change your own strategy and respond.</v>
      </c>
      <c r="E22" s="5" t="str">
        <f>IFERROR(__xludf.DUMMYFUNCTION("GOOGLETRANSLATE(K22, ""th"", ""en"")
"),"Strategic adjustments help you better cope with your competitors.")</f>
        <v>Strategic adjustments help you better cope with your competitors.</v>
      </c>
      <c r="G22" s="6">
        <v>21.0</v>
      </c>
      <c r="H22" s="7" t="s">
        <v>2159</v>
      </c>
      <c r="I22" s="7" t="s">
        <v>2160</v>
      </c>
      <c r="J22" s="7" t="s">
        <v>2161</v>
      </c>
      <c r="K22" s="7" t="s">
        <v>2162</v>
      </c>
    </row>
    <row r="23" ht="14.25" customHeight="1">
      <c r="A23" s="4">
        <v>22.0</v>
      </c>
      <c r="B23" s="5" t="str">
        <f>IFERROR(__xludf.DUMMYFUNCTION("GOOGLETRANSLATE(H23, ""th"", ""en"")
"),"You notice that your opponent's wind stick is about to hit your wind stick, what do you do?")</f>
        <v>You notice that your opponent's wind stick is about to hit your wind stick, what do you do?</v>
      </c>
      <c r="C23" s="5" t="str">
        <f>IFERROR(__xludf.DUMMYFUNCTION("GOOGLETRANSLATE(I23, ""th"", ""en"")
"),"A) Hit his wind stick back; B) Wait and hope he doesn't get hit by the wind stick; C) Try to avoid the wind sticks colliding; D) Stop playing.")</f>
        <v>A) Hit his wind stick back; B) Wait and hope he doesn't get hit by the wind stick; C) Try to avoid the wind sticks colliding; D) Stop playing.</v>
      </c>
      <c r="D23" s="5" t="str">
        <f>IFERROR(__xludf.DUMMYFUNCTION("GOOGLETRANSLATE(J23, ""th"", ""en"")
"),"C) Try to avoid the wind instruments colliding with each other.")</f>
        <v>C) Try to avoid the wind instruments colliding with each other.</v>
      </c>
      <c r="E23" s="5" t="str">
        <f>IFERROR(__xludf.DUMMYFUNCTION("GOOGLETRANSLATE(K23, ""th"", ""en"")
"),"Avoidance helps prevent the loss of wind wood.")</f>
        <v>Avoidance helps prevent the loss of wind wood.</v>
      </c>
      <c r="G23" s="6">
        <v>22.0</v>
      </c>
      <c r="H23" s="7" t="s">
        <v>2163</v>
      </c>
      <c r="I23" s="7" t="s">
        <v>2164</v>
      </c>
      <c r="J23" s="7" t="s">
        <v>2165</v>
      </c>
      <c r="K23" s="7" t="s">
        <v>2166</v>
      </c>
    </row>
    <row r="24" ht="14.25" customHeight="1">
      <c r="A24" s="4">
        <v>23.0</v>
      </c>
      <c r="B24" s="5" t="str">
        <f>IFERROR(__xludf.DUMMYFUNCTION("GOOGLETRANSLATE(H24, ""th"", ""en"")
"),"You see your wind instrument is about to break, what do you do?")</f>
        <v>You see your wind instrument is about to break, what do you do?</v>
      </c>
      <c r="C24" s="5" t="str">
        <f>IFERROR(__xludf.DUMMYFUNCTION("GOOGLETRANSLATE(I24, ""th"", ""en"")
"),"A) Quickly grasp the wind stick firmly and stop the movement; B) Immediately replace the wind stick; C) Release the wind stick; D) Inform the instructor.")</f>
        <v>A) Quickly grasp the wind stick firmly and stop the movement; B) Immediately replace the wind stick; C) Release the wind stick; D) Inform the instructor.</v>
      </c>
      <c r="D24" s="5" t="str">
        <f>IFERROR(__xludf.DUMMYFUNCTION("GOOGLETRANSLATE(J24, ""th"", ""en"")
"),"A) Quickly hold the wind stick firmly and stop the movement.")</f>
        <v>A) Quickly hold the wind stick firmly and stop the movement.</v>
      </c>
      <c r="E24" s="5" t="str">
        <f>IFERROR(__xludf.DUMMYFUNCTION("GOOGLETRANSLATE(K24, ""th"", ""en"")
"),"Holding the wind instruments firmly helps prevent them from breaking.")</f>
        <v>Holding the wind instruments firmly helps prevent them from breaking.</v>
      </c>
      <c r="G24" s="6">
        <v>23.0</v>
      </c>
      <c r="H24" s="7" t="s">
        <v>2167</v>
      </c>
      <c r="I24" s="7" t="s">
        <v>2168</v>
      </c>
      <c r="J24" s="7" t="s">
        <v>2169</v>
      </c>
      <c r="K24" s="7" t="s">
        <v>2170</v>
      </c>
    </row>
    <row r="25" ht="14.25" customHeight="1">
      <c r="A25" s="4">
        <v>24.0</v>
      </c>
      <c r="B25" s="5" t="str">
        <f>IFERROR(__xludf.DUMMYFUNCTION("GOOGLETRANSLATE(H25, ""th"", ""en"")
"),"You hear loud noises from the crowd while playing, what do you do?")</f>
        <v>You hear loud noises from the crowd while playing, what do you do?</v>
      </c>
      <c r="C25" s="5" t="str">
        <f>IFERROR(__xludf.DUMMYFUNCTION("GOOGLETRANSLATE(I25, ""th"", ""en"")
"),"A) Stay calm and focused; B) Turn to the crowd and respond; C) Call for a stoppage of play; D) Ignore the crowd and focus on the game.")</f>
        <v>A) Stay calm and focused; B) Turn to the crowd and respond; C) Call for a stoppage of play; D) Ignore the crowd and focus on the game.</v>
      </c>
      <c r="D25" s="5" t="str">
        <f>IFERROR(__xludf.DUMMYFUNCTION("GOOGLETRANSLATE(J25, ""th"", ""en"")
"),"D) Ignore the crowd and focus on the game.")</f>
        <v>D) Ignore the crowd and focus on the game.</v>
      </c>
      <c r="E25" s="5" t="str">
        <f>IFERROR(__xludf.DUMMYFUNCTION("GOOGLETRANSLATE(K25, ""th"", ""en"")
"),"Ignoring distractions allows you to focus on the game.")</f>
        <v>Ignoring distractions allows you to focus on the game.</v>
      </c>
      <c r="G25" s="6">
        <v>24.0</v>
      </c>
      <c r="H25" s="7" t="s">
        <v>2171</v>
      </c>
      <c r="I25" s="7" t="s">
        <v>2172</v>
      </c>
      <c r="J25" s="7" t="s">
        <v>2173</v>
      </c>
      <c r="K25" s="7" t="s">
        <v>2174</v>
      </c>
    </row>
    <row r="26" ht="14.25" customHeight="1">
      <c r="A26" s="4">
        <v>25.0</v>
      </c>
      <c r="B26" s="5" t="str">
        <f>IFERROR(__xludf.DUMMYFUNCTION("GOOGLETRANSLATE(H26, ""th"", ""en"")
"),"Your teammates are confused by your opponent's strategy. What will you do?")</f>
        <v>Your teammates are confused by your opponent's strategy. What will you do?</v>
      </c>
      <c r="C26" s="5" t="str">
        <f>IFERROR(__xludf.DUMMYFUNCTION("GOOGLETRANSLATE(I26, ""th"", ""en"")
"),"A) Help your teammate regain his confidence; B) Give him advice and adjust his strategy; C) Let him make his own decisions; D) Ignore the situation.")</f>
        <v>A) Help your teammate regain his confidence; B) Give him advice and adjust his strategy; C) Let him make his own decisions; D) Ignore the situation.</v>
      </c>
      <c r="D26" s="5" t="str">
        <f>IFERROR(__xludf.DUMMYFUNCTION("GOOGLETRANSLATE(J26, ""th"", ""en"")
"),"B) Provide advice and adjust strategies.")</f>
        <v>B) Provide advice and adjust strategies.</v>
      </c>
      <c r="E26" s="5" t="str">
        <f>IFERROR(__xludf.DUMMYFUNCTION("GOOGLETRANSLATE(K26, ""th"", ""en"")
"),"Helping your teammates adjust their strategies can help your team come back.")</f>
        <v>Helping your teammates adjust their strategies can help your team come back.</v>
      </c>
      <c r="G26" s="6">
        <v>25.0</v>
      </c>
      <c r="H26" s="7" t="s">
        <v>2175</v>
      </c>
      <c r="I26" s="7" t="s">
        <v>2176</v>
      </c>
      <c r="J26" s="7" t="s">
        <v>2177</v>
      </c>
      <c r="K26" s="7" t="s">
        <v>2178</v>
      </c>
    </row>
    <row r="27" ht="14.25" customHeight="1">
      <c r="A27" s="4">
        <v>26.0</v>
      </c>
      <c r="B27" s="5" t="str">
        <f>IFERROR(__xludf.DUMMYFUNCTION("GOOGLETRANSLATE(H27, ""th"", ""en"")
"),"During the race, you notice that the wind is getting stronger. What do you do?")</f>
        <v>During the race, you notice that the wind is getting stronger. What do you do?</v>
      </c>
      <c r="C27" s="5" t="str">
        <f>IFERROR(__xludf.DUMMYFUNCTION("GOOGLETRANSLATE(I27, ""th"", ""en"")
"),"A) Adjust the direction of the bat to suit the wind; B) Wait for the wind to calm down; C) Stop playing until informed by the coach; D) Change strategy immediately.")</f>
        <v>A) Adjust the direction of the bat to suit the wind; B) Wait for the wind to calm down; C) Stop playing until informed by the coach; D) Change strategy immediately.</v>
      </c>
      <c r="D27" s="5" t="str">
        <f>IFERROR(__xludf.DUMMYFUNCTION("GOOGLETRANSLATE(J27, ""th"", ""en"")
"),"A) Adjust the direction of the wind stick to suit the wind.")</f>
        <v>A) Adjust the direction of the wind stick to suit the wind.</v>
      </c>
      <c r="E27" s="5" t="str">
        <f>IFERROR(__xludf.DUMMYFUNCTION("GOOGLETRANSLATE(K27, ""th"", ""en"")
"),"Adjusting the direction of the wind instruments helps to keep the wind instruments from losing balance.")</f>
        <v>Adjusting the direction of the wind instruments helps to keep the wind instruments from losing balance.</v>
      </c>
      <c r="G27" s="6">
        <v>26.0</v>
      </c>
      <c r="H27" s="7" t="s">
        <v>2179</v>
      </c>
      <c r="I27" s="7" t="s">
        <v>2180</v>
      </c>
      <c r="J27" s="7" t="s">
        <v>2181</v>
      </c>
      <c r="K27" s="7" t="s">
        <v>2182</v>
      </c>
    </row>
    <row r="28" ht="14.25" customHeight="1">
      <c r="A28" s="4">
        <v>27.0</v>
      </c>
      <c r="B28" s="5" t="str">
        <f>IFERROR(__xludf.DUMMYFUNCTION("GOOGLETRANSLATE(H28, ""th"", ""en"")
"),"You see your opponent's wind instruments making impressive moves, what do you do?")</f>
        <v>You see your opponent's wind instruments making impressive moves, what do you do?</v>
      </c>
      <c r="C28" s="5" t="str">
        <f>IFERROR(__xludf.DUMMYFUNCTION("GOOGLETRANSLATE(I28, ""th"", ""en"")
"),"A) Try to imitate that strategy; B) Observe and find its weaknesses; C) Respond with a different strategy; D) Avoid retaliation.")</f>
        <v>A) Try to imitate that strategy; B) Observe and find its weaknesses; C) Respond with a different strategy; D) Avoid retaliation.</v>
      </c>
      <c r="D28" s="5" t="str">
        <f>IFERROR(__xludf.DUMMYFUNCTION("GOOGLETRANSLATE(J28, ""th"", ""en"")
"),"B) Observe and find weaknesses.")</f>
        <v>B) Observe and find weaknesses.</v>
      </c>
      <c r="E28" s="5" t="str">
        <f>IFERROR(__xludf.DUMMYFUNCTION("GOOGLETRANSLATE(K28, ""th"", ""en"")
"),"Observing your competitors helps you find their weaknesses and counter them.")</f>
        <v>Observing your competitors helps you find their weaknesses and counter them.</v>
      </c>
      <c r="G28" s="6">
        <v>27.0</v>
      </c>
      <c r="H28" s="7" t="s">
        <v>2183</v>
      </c>
      <c r="I28" s="7" t="s">
        <v>2184</v>
      </c>
      <c r="J28" s="7" t="s">
        <v>2185</v>
      </c>
      <c r="K28" s="7" t="s">
        <v>2186</v>
      </c>
    </row>
    <row r="29" ht="14.25" customHeight="1">
      <c r="A29" s="4">
        <v>28.0</v>
      </c>
      <c r="B29" s="5" t="str">
        <f>IFERROR(__xludf.DUMMYFUNCTION("GOOGLETRANSLATE(H29, ""th"", ""en"")
"),"During the game, you feel unsure, what should you do?")</f>
        <v>During the game, you feel unsure, what should you do?</v>
      </c>
      <c r="C29" s="5" t="str">
        <f>IFERROR(__xludf.DUMMYFUNCTION("GOOGLETRANSLATE(I29, ""th"", ""en"")
"),"A) Keep calm and try to think clearly; B) Ask the instructor to help; C) Change the wind stick; D) Stop moving and ask for a break.")</f>
        <v>A) Keep calm and try to think clearly; B) Ask the instructor to help; C) Change the wind stick; D) Stop moving and ask for a break.</v>
      </c>
      <c r="D29" s="5" t="str">
        <f>IFERROR(__xludf.DUMMYFUNCTION("GOOGLETRANSLATE(J29, ""th"", ""en"")
"),"A) Keep calm and try to think clearly.")</f>
        <v>A) Keep calm and try to think clearly.</v>
      </c>
      <c r="E29" s="5" t="str">
        <f>IFERROR(__xludf.DUMMYFUNCTION("GOOGLETRANSLATE(K29, ""th"", ""en"")
"),"Keeping calm helps you restore your confidence.")</f>
        <v>Keeping calm helps you restore your confidence.</v>
      </c>
      <c r="G29" s="6">
        <v>28.0</v>
      </c>
      <c r="H29" s="7" t="s">
        <v>2187</v>
      </c>
      <c r="I29" s="7" t="s">
        <v>2188</v>
      </c>
      <c r="J29" s="7" t="s">
        <v>2189</v>
      </c>
      <c r="K29" s="7" t="s">
        <v>2190</v>
      </c>
    </row>
    <row r="30" ht="14.25" customHeight="1">
      <c r="A30" s="4">
        <v>29.0</v>
      </c>
      <c r="B30" s="5" t="str">
        <f>IFERROR(__xludf.DUMMYFUNCTION("GOOGLETRANSLATE(H30, ""th"", ""en"")
"),"You notice that your competitors are starting to lose their balance. What do you do?")</f>
        <v>You notice that your competitors are starting to lose their balance. What do you do?</v>
      </c>
      <c r="C30" s="5" t="str">
        <f>IFERROR(__xludf.DUMMYFUNCTION("GOOGLETRANSLATE(I30, ""th"", ""en"")
"),"A) Take this opportunity to attack him; B) Wait for him to recover and continue playing; C) Help him to make the game fair; D) Avoid the attack.")</f>
        <v>A) Take this opportunity to attack him; B) Wait for him to recover and continue playing; C) Help him to make the game fair; D) Avoid the attack.</v>
      </c>
      <c r="D30" s="5" t="str">
        <f>IFERROR(__xludf.DUMMYFUNCTION("GOOGLETRANSLATE(J30, ""th"", ""en"")
"),"A) Take this opportunity to attack him.")</f>
        <v>A) Take this opportunity to attack him.</v>
      </c>
      <c r="E30" s="5" t="str">
        <f>IFERROR(__xludf.DUMMYFUNCTION("GOOGLETRANSLATE(K30, ""th"", ""en"")
"),"Attacking your opponent when he is off balance gives you an advantage.")</f>
        <v>Attacking your opponent when he is off balance gives you an advantage.</v>
      </c>
      <c r="G30" s="6">
        <v>29.0</v>
      </c>
      <c r="H30" s="7" t="s">
        <v>2191</v>
      </c>
      <c r="I30" s="7" t="s">
        <v>2192</v>
      </c>
      <c r="J30" s="7" t="s">
        <v>2193</v>
      </c>
      <c r="K30" s="7" t="s">
        <v>2194</v>
      </c>
    </row>
    <row r="31" ht="14.25" customHeight="1">
      <c r="A31" s="4">
        <v>30.0</v>
      </c>
      <c r="B31" s="5" t="str">
        <f>IFERROR(__xludf.DUMMYFUNCTION("GOOGLETRANSLATE(H31, ""th"", ""en"")
"),"You are hit by your opponent's wind stick, what do you do?")</f>
        <v>You are hit by your opponent's wind stick, what do you do?</v>
      </c>
      <c r="C31" s="5" t="str">
        <f>IFERROR(__xludf.DUMMYFUNCTION("GOOGLETRANSLATE(I31, ""th"", ""en"")
"),"A) Try to return the wind instruments to their original position; B) Request a replacement wind instruments; C) Stop playing and take a break; D) Inform the instructor.")</f>
        <v>A) Try to return the wind instruments to their original position; B) Request a replacement wind instruments; C) Stop playing and take a break; D) Inform the instructor.</v>
      </c>
      <c r="D31" s="5" t="str">
        <f>IFERROR(__xludf.DUMMYFUNCTION("GOOGLETRANSLATE(J31, ""th"", ""en"")
"),"A) Try to control the wind to return to its original position.")</f>
        <v>A) Try to control the wind to return to its original position.</v>
      </c>
      <c r="E31" s="5" t="str">
        <f>IFERROR(__xludf.DUMMYFUNCTION("GOOGLETRANSLATE(K31, ""th"", ""en"")
"),"Controlling the wind instruments allows the playing to continue.")</f>
        <v>Controlling the wind instruments allows the playing to continue.</v>
      </c>
      <c r="G31" s="6">
        <v>30.0</v>
      </c>
      <c r="H31" s="7" t="s">
        <v>2195</v>
      </c>
      <c r="I31" s="7" t="s">
        <v>2196</v>
      </c>
      <c r="J31" s="7" t="s">
        <v>2197</v>
      </c>
      <c r="K31" s="7" t="s">
        <v>2198</v>
      </c>
    </row>
    <row r="32" ht="14.25" customHeight="1">
      <c r="A32" s="4">
        <v>31.0</v>
      </c>
      <c r="B32" s="5" t="str">
        <f>IFERROR(__xludf.DUMMYFUNCTION("GOOGLETRANSLATE(H32, ""th"", ""en"")
"),"Your wind instrument is floating away from the circle, what should you do?")</f>
        <v>Your wind instrument is floating away from the circle, what should you do?</v>
      </c>
      <c r="C32" s="5" t="str">
        <f>IFERROR(__xludf.DUMMYFUNCTION("GOOGLETRANSLATE(I32, ""th"", ""en"")
"),"A) Run quickly to collect the wind stick; B) Ask the trainer to help; C) Let the wind stick float away on its own; D) Give up.")</f>
        <v>A) Run quickly to collect the wind stick; B) Ask the trainer to help; C) Let the wind stick float away on its own; D) Give up.</v>
      </c>
      <c r="D32" s="5" t="str">
        <f>IFERROR(__xludf.DUMMYFUNCTION("GOOGLETRANSLATE(J32, ""th"", ""en"")
"),"A) Hurry and run to collect the wind stick.")</f>
        <v>A) Hurry and run to collect the wind stick.</v>
      </c>
      <c r="E32" s="5" t="str">
        <f>IFERROR(__xludf.DUMMYFUNCTION("GOOGLETRANSLATE(K32, ""th"", ""en"")
"),"Quick movement brings the wind back into play.")</f>
        <v>Quick movement brings the wind back into play.</v>
      </c>
      <c r="G32" s="6">
        <v>31.0</v>
      </c>
      <c r="H32" s="7" t="s">
        <v>2199</v>
      </c>
      <c r="I32" s="7" t="s">
        <v>2200</v>
      </c>
      <c r="J32" s="7" t="s">
        <v>2201</v>
      </c>
      <c r="K32" s="7" t="s">
        <v>2202</v>
      </c>
    </row>
    <row r="33" ht="14.25" customHeight="1">
      <c r="A33" s="4">
        <v>32.0</v>
      </c>
      <c r="B33" s="5" t="str">
        <f>IFERROR(__xludf.DUMMYFUNCTION("GOOGLETRANSLATE(H33, ""th"", ""en"")
"),"You are competing in a windy place, what do you do?")</f>
        <v>You are competing in a windy place, what do you do?</v>
      </c>
      <c r="C33" s="5" t="str">
        <f>IFERROR(__xludf.DUMMYFUNCTION("GOOGLETRANSLATE(I33, ""th"", ""en"")
"),"A) Tighten your grip on the wind instruments; B) Stop playing until the wind calms down; C) Use a lighter wind instrument; D) Apologize and give up.")</f>
        <v>A) Tighten your grip on the wind instruments; B) Stop playing until the wind calms down; C) Use a lighter wind instrument; D) Apologize and give up.</v>
      </c>
      <c r="D33" s="5" t="str">
        <f>IFERROR(__xludf.DUMMYFUNCTION("GOOGLETRANSLATE(J33, ""th"", ""en"")
"),"A) Tighten the grip of the wind instruments.")</f>
        <v>A) Tighten the grip of the wind instruments.</v>
      </c>
      <c r="E33" s="5" t="str">
        <f>IFERROR(__xludf.DUMMYFUNCTION("GOOGLETRANSLATE(K33, ""th"", ""en"")
"),"A tighter grip on the wind instrument allows for better control in strong winds.")</f>
        <v>A tighter grip on the wind instrument allows for better control in strong winds.</v>
      </c>
      <c r="G33" s="6">
        <v>32.0</v>
      </c>
      <c r="H33" s="7" t="s">
        <v>2203</v>
      </c>
      <c r="I33" s="7" t="s">
        <v>2204</v>
      </c>
      <c r="J33" s="7" t="s">
        <v>2205</v>
      </c>
      <c r="K33" s="7" t="s">
        <v>2206</v>
      </c>
    </row>
    <row r="34" ht="14.25" customHeight="1">
      <c r="A34" s="4">
        <v>33.0</v>
      </c>
      <c r="B34" s="5" t="str">
        <f>IFERROR(__xludf.DUMMYFUNCTION("GOOGLETRANSLATE(H34, ""th"", ""en"")
"),"Your teammates can't predict your opponent's moves. What will you do?")</f>
        <v>Your teammates can't predict your opponent's moves. What will you do?</v>
      </c>
      <c r="C34" s="5" t="str">
        <f>IFERROR(__xludf.DUMMYFUNCTION("GOOGLETRANSLATE(I34, ""th"", ""en"")
"),"A) Give him additional advice and practice; B) Work alone without relying on teammates; C) Criticize him loudly; D) Let him try to adjust his own strategy.")</f>
        <v>A) Give him additional advice and practice; B) Work alone without relying on teammates; C) Criticize him loudly; D) Let him try to adjust his own strategy.</v>
      </c>
      <c r="D34" s="5" t="str">
        <f>IFERROR(__xludf.DUMMYFUNCTION("GOOGLETRANSLATE(J34, ""th"", ""en"")
"),"A) Provide additional guidance and training.")</f>
        <v>A) Provide additional guidance and training.</v>
      </c>
      <c r="E34" s="5" t="str">
        <f>IFERROR(__xludf.DUMMYFUNCTION("GOOGLETRANSLATE(K34, ""th"", ""en"")
"),"Providing guidance helps improve team coordination.")</f>
        <v>Providing guidance helps improve team coordination.</v>
      </c>
      <c r="G34" s="6">
        <v>33.0</v>
      </c>
      <c r="H34" s="7" t="s">
        <v>2207</v>
      </c>
      <c r="I34" s="7" t="s">
        <v>2208</v>
      </c>
      <c r="J34" s="7" t="s">
        <v>2209</v>
      </c>
      <c r="K34" s="7" t="s">
        <v>2210</v>
      </c>
    </row>
    <row r="35" ht="14.25" customHeight="1">
      <c r="A35" s="4">
        <v>34.0</v>
      </c>
      <c r="B35" s="5" t="str">
        <f>IFERROR(__xludf.DUMMYFUNCTION("GOOGLETRANSLATE(H35, ""th"", ""en"")
"),"You find that your wind instruments are not very accurate. What should you do?")</f>
        <v>You find that your wind instruments are not very accurate. What should you do?</v>
      </c>
      <c r="C35" s="5" t="str">
        <f>IFERROR(__xludf.DUMMYFUNCTION("GOOGLETRANSLATE(I35, ""th"", ""en"")
"),"A) Practice hitting more; B) Change the wind instrument; C) Wait for the situation to be resolved; D) Stop playing.")</f>
        <v>A) Practice hitting more; B) Change the wind instrument; C) Wait for the situation to be resolved; D) Stop playing.</v>
      </c>
      <c r="D35" s="5" t="str">
        <f>IFERROR(__xludf.DUMMYFUNCTION("GOOGLETRANSLATE(J35, ""th"", ""en"")
"),"A) Practice hitting more.")</f>
        <v>A) Practice hitting more.</v>
      </c>
      <c r="E35" s="5" t="str">
        <f>IFERROR(__xludf.DUMMYFUNCTION("GOOGLETRANSLATE(K35, ""th"", ""en"")
"),"Practice helps develop skills and increase accuracy.")</f>
        <v>Practice helps develop skills and increase accuracy.</v>
      </c>
      <c r="G35" s="6">
        <v>34.0</v>
      </c>
      <c r="H35" s="7" t="s">
        <v>2211</v>
      </c>
      <c r="I35" s="7" t="s">
        <v>2212</v>
      </c>
      <c r="J35" s="7" t="s">
        <v>2213</v>
      </c>
      <c r="K35" s="7" t="s">
        <v>2214</v>
      </c>
    </row>
    <row r="36" ht="14.25" customHeight="1">
      <c r="A36" s="4">
        <v>35.0</v>
      </c>
      <c r="B36" s="5" t="str">
        <f>IFERROR(__xludf.DUMMYFUNCTION("GOOGLETRANSLATE(H36, ""th"", ""en"")
"),"You see your competitors using new and never-before-seen strategies. What do you do?")</f>
        <v>You see your competitors using new and never-before-seen strategies. What do you do?</v>
      </c>
      <c r="C36" s="5" t="str">
        <f>IFERROR(__xludf.DUMMYFUNCTION("GOOGLETRANSLATE(I36, ""th"", ""en"")
"),"A) Try to understand his strategy and counter it; B) Avoid playing with him; C) Follow his strategy; D) Apologize and give up.")</f>
        <v>A) Try to understand his strategy and counter it; B) Avoid playing with him; C) Follow his strategy; D) Apologize and give up.</v>
      </c>
      <c r="D36" s="5" t="str">
        <f>IFERROR(__xludf.DUMMYFUNCTION("GOOGLETRANSLATE(J36, ""th"", ""en"")
"),"A) Try to understand the strategy and respond.")</f>
        <v>A) Try to understand the strategy and respond.</v>
      </c>
      <c r="E36" s="5" t="str">
        <f>IFERROR(__xludf.DUMMYFUNCTION("GOOGLETRANSLATE(K36, ""th"", ""en"")
"),"Adapting and responding to new strategies can help you cope.")</f>
        <v>Adapting and responding to new strategies can help you cope.</v>
      </c>
      <c r="G36" s="6">
        <v>35.0</v>
      </c>
      <c r="H36" s="7" t="s">
        <v>2215</v>
      </c>
      <c r="I36" s="7" t="s">
        <v>2216</v>
      </c>
      <c r="J36" s="7" t="s">
        <v>2217</v>
      </c>
      <c r="K36" s="7" t="s">
        <v>2218</v>
      </c>
    </row>
    <row r="37" ht="14.25" customHeight="1">
      <c r="A37" s="4">
        <v>36.0</v>
      </c>
      <c r="B37" s="5" t="str">
        <f>IFERROR(__xludf.DUMMYFUNCTION("GOOGLETRANSLATE(H37, ""th"", ""en"")
"),"You feel that the situation is getting more difficult, what will you do?")</f>
        <v>You feel that the situation is getting more difficult, what will you do?</v>
      </c>
      <c r="C37" s="5" t="str">
        <f>IFERROR(__xludf.DUMMYFUNCTION("GOOGLETRANSLATE(I37, ""th"", ""en"")
"),"A) Keep calm and try to control the game; B) Ask the coach for help; C) Stop playing; D) Attack the opponent immediately.")</f>
        <v>A) Keep calm and try to control the game; B) Ask the coach for help; C) Stop playing; D) Attack the opponent immediately.</v>
      </c>
      <c r="D37" s="5" t="str">
        <f>IFERROR(__xludf.DUMMYFUNCTION("GOOGLETRANSLATE(J37, ""th"", ""en"")
"),"A) Keep calm and try to control the game.")</f>
        <v>A) Keep calm and try to control the game.</v>
      </c>
      <c r="E37" s="5" t="str">
        <f>IFERROR(__xludf.DUMMYFUNCTION("GOOGLETRANSLATE(K37, ""th"", ""en"")
"),"Keeping calm allows you to make better decisions.")</f>
        <v>Keeping calm allows you to make better decisions.</v>
      </c>
      <c r="G37" s="6">
        <v>36.0</v>
      </c>
      <c r="H37" s="7" t="s">
        <v>2219</v>
      </c>
      <c r="I37" s="7" t="s">
        <v>2220</v>
      </c>
      <c r="J37" s="7" t="s">
        <v>2221</v>
      </c>
      <c r="K37" s="7" t="s">
        <v>2222</v>
      </c>
    </row>
    <row r="38" ht="14.25" customHeight="1">
      <c r="A38" s="4">
        <v>37.0</v>
      </c>
      <c r="B38" s="5" t="str">
        <f>IFERROR(__xludf.DUMMYFUNCTION("GOOGLETRANSLATE(H38, ""th"", ""en"")
"),"Your opponent's wind stick almost hit your wind stick, what do you do?")</f>
        <v>Your opponent's wind stick almost hit your wind stick, what do you do?</v>
      </c>
      <c r="C38" s="5" t="str">
        <f>IFERROR(__xludf.DUMMYFUNCTION("GOOGLETRANSLATE(I38, ""th"", ""en"")
"),"A) Avoid being hit by the wind stick; B) Hit his wind stick back; C) Let the wind stick go by itself; D) Wait for him to miss.")</f>
        <v>A) Avoid being hit by the wind stick; B) Hit his wind stick back; C) Let the wind stick go by itself; D) Wait for him to miss.</v>
      </c>
      <c r="D38" s="5" t="str">
        <f>IFERROR(__xludf.DUMMYFUNCTION("GOOGLETRANSLATE(J38, ""th"", ""en"")
"),"A) Avoid being hit by wind.")</f>
        <v>A) Avoid being hit by wind.</v>
      </c>
      <c r="E38" s="5" t="str">
        <f>IFERROR(__xludf.DUMMYFUNCTION("GOOGLETRANSLATE(K38, ""th"", ""en"")
"),"Avoiding this will help keep your wind instruments from becoming unbalanced.")</f>
        <v>Avoiding this will help keep your wind instruments from becoming unbalanced.</v>
      </c>
      <c r="G38" s="6">
        <v>37.0</v>
      </c>
      <c r="H38" s="7" t="s">
        <v>2223</v>
      </c>
      <c r="I38" s="7" t="s">
        <v>2224</v>
      </c>
      <c r="J38" s="7" t="s">
        <v>2225</v>
      </c>
      <c r="K38" s="7" t="s">
        <v>2226</v>
      </c>
    </row>
    <row r="39" ht="14.25" customHeight="1">
      <c r="A39" s="4">
        <v>38.0</v>
      </c>
      <c r="B39" s="5" t="str">
        <f>IFERROR(__xludf.DUMMYFUNCTION("GOOGLETRANSLATE(H39, ""th"", ""en"")
"),"Your opponent uses a better wind instrument than you. What will you do?")</f>
        <v>Your opponent uses a better wind instrument than you. What will you do?</v>
      </c>
      <c r="C39" s="5" t="str">
        <f>IFERROR(__xludf.DUMMYFUNCTION("GOOGLETRANSLATE(I39, ""th"", ""en"")
"),"A) Use superior skills and strategies instead of wind instruments; B) Use new, similar wind instruments; C) Adjust your own game; D) Apologize and give up.")</f>
        <v>A) Use superior skills and strategies instead of wind instruments; B) Use new, similar wind instruments; C) Adjust your own game; D) Apologize and give up.</v>
      </c>
      <c r="D39" s="5" t="str">
        <f>IFERROR(__xludf.DUMMYFUNCTION("GOOGLETRANSLATE(J39, ""th"", ""en"")
"),"A) Use superior skills and strategies instead of wind instruments.")</f>
        <v>A) Use superior skills and strategies instead of wind instruments.</v>
      </c>
      <c r="E39" s="5" t="str">
        <f>IFERROR(__xludf.DUMMYFUNCTION("GOOGLETRANSLATE(K39, ""th"", ""en"")
"),"Using skills helps enhance competitiveness.")</f>
        <v>Using skills helps enhance competitiveness.</v>
      </c>
      <c r="G39" s="6">
        <v>38.0</v>
      </c>
      <c r="H39" s="7" t="s">
        <v>2227</v>
      </c>
      <c r="I39" s="7" t="s">
        <v>2228</v>
      </c>
      <c r="J39" s="7" t="s">
        <v>2229</v>
      </c>
      <c r="K39" s="7" t="s">
        <v>2230</v>
      </c>
    </row>
    <row r="40" ht="14.25" customHeight="1">
      <c r="A40" s="4">
        <v>39.0</v>
      </c>
      <c r="B40" s="5" t="str">
        <f>IFERROR(__xludf.DUMMYFUNCTION("GOOGLETRANSLATE(H40, ""th"", ""en"")
"),"Playing in a crowded stadium makes you feel pressured. What do you do?")</f>
        <v>Playing in a crowded stadium makes you feel pressured. What do you do?</v>
      </c>
      <c r="C40" s="5" t="str">
        <f>IFERROR(__xludf.DUMMYFUNCTION("GOOGLETRANSLATE(I40, ""th"", ""en"")
"),"A) Stay focused and focused on the game; B) Avoid looking at the audience; C) Apologize and give up; D) Stop playing immediately.")</f>
        <v>A) Stay focused and focused on the game; B) Avoid looking at the audience; C) Apologize and give up; D) Stop playing immediately.</v>
      </c>
      <c r="D40" s="5" t="str">
        <f>IFERROR(__xludf.DUMMYFUNCTION("GOOGLETRANSLATE(J40, ""th"", ""en"")
"),"A) Be focused and focused on the game.")</f>
        <v>A) Be focused and focused on the game.</v>
      </c>
      <c r="E40" s="5" t="str">
        <f>IFERROR(__xludf.DUMMYFUNCTION("GOOGLETRANSLATE(K40, ""th"", ""en"")
"),"Ignoring distractions allows you to focus on playing.")</f>
        <v>Ignoring distractions allows you to focus on playing.</v>
      </c>
      <c r="G40" s="6">
        <v>39.0</v>
      </c>
      <c r="H40" s="7" t="s">
        <v>2231</v>
      </c>
      <c r="I40" s="7" t="s">
        <v>2232</v>
      </c>
      <c r="J40" s="7" t="s">
        <v>2233</v>
      </c>
      <c r="K40" s="7" t="s">
        <v>2234</v>
      </c>
    </row>
    <row r="41" ht="14.25" customHeight="1">
      <c r="A41" s="4">
        <v>40.0</v>
      </c>
      <c r="B41" s="5" t="str">
        <f>IFERROR(__xludf.DUMMYFUNCTION("GOOGLETRANSLATE(H41, ""th"", ""en"")
"),"You are attacked by your opponent's wind stick during a match, what do you do?")</f>
        <v>You are attacked by your opponent's wind stick during a match, what do you do?</v>
      </c>
      <c r="C41" s="5" t="str">
        <f>IFERROR(__xludf.DUMMYFUNCTION("GOOGLETRANSLATE(I41, ""th"", ""en"")
"),"A) Take this opportunity to respond; B) Avoid and wait and see; C) Request correction from the coach; D) Stop playing.")</f>
        <v>A) Take this opportunity to respond; B) Avoid and wait and see; C) Request correction from the coach; D) Stop playing.</v>
      </c>
      <c r="D41" s="5" t="str">
        <f>IFERROR(__xludf.DUMMYFUNCTION("GOOGLETRANSLATE(J41, ""th"", ""en"")
"),"A) Take this opportunity to respond.")</f>
        <v>A) Take this opportunity to respond.</v>
      </c>
      <c r="E41" s="5" t="str">
        <f>IFERROR(__xludf.DUMMYFUNCTION("GOOGLETRANSLATE(K41, ""th"", ""en"")
"),"Countering increases your chances of controlling the game.")</f>
        <v>Countering increases your chances of controlling the game.</v>
      </c>
      <c r="G41" s="6">
        <v>40.0</v>
      </c>
      <c r="H41" s="7" t="s">
        <v>2235</v>
      </c>
      <c r="I41" s="7" t="s">
        <v>2236</v>
      </c>
      <c r="J41" s="7" t="s">
        <v>2237</v>
      </c>
      <c r="K41" s="7" t="s">
        <v>2238</v>
      </c>
    </row>
    <row r="42" ht="14.25" customHeight="1">
      <c r="A42" s="4">
        <v>41.0</v>
      </c>
      <c r="B42" s="5" t="str">
        <f>IFERROR(__xludf.DUMMYFUNCTION("GOOGLETRANSLATE(H42, ""th"", ""en"")
"),"Your wind instrument is out of balance and is starting to slip out of your hand. What should you do?")</f>
        <v>Your wind instrument is out of balance and is starting to slip out of your hand. What should you do?</v>
      </c>
      <c r="C42" s="5" t="str">
        <f>IFERROR(__xludf.DUMMYFUNCTION("GOOGLETRANSLATE(I42, ""th"", ""en"")
"),"A) Quickly grab the wind stick back; B) Let go of the wind stick; C) Apologize and give up; D) Wait and see.")</f>
        <v>A) Quickly grab the wind stick back; B) Let go of the wind stick; C) Apologize and give up; D) Wait and see.</v>
      </c>
      <c r="D42" s="5" t="str">
        <f>IFERROR(__xludf.DUMMYFUNCTION("GOOGLETRANSLATE(J42, ""th"", ""en"")
"),"A) Quickly grab the wind stick and come back.")</f>
        <v>A) Quickly grab the wind stick and come back.</v>
      </c>
      <c r="E42" s="5" t="str">
        <f>IFERROR(__xludf.DUMMYFUNCTION("GOOGLETRANSLATE(K42, ""th"", ""en"")
"),"Quickly controlling the wind stick gets you back in the game.")</f>
        <v>Quickly controlling the wind stick gets you back in the game.</v>
      </c>
      <c r="G42" s="6">
        <v>41.0</v>
      </c>
      <c r="H42" s="7" t="s">
        <v>2239</v>
      </c>
      <c r="I42" s="7" t="s">
        <v>2240</v>
      </c>
      <c r="J42" s="7" t="s">
        <v>2241</v>
      </c>
      <c r="K42" s="7" t="s">
        <v>2242</v>
      </c>
    </row>
    <row r="43" ht="14.25" customHeight="1">
      <c r="A43" s="4">
        <v>42.0</v>
      </c>
      <c r="B43" s="5" t="str">
        <f>IFERROR(__xludf.DUMMYFUNCTION("GOOGLETRANSLATE(H43, ""th"", ""en"")
"),"You feel that the weight of the wood is too heavy for you, what do you do?")</f>
        <v>You feel that the weight of the wood is too heavy for you, what do you do?</v>
      </c>
      <c r="C43" s="5" t="str">
        <f>IFERROR(__xludf.DUMMYFUNCTION("GOOGLETRANSLATE(I43, ""th"", ""en"")
"),"A) Change to a lighter wind instrument; B) Adjust your wind instrument holding posture; C) Use skills to increase strength; D) Stop playing.")</f>
        <v>A) Change to a lighter wind instrument; B) Adjust your wind instrument holding posture; C) Use skills to increase strength; D) Stop playing.</v>
      </c>
      <c r="D43" s="5" t="str">
        <f>IFERROR(__xludf.DUMMYFUNCTION("GOOGLETRANSLATE(J43, ""th"", ""en"")
"),"B) Adjust the posture of holding the wind instruments.")</f>
        <v>B) Adjust the posture of holding the wind instruments.</v>
      </c>
      <c r="E43" s="5" t="str">
        <f>IFERROR(__xludf.DUMMYFUNCTION("GOOGLETRANSLATE(K43, ""th"", ""en"")
"),"Posture adjustments provide better control.")</f>
        <v>Posture adjustments provide better control.</v>
      </c>
      <c r="G43" s="6">
        <v>42.0</v>
      </c>
      <c r="H43" s="7" t="s">
        <v>2243</v>
      </c>
      <c r="I43" s="7" t="s">
        <v>2244</v>
      </c>
      <c r="J43" s="7" t="s">
        <v>2245</v>
      </c>
      <c r="K43" s="7" t="s">
        <v>2246</v>
      </c>
    </row>
    <row r="44" ht="14.25" customHeight="1">
      <c r="A44" s="4">
        <v>43.0</v>
      </c>
      <c r="B44" s="5" t="str">
        <f>IFERROR(__xludf.DUMMYFUNCTION("GOOGLETRANSLATE(H44, ""th"", ""en"")
"),"You see your opponent using a very powerful attack, what do you do?")</f>
        <v>You see your opponent using a very powerful attack, what do you do?</v>
      </c>
      <c r="C44" s="5" t="str">
        <f>IFERROR(__xludf.DUMMYFUNCTION("GOOGLETRANSLATE(I44, ""th"", ""en"")
"),"A) Avoid the attack and wait for him to make a mistake; B) Hit his bat back; C) Counter with a stronger attack; D) Stop playing.")</f>
        <v>A) Avoid the attack and wait for him to make a mistake; B) Hit his bat back; C) Counter with a stronger attack; D) Stop playing.</v>
      </c>
      <c r="D44" s="5" t="str">
        <f>IFERROR(__xludf.DUMMYFUNCTION("GOOGLETRANSLATE(J44, ""th"", ""en"")
"),"A) Avoid the attack and wait for him to make a mistake.")</f>
        <v>A) Avoid the attack and wait for him to make a mistake.</v>
      </c>
      <c r="E44" s="5" t="str">
        <f>IFERROR(__xludf.DUMMYFUNCTION("GOOGLETRANSLATE(K44, ""th"", ""en"")
"),"Avoidance helps you avoid losing control.")</f>
        <v>Avoidance helps you avoid losing control.</v>
      </c>
      <c r="G44" s="6">
        <v>43.0</v>
      </c>
      <c r="H44" s="7" t="s">
        <v>2247</v>
      </c>
      <c r="I44" s="7" t="s">
        <v>2248</v>
      </c>
      <c r="J44" s="7" t="s">
        <v>2249</v>
      </c>
      <c r="K44" s="7" t="s">
        <v>2250</v>
      </c>
    </row>
    <row r="45" ht="14.25" customHeight="1">
      <c r="A45" s="4">
        <v>44.0</v>
      </c>
      <c r="B45" s="5" t="str">
        <f>IFERROR(__xludf.DUMMYFUNCTION("GOOGLETRANSLATE(H45, ""th"", ""en"")
"),"While playing, you notice that your opponent's wind instruments are more stable than yours. What do you do?")</f>
        <v>While playing, you notice that your opponent's wind instruments are more stable than yours. What do you do?</v>
      </c>
      <c r="C45" s="5" t="str">
        <f>IFERROR(__xludf.DUMMYFUNCTION("GOOGLETRANSLATE(I45, ""th"", ""en"")
"),"A) Try to find a way to stabilize and adjust your strategy; B) Use a heavier wind instrument; C) Stop playing and take a break; D) Wait for an opportunity to attack.")</f>
        <v>A) Try to find a way to stabilize and adjust your strategy; B) Use a heavier wind instrument; C) Stop playing and take a break; D) Wait for an opportunity to attack.</v>
      </c>
      <c r="D45" s="5" t="str">
        <f>IFERROR(__xludf.DUMMYFUNCTION("GOOGLETRANSLATE(J45, ""th"", ""en"")
"),"A) Try to find a stable way and adjust the strategy.")</f>
        <v>A) Try to find a stable way and adjust the strategy.</v>
      </c>
      <c r="E45" s="5" t="str">
        <f>IFERROR(__xludf.DUMMYFUNCTION("GOOGLETRANSLATE(K45, ""th"", ""en"")
"),"Strategic adjustments improve gameplay.")</f>
        <v>Strategic adjustments improve gameplay.</v>
      </c>
      <c r="G45" s="6">
        <v>44.0</v>
      </c>
      <c r="H45" s="7" t="s">
        <v>2251</v>
      </c>
      <c r="I45" s="7" t="s">
        <v>2252</v>
      </c>
      <c r="J45" s="7" t="s">
        <v>2253</v>
      </c>
      <c r="K45" s="7" t="s">
        <v>2254</v>
      </c>
    </row>
    <row r="46" ht="14.25" customHeight="1">
      <c r="A46" s="4">
        <v>45.0</v>
      </c>
      <c r="B46" s="5" t="str">
        <f>IFERROR(__xludf.DUMMYFUNCTION("GOOGLETRANSLATE(H46, ""th"", ""en"")
"),"You've been trained by your coaches and feel confident. What will you do in the next game?")</f>
        <v>You've been trained by your coaches and feel confident. What will you do in the next game?</v>
      </c>
      <c r="C46" s="5" t="str">
        <f>IFERROR(__xludf.DUMMYFUNCTION("GOOGLETRANSLATE(I46, ""th"", ""en"")
"),"A) Play with confidence and learned skills; B) Play carefully; C) Ask a coach for help; D) Avoid playing.")</f>
        <v>A) Play with confidence and learned skills; B) Play carefully; C) Ask a coach for help; D) Avoid playing.</v>
      </c>
      <c r="D46" s="5" t="str">
        <f>IFERROR(__xludf.DUMMYFUNCTION("GOOGLETRANSLATE(J46, ""th"", ""en"")
"),"A) Play with confidence and the skills you have learned.")</f>
        <v>A) Play with confidence and the skills you have learned.</v>
      </c>
      <c r="E46" s="5" t="str">
        <f>IFERROR(__xludf.DUMMYFUNCTION("GOOGLETRANSLATE(K46, ""th"", ""en"")
"),"Confidence in playing helps improve skills.")</f>
        <v>Confidence in playing helps improve skills.</v>
      </c>
      <c r="G46" s="6">
        <v>45.0</v>
      </c>
      <c r="H46" s="7" t="s">
        <v>2255</v>
      </c>
      <c r="I46" s="7" t="s">
        <v>2256</v>
      </c>
      <c r="J46" s="7" t="s">
        <v>2257</v>
      </c>
      <c r="K46" s="7" t="s">
        <v>2258</v>
      </c>
    </row>
    <row r="47" ht="14.25" customHeight="1">
      <c r="A47" s="4">
        <v>46.0</v>
      </c>
      <c r="B47" s="5" t="str">
        <f>IFERROR(__xludf.DUMMYFUNCTION("GOOGLETRANSLATE(H47, ""th"", ""en"")
"),"You see your opponent's wind stick is very similar to your wind stick, what do you do?")</f>
        <v>You see your opponent's wind stick is very similar to your wind stick, what do you do?</v>
      </c>
      <c r="C47" s="5" t="str">
        <f>IFERROR(__xludf.DUMMYFUNCTION("GOOGLETRANSLATE(I47, ""th"", ""en"")
"),"A) Use evasion and wait and see; B) Hit his bat back; C) Stop play immediately; D) Notify the coach.")</f>
        <v>A) Use evasion and wait and see; B) Hit his bat back; C) Stop play immediately; D) Notify the coach.</v>
      </c>
      <c r="D47" s="5" t="str">
        <f>IFERROR(__xludf.DUMMYFUNCTION("GOOGLETRANSLATE(J47, ""th"", ""en"")
"),"A) Use evasion and wait and see.")</f>
        <v>A) Use evasion and wait and see.</v>
      </c>
      <c r="E47" s="5" t="str">
        <f>IFERROR(__xludf.DUMMYFUNCTION("GOOGLETRANSLATE(K47, ""th"", ""en"")
"),"Evasion prevents the windmills from colliding with each other.")</f>
        <v>Evasion prevents the windmills from colliding with each other.</v>
      </c>
      <c r="G47" s="6">
        <v>46.0</v>
      </c>
      <c r="H47" s="7" t="s">
        <v>2259</v>
      </c>
      <c r="I47" s="7" t="s">
        <v>2260</v>
      </c>
      <c r="J47" s="7" t="s">
        <v>2261</v>
      </c>
      <c r="K47" s="7" t="s">
        <v>2262</v>
      </c>
    </row>
    <row r="48" ht="14.25" customHeight="1">
      <c r="A48" s="4">
        <v>47.0</v>
      </c>
      <c r="B48" s="5" t="str">
        <f>IFERROR(__xludf.DUMMYFUNCTION("GOOGLETRANSLATE(H48, ""th"", ""en"")
"),"In a competition, you find that your opponent's strategy is starting to take effect. What do you do?")</f>
        <v>In a competition, you find that your opponent's strategy is starting to take effect. What do you do?</v>
      </c>
      <c r="C48" s="5" t="str">
        <f>IFERROR(__xludf.DUMMYFUNCTION("GOOGLETRANSLATE(I48, ""th"", ""en"")
"),"A) Adjust your strategy accordingly; B) Avoid counterattacks; C) Hit him back with a wind stick; D) Stop moving.")</f>
        <v>A) Adjust your strategy accordingly; B) Avoid counterattacks; C) Hit him back with a wind stick; D) Stop moving.</v>
      </c>
      <c r="D48" s="5" t="str">
        <f>IFERROR(__xludf.DUMMYFUNCTION("GOOGLETRANSLATE(J48, ""th"", ""en"")
"),"A) Optimize your strategy.")</f>
        <v>A) Optimize your strategy.</v>
      </c>
      <c r="E48" s="5" t="str">
        <f>IFERROR(__xludf.DUMMYFUNCTION("GOOGLETRANSLATE(K48, ""th"", ""en"")
"),"Adjusting your strategy in time gives you a better chance of winning.")</f>
        <v>Adjusting your strategy in time gives you a better chance of winning.</v>
      </c>
      <c r="G48" s="6">
        <v>47.0</v>
      </c>
      <c r="H48" s="7" t="s">
        <v>2263</v>
      </c>
      <c r="I48" s="7" t="s">
        <v>2264</v>
      </c>
      <c r="J48" s="7" t="s">
        <v>2265</v>
      </c>
      <c r="K48" s="7" t="s">
        <v>2266</v>
      </c>
    </row>
    <row r="49" ht="14.25" customHeight="1">
      <c r="A49" s="4">
        <v>48.0</v>
      </c>
      <c r="B49" s="5" t="str">
        <f>IFERROR(__xludf.DUMMYFUNCTION("GOOGLETRANSLATE(H49, ""th"", ""en"")
"),"Your wind instrument almost slips out of your hand while playing. What do you do?")</f>
        <v>Your wind instrument almost slips out of your hand while playing. What do you do?</v>
      </c>
      <c r="C49" s="5" t="str">
        <f>IFERROR(__xludf.DUMMYFUNCTION("GOOGLETRANSLATE(I49, ""th"", ""en"")
"),"A) Quickly hold the wind stick firmly; B) Stop playing and ask for a break; C) Let the wind stick fall; D) Notify the coach.")</f>
        <v>A) Quickly hold the wind stick firmly; B) Stop playing and ask for a break; C) Let the wind stick fall; D) Notify the coach.</v>
      </c>
      <c r="D49" s="5" t="str">
        <f>IFERROR(__xludf.DUMMYFUNCTION("GOOGLETRANSLATE(J49, ""th"", ""en"")
"),"A) Quickly hold the wind stick firmly.")</f>
        <v>A) Quickly hold the wind stick firmly.</v>
      </c>
      <c r="E49" s="5" t="str">
        <f>IFERROR(__xludf.DUMMYFUNCTION("GOOGLETRANSLATE(K49, ""th"", ""en"")
"),"Controlling the wind instruments helps to keep the playing smooth.")</f>
        <v>Controlling the wind instruments helps to keep the playing smooth.</v>
      </c>
      <c r="G49" s="6">
        <v>48.0</v>
      </c>
      <c r="H49" s="7" t="s">
        <v>2267</v>
      </c>
      <c r="I49" s="7" t="s">
        <v>2268</v>
      </c>
      <c r="J49" s="7" t="s">
        <v>2269</v>
      </c>
      <c r="K49" s="7" t="s">
        <v>2270</v>
      </c>
    </row>
    <row r="50" ht="14.25" customHeight="1">
      <c r="A50" s="4">
        <v>49.0</v>
      </c>
      <c r="B50" s="5" t="str">
        <f>IFERROR(__xludf.DUMMYFUNCTION("GOOGLETRANSLATE(H50, ""th"", ""en"")
"),"During the competition, you feel unwell, what do you do?")</f>
        <v>During the competition, you feel unwell, what do you do?</v>
      </c>
      <c r="C50" s="5" t="str">
        <f>IFERROR(__xludf.DUMMYFUNCTION("GOOGLETRANSLATE(I50, ""th"", ""en"")
"),"A) Ask for a break and observe the player; B) Continue playing and ignore him; C) Ask the coach to intervene; D) Stop the game immediately.")</f>
        <v>A) Ask for a break and observe the player; B) Continue playing and ignore him; C) Ask the coach to intervene; D) Stop the game immediately.</v>
      </c>
      <c r="D50" s="5" t="str">
        <f>IFERROR(__xludf.DUMMYFUNCTION("GOOGLETRANSLATE(J50, ""th"", ""en"")
"),"A) Request time to rest and observe symptoms.")</f>
        <v>A) Request time to rest and observe symptoms.</v>
      </c>
      <c r="E50" s="5" t="str">
        <f>IFERROR(__xludf.DUMMYFUNCTION("GOOGLETRANSLATE(K50, ""th"", ""en"")
"),"Taking time for yourself helps you recharge.")</f>
        <v>Taking time for yourself helps you recharge.</v>
      </c>
      <c r="G50" s="6">
        <v>49.0</v>
      </c>
      <c r="H50" s="7" t="s">
        <v>2271</v>
      </c>
      <c r="I50" s="7" t="s">
        <v>2272</v>
      </c>
      <c r="J50" s="7" t="s">
        <v>2273</v>
      </c>
      <c r="K50" s="7" t="s">
        <v>2274</v>
      </c>
    </row>
    <row r="51" ht="14.25" customHeight="1">
      <c r="A51" s="4">
        <v>50.0</v>
      </c>
      <c r="B51" s="5" t="str">
        <f>IFERROR(__xludf.DUMMYFUNCTION("GOOGLETRANSLATE(H51, ""th"", ""en"")
"),"You see your opponent preparing a wind stick to attack you, what do you do?")</f>
        <v>You see your opponent preparing a wind stick to attack you, what do you do?</v>
      </c>
      <c r="C51" s="5" t="str">
        <f>IFERROR(__xludf.DUMMYFUNCTION("GOOGLETRANSLATE(I51, ""th"", ""en"")
"),"A) Hit his wind stick back immediately; B) Avoid and wait and see; C) Attack his wind stick; D) Apologize and surrender.")</f>
        <v>A) Hit his wind stick back immediately; B) Avoid and wait and see; C) Attack his wind stick; D) Apologize and surrender.</v>
      </c>
      <c r="D51" s="5" t="str">
        <f>IFERROR(__xludf.DUMMYFUNCTION("GOOGLETRANSLATE(J51, ""th"", ""en"")
"),"B) Avoid and wait and see the situation.")</f>
        <v>B) Avoid and wait and see the situation.</v>
      </c>
      <c r="E51" s="5" t="str">
        <f>IFERROR(__xludf.DUMMYFUNCTION("GOOGLETRANSLATE(K51, ""th"", ""en"")
"),"Avoidance helps you avoid losing control.")</f>
        <v>Avoidance helps you avoid losing control.</v>
      </c>
      <c r="G51" s="6">
        <v>50.0</v>
      </c>
      <c r="H51" s="7" t="s">
        <v>2275</v>
      </c>
      <c r="I51" s="7" t="s">
        <v>2276</v>
      </c>
      <c r="J51" s="7" t="s">
        <v>2277</v>
      </c>
      <c r="K51" s="7" t="s">
        <v>2250</v>
      </c>
    </row>
    <row r="52" ht="14.25" customHeight="1">
      <c r="A52" s="4">
        <v>51.0</v>
      </c>
      <c r="B52" s="5" t="str">
        <f>IFERROR(__xludf.DUMMYFUNCTION("GOOGLETRANSLATE(H52, ""th"", ""en"")
"),"You feel that this competition is unfair, what will you do?")</f>
        <v>You feel that this competition is unfair, what will you do?</v>
      </c>
      <c r="C52" s="5" t="str">
        <f>IFERROR(__xludf.DUMMYFUNCTION("GOOGLETRANSLATE(I52, ""th"", ""en"")
"),"A) notify the coach to consider the situation; B) continue playing without paying attention; C) stop play and ask for the game to end; D) argue with the referee.")</f>
        <v>A) notify the coach to consider the situation; B) continue playing without paying attention; C) stop play and ask for the game to end; D) argue with the referee.</v>
      </c>
      <c r="D52" s="5" t="str">
        <f>IFERROR(__xludf.DUMMYFUNCTION("GOOGLETRANSLATE(J52, ""th"", ""en"")
"),"A) Inform the trainer to consider the situation.")</f>
        <v>A) Inform the trainer to consider the situation.</v>
      </c>
      <c r="E52" s="5" t="str">
        <f>IFERROR(__xludf.DUMMYFUNCTION("GOOGLETRANSLATE(K52, ""th"", ""en"")
"),"Reporting a problem allows the situation to be addressed.")</f>
        <v>Reporting a problem allows the situation to be addressed.</v>
      </c>
      <c r="G52" s="6">
        <v>51.0</v>
      </c>
      <c r="H52" s="7" t="s">
        <v>2278</v>
      </c>
      <c r="I52" s="7" t="s">
        <v>2279</v>
      </c>
      <c r="J52" s="7" t="s">
        <v>2280</v>
      </c>
      <c r="K52" s="7" t="s">
        <v>2281</v>
      </c>
    </row>
    <row r="53" ht="14.25" customHeight="1">
      <c r="A53" s="4">
        <v>52.0</v>
      </c>
      <c r="B53" s="5" t="str">
        <f>IFERROR(__xludf.DUMMYFUNCTION("GOOGLETRANSLATE(H53, ""th"", ""en"")
"),"You feel your opponent is becoming more confident, what do you do?")</f>
        <v>You feel your opponent is becoming more confident, what do you do?</v>
      </c>
      <c r="C53" s="5" t="str">
        <f>IFERROR(__xludf.DUMMYFUNCTION("GOOGLETRANSLATE(I53, ""th"", ""en"")
"),"A) try to attack and lower his confidence; B) play cautiously and not let him control the game; C) adjust your strategy; D) apologize and give up.")</f>
        <v>A) try to attack and lower his confidence; B) play cautiously and not let him control the game; C) adjust your strategy; D) apologize and give up.</v>
      </c>
      <c r="D53" s="5" t="str">
        <f>IFERROR(__xludf.DUMMYFUNCTION("GOOGLETRANSLATE(J53, ""th"", ""en"")
"),"B) Play carefully and don't let him control the game.")</f>
        <v>B) Play carefully and don't let him control the game.</v>
      </c>
      <c r="E53" s="5" t="str">
        <f>IFERROR(__xludf.DUMMYFUNCTION("GOOGLETRANSLATE(K53, ""th"", ""en"")
"),"Not letting your opponent control the game will lower your confidence.")</f>
        <v>Not letting your opponent control the game will lower your confidence.</v>
      </c>
      <c r="G53" s="6">
        <v>52.0</v>
      </c>
      <c r="H53" s="7" t="s">
        <v>2282</v>
      </c>
      <c r="I53" s="7" t="s">
        <v>2283</v>
      </c>
      <c r="J53" s="7" t="s">
        <v>2284</v>
      </c>
      <c r="K53" s="7" t="s">
        <v>2285</v>
      </c>
    </row>
    <row r="54" ht="14.25" customHeight="1">
      <c r="A54" s="4">
        <v>53.0</v>
      </c>
      <c r="B54" s="5" t="str">
        <f>IFERROR(__xludf.DUMMYFUNCTION("GOOGLETRANSLATE(H54, ""th"", ""en"")
"),"Your wind instrument slipped out of your hand during a match. What should you do?")</f>
        <v>Your wind instrument slipped out of your hand during a match. What should you do?</v>
      </c>
      <c r="C54" s="5" t="str">
        <f>IFERROR(__xludf.DUMMYFUNCTION("GOOGLETRANSLATE(I54, ""th"", ""en"")
"),"A) Quickly pick it up and continue playing; B) Wait for the coach to come and help; C) Stop playing and apologize; D) Wait until the game is over.")</f>
        <v>A) Quickly pick it up and continue playing; B) Wait for the coach to come and help; C) Stop playing and apologize; D) Wait until the game is over.</v>
      </c>
      <c r="D54" s="5" t="str">
        <f>IFERROR(__xludf.DUMMYFUNCTION("GOOGLETRANSLATE(J54, ""th"", ""en"")
"),"A) Quickly pick it up and continue playing.")</f>
        <v>A) Quickly pick it up and continue playing.</v>
      </c>
      <c r="E54" s="5" t="str">
        <f>IFERROR(__xludf.DUMMYFUNCTION("GOOGLETRANSLATE(K54, ""th"", ""en"")
"),"Quickly bringing back the wind sticks will not disrupt the balance of the game.")</f>
        <v>Quickly bringing back the wind sticks will not disrupt the balance of the game.</v>
      </c>
      <c r="G54" s="6">
        <v>53.0</v>
      </c>
      <c r="H54" s="7" t="s">
        <v>2286</v>
      </c>
      <c r="I54" s="7" t="s">
        <v>2287</v>
      </c>
      <c r="J54" s="7" t="s">
        <v>2288</v>
      </c>
      <c r="K54" s="7" t="s">
        <v>2289</v>
      </c>
    </row>
    <row r="55" ht="14.25" customHeight="1">
      <c r="A55" s="4">
        <v>54.0</v>
      </c>
      <c r="B55" s="5" t="str">
        <f>IFERROR(__xludf.DUMMYFUNCTION("GOOGLETRANSLATE(H55, ""th"", ""en"")
"),"During the competition, you get injured, what do you do?")</f>
        <v>During the competition, you get injured, what do you do?</v>
      </c>
      <c r="C55" s="5" t="str">
        <f>IFERROR(__xludf.DUMMYFUNCTION("GOOGLETRANSLATE(I55, ""th"", ""en"")
"),"A) Request a time-out and seek medical assistance; B) Continue playing until the game is over; C) Ask the coach to intervene; D) Stop the game immediately.")</f>
        <v>A) Request a time-out and seek medical assistance; B) Continue playing until the game is over; C) Ask the coach to intervene; D) Stop the game immediately.</v>
      </c>
      <c r="D55" s="5" t="str">
        <f>IFERROR(__xludf.DUMMYFUNCTION("GOOGLETRANSLATE(J55, ""th"", ""en"")
"),"A) Request time off and seek assistance from the medical team.")</f>
        <v>A) Request time off and seek assistance from the medical team.</v>
      </c>
      <c r="E55" s="5" t="str">
        <f>IFERROR(__xludf.DUMMYFUNCTION("GOOGLETRANSLATE(K55, ""th"", ""en"")
"),"Rest and treatment for injuries are essential for recovery.")</f>
        <v>Rest and treatment for injuries are essential for recovery.</v>
      </c>
      <c r="G55" s="6">
        <v>54.0</v>
      </c>
      <c r="H55" s="7" t="s">
        <v>2290</v>
      </c>
      <c r="I55" s="7" t="s">
        <v>2291</v>
      </c>
      <c r="J55" s="7" t="s">
        <v>2292</v>
      </c>
      <c r="K55" s="7" t="s">
        <v>2293</v>
      </c>
    </row>
    <row r="56" ht="14.25" customHeight="1">
      <c r="A56" s="4">
        <v>55.0</v>
      </c>
      <c r="B56" s="5" t="str">
        <f>IFERROR(__xludf.DUMMYFUNCTION("GOOGLETRANSLATE(H56, ""th"", ""en"")
"),"You feel that your weight is not right, what should you do?")</f>
        <v>You feel that your weight is not right, what should you do?</v>
      </c>
      <c r="C56" s="5" t="str">
        <f>IFERROR(__xludf.DUMMYFUNCTION("GOOGLETRANSLATE(I56, ""th"", ""en"")
"),"A) Change the wind instruments that are suitable for you; B) Adjust the wind instrument holding posture; C) Use your existing skills to control them; D) Stop playing.")</f>
        <v>A) Change the wind instruments that are suitable for you; B) Adjust the wind instrument holding posture; C) Use your existing skills to control them; D) Stop playing.</v>
      </c>
      <c r="D56" s="5" t="str">
        <f>IFERROR(__xludf.DUMMYFUNCTION("GOOGLETRANSLATE(J56, ""th"", ""en"")
"),"A) Change the wind instruments that are suitable for you.")</f>
        <v>A) Change the wind instruments that are suitable for you.</v>
      </c>
      <c r="E56" s="5" t="str">
        <f>IFERROR(__xludf.DUMMYFUNCTION("GOOGLETRANSLATE(K56, ""th"", ""en"")
"),"Choosing the right wind instruments can help you play more effectively.")</f>
        <v>Choosing the right wind instruments can help you play more effectively.</v>
      </c>
      <c r="G56" s="6">
        <v>55.0</v>
      </c>
      <c r="H56" s="7" t="s">
        <v>2294</v>
      </c>
      <c r="I56" s="7" t="s">
        <v>2295</v>
      </c>
      <c r="J56" s="7" t="s">
        <v>2296</v>
      </c>
      <c r="K56" s="7" t="s">
        <v>2297</v>
      </c>
    </row>
    <row r="57" ht="14.25" customHeight="1">
      <c r="A57" s="4">
        <v>56.0</v>
      </c>
      <c r="B57" s="5" t="str">
        <f>IFERROR(__xludf.DUMMYFUNCTION("GOOGLETRANSLATE(H57, ""th"", ""en"")
"),"Your opponent uses a heavier wind stick to attack, what will you do?")</f>
        <v>Your opponent uses a heavier wind stick to attack, what will you do?</v>
      </c>
      <c r="C57" s="5" t="str">
        <f>IFERROR(__xludf.DUMMYFUNCTION("GOOGLETRANSLATE(I57, ""th"", ""en"")
"),"A) Use evasion techniques to block the attack; B) Hit his wind stick back; C) Change the wind stick to a heavier one; D) Avoid the attack.")</f>
        <v>A) Use evasion techniques to block the attack; B) Hit his wind stick back; C) Change the wind stick to a heavier one; D) Avoid the attack.</v>
      </c>
      <c r="D57" s="5" t="str">
        <f>IFERROR(__xludf.DUMMYFUNCTION("GOOGLETRANSLATE(J57, ""th"", ""en"")
"),"A) Use evasion techniques to defend against attacks.")</f>
        <v>A) Use evasion techniques to defend against attacks.</v>
      </c>
      <c r="E57" s="5" t="str">
        <f>IFERROR(__xludf.DUMMYFUNCTION("GOOGLETRANSLATE(K57, ""th"", ""en"")
"),"Evasion reduces the risk of attack.")</f>
        <v>Evasion reduces the risk of attack.</v>
      </c>
      <c r="G57" s="6">
        <v>56.0</v>
      </c>
      <c r="H57" s="7" t="s">
        <v>2298</v>
      </c>
      <c r="I57" s="7" t="s">
        <v>2299</v>
      </c>
      <c r="J57" s="7" t="s">
        <v>2300</v>
      </c>
      <c r="K57" s="7" t="s">
        <v>2301</v>
      </c>
    </row>
    <row r="58" ht="14.25" customHeight="1">
      <c r="A58" s="4">
        <v>57.0</v>
      </c>
      <c r="B58" s="5" t="str">
        <f>IFERROR(__xludf.DUMMYFUNCTION("GOOGLETRANSLATE(H58, ""th"", ""en"")
"),"You are not confident in your wind instrument skills, what should you do?")</f>
        <v>You are not confident in your wind instrument skills, what should you do?</v>
      </c>
      <c r="C58" s="5" t="str">
        <f>IFERROR(__xludf.DUMMYFUNCTION("GOOGLETRANSLATE(I58, ""th"", ""en"")
"),"A) Practice more to build confidence; B) Adjust your strategy to suit the situation; C) Play carefully; D) Stop playing.")</f>
        <v>A) Practice more to build confidence; B) Adjust your strategy to suit the situation; C) Play carefully; D) Stop playing.</v>
      </c>
      <c r="D58" s="5" t="str">
        <f>IFERROR(__xludf.DUMMYFUNCTION("GOOGLETRANSLATE(J58, ""th"", ""en"")
"),"A) Practice more to increase your confidence.")</f>
        <v>A) Practice more to increase your confidence.</v>
      </c>
      <c r="E58" s="5" t="str">
        <f>IFERROR(__xludf.DUMMYFUNCTION("GOOGLETRANSLATE(K58, ""th"", ""en"")
"),"Practice helps build confidence in your skills.")</f>
        <v>Practice helps build confidence in your skills.</v>
      </c>
      <c r="G58" s="6">
        <v>57.0</v>
      </c>
      <c r="H58" s="7" t="s">
        <v>2302</v>
      </c>
      <c r="I58" s="7" t="s">
        <v>2303</v>
      </c>
      <c r="J58" s="7" t="s">
        <v>2304</v>
      </c>
      <c r="K58" s="7" t="s">
        <v>2305</v>
      </c>
    </row>
    <row r="59" ht="14.25" customHeight="1">
      <c r="A59" s="4">
        <v>58.0</v>
      </c>
      <c r="B59" s="5" t="str">
        <f>IFERROR(__xludf.DUMMYFUNCTION("GOOGLETRANSLATE(H59, ""th"", ""en"")
"),"You see your competitors starting to use unexpected strategies. What do you do?")</f>
        <v>You see your competitors starting to use unexpected strategies. What do you do?</v>
      </c>
      <c r="C59" s="5" t="str">
        <f>IFERROR(__xludf.DUMMYFUNCTION("GOOGLETRANSLATE(I59, ""th"", ""en"")
"),"A) Adjust your own strategy to deal with it; B) Avoid and do not respond; C) Let him make his own mistakes; D) Stop playing.")</f>
        <v>A) Adjust your own strategy to deal with it; B) Avoid and do not respond; C) Let him make his own mistakes; D) Stop playing.</v>
      </c>
      <c r="D59" s="5" t="str">
        <f>IFERROR(__xludf.DUMMYFUNCTION("GOOGLETRANSLATE(J59, ""th"", ""en"")
"),"A) Adjust your own strategy to cope.")</f>
        <v>A) Adjust your own strategy to cope.</v>
      </c>
      <c r="E59" s="5" t="str">
        <f>IFERROR(__xludf.DUMMYFUNCTION("GOOGLETRANSLATE(K59, ""th"", ""en"")
"),"Adjusting your strategy will help you respond better.")</f>
        <v>Adjusting your strategy will help you respond better.</v>
      </c>
      <c r="G59" s="6">
        <v>58.0</v>
      </c>
      <c r="H59" s="7" t="s">
        <v>2306</v>
      </c>
      <c r="I59" s="7" t="s">
        <v>2307</v>
      </c>
      <c r="J59" s="7" t="s">
        <v>2308</v>
      </c>
      <c r="K59" s="7" t="s">
        <v>2309</v>
      </c>
    </row>
    <row r="60" ht="14.25" customHeight="1">
      <c r="A60" s="4">
        <v>59.0</v>
      </c>
      <c r="B60" s="5" t="str">
        <f>IFERROR(__xludf.DUMMYFUNCTION("GOOGLETRANSLATE(H60, ""th"", ""en"")
"),"You find that your opponent's wind instrument is very accurate. What do you do?")</f>
        <v>You find that your opponent's wind instrument is very accurate. What do you do?</v>
      </c>
      <c r="C60" s="5" t="str">
        <f>IFERROR(__xludf.DUMMYFUNCTION("GOOGLETRANSLATE(I60, ""th"", ""en"")
"),"A) Try to use evasion and wait and see; B) Hit the wind stick back accurately; C) Apologize and give up; D) Avoid playing with him.")</f>
        <v>A) Try to use evasion and wait and see; B) Hit the wind stick back accurately; C) Apologize and give up; D) Avoid playing with him.</v>
      </c>
      <c r="D60" s="5" t="str">
        <f>IFERROR(__xludf.DUMMYFUNCTION("GOOGLETRANSLATE(J60, ""th"", ""en"")
"),"A) Try to use evasion and wait and see.")</f>
        <v>A) Try to use evasion and wait and see.</v>
      </c>
      <c r="E60" s="5" t="str">
        <f>IFERROR(__xludf.DUMMYFUNCTION("GOOGLETRANSLATE(K60, ""th"", ""en"")
"),"Evasion helps you avoid losing your rhythm.")</f>
        <v>Evasion helps you avoid losing your rhythm.</v>
      </c>
      <c r="G60" s="6">
        <v>59.0</v>
      </c>
      <c r="H60" s="7" t="s">
        <v>2310</v>
      </c>
      <c r="I60" s="7" t="s">
        <v>2311</v>
      </c>
      <c r="J60" s="7" t="s">
        <v>2312</v>
      </c>
      <c r="K60" s="7" t="s">
        <v>2313</v>
      </c>
    </row>
    <row r="61" ht="14.25" customHeight="1">
      <c r="A61" s="4">
        <v>60.0</v>
      </c>
      <c r="B61" s="5" t="str">
        <f>IFERROR(__xludf.DUMMYFUNCTION("GOOGLETRANSLATE(H61, ""th"", ""en"")
"),"You notice that your opponent's wind instruments are starting to have problems controlling them. What do you do?")</f>
        <v>You notice that your opponent's wind instruments are starting to have problems controlling them. What do you do?</v>
      </c>
      <c r="C61" s="5" t="str">
        <f>IFERROR(__xludf.DUMMYFUNCTION("GOOGLETRANSLATE(I61, ""th"", ""en"")
"),"A) Take this opportunity to attack him immediately; B) Wait for him to make a mistake and exploit his weakness; C) Avoid the attack; D) Adjust your strategy.")</f>
        <v>A) Take this opportunity to attack him immediately; B) Wait for him to make a mistake and exploit his weakness; C) Avoid the attack; D) Adjust your strategy.</v>
      </c>
      <c r="D61" s="5" t="str">
        <f>IFERROR(__xludf.DUMMYFUNCTION("GOOGLETRANSLATE(J61, ""th"", ""en"")
"),"B) Wait for him to make a mistake and take advantage of his weaknesses.")</f>
        <v>B) Wait for him to make a mistake and take advantage of his weaknesses.</v>
      </c>
      <c r="E61" s="5" t="str">
        <f>IFERROR(__xludf.DUMMYFUNCTION("GOOGLETRANSLATE(K61, ""th"", ""en"")
"),"Waiting for the right moment allows you to take advantage of your opponent's mistakes.")</f>
        <v>Waiting for the right moment allows you to take advantage of your opponent's mistakes.</v>
      </c>
      <c r="G61" s="6">
        <v>60.0</v>
      </c>
      <c r="H61" s="7" t="s">
        <v>2314</v>
      </c>
      <c r="I61" s="7" t="s">
        <v>2315</v>
      </c>
      <c r="J61" s="7" t="s">
        <v>2316</v>
      </c>
      <c r="K61" s="7" t="s">
        <v>2317</v>
      </c>
    </row>
    <row r="62" ht="14.25" customHeight="1">
      <c r="A62" s="4">
        <v>61.0</v>
      </c>
      <c r="B62" s="5" t="str">
        <f>IFERROR(__xludf.DUMMYFUNCTION("GOOGLETRANSLATE(H62, ""th"", ""en"")
"),"You feel like your competitors are getting out of control, what do you do?")</f>
        <v>You feel like your competitors are getting out of control, what do you do?</v>
      </c>
      <c r="C62" s="5" t="str">
        <f>IFERROR(__xludf.DUMMYFUNCTION("GOOGLETRANSLATE(I62, ""th"", ""en"")
"),"A) Use better techniques to counter; B) Wait for him to make his own mistakes; C) Quickly hit the baton back; D) Avoid countering.")</f>
        <v>A) Use better techniques to counter; B) Wait for him to make his own mistakes; C) Quickly hit the baton back; D) Avoid countering.</v>
      </c>
      <c r="D62" s="5" t="str">
        <f>IFERROR(__xludf.DUMMYFUNCTION("GOOGLETRANSLATE(J62, ""th"", ""en"")
"),"A) Use better techniques to counter.")</f>
        <v>A) Use better techniques to counter.</v>
      </c>
      <c r="E62" s="5" t="str">
        <f>IFERROR(__xludf.DUMMYFUNCTION("GOOGLETRANSLATE(K62, ""th"", ""en"")
"),"Using superior techniques will get you back in the game.")</f>
        <v>Using superior techniques will get you back in the game.</v>
      </c>
      <c r="G62" s="6">
        <v>61.0</v>
      </c>
      <c r="H62" s="7" t="s">
        <v>2318</v>
      </c>
      <c r="I62" s="7" t="s">
        <v>2319</v>
      </c>
      <c r="J62" s="7" t="s">
        <v>2320</v>
      </c>
      <c r="K62" s="7" t="s">
        <v>2321</v>
      </c>
    </row>
    <row r="63" ht="14.25" customHeight="1">
      <c r="A63" s="4">
        <v>62.0</v>
      </c>
      <c r="B63" s="5" t="str">
        <f>IFERROR(__xludf.DUMMYFUNCTION("GOOGLETRANSLATE(H63, ""th"", ""en"")
"),"You see a coach giving advice to the team, what do you do?")</f>
        <v>You see a coach giving advice to the team, what do you do?</v>
      </c>
      <c r="C63" s="5" t="str">
        <f>IFERROR(__xludf.DUMMYFUNCTION("GOOGLETRANSLATE(I63, ""th"", ""en"")
"),"A) Listen to advice and adjust your strategy; B) Refuse advice and play according to your original plan; C) Wait for advice from your teammates; D) Stop playing immediately.")</f>
        <v>A) Listen to advice and adjust your strategy; B) Refuse advice and play according to your original plan; C) Wait for advice from your teammates; D) Stop playing immediately.</v>
      </c>
      <c r="D63" s="5" t="str">
        <f>IFERROR(__xludf.DUMMYFUNCTION("GOOGLETRANSLATE(J63, ""th"", ""en"")
"),"A) Listen to advice and adjust your strategy.")</f>
        <v>A) Listen to advice and adjust your strategy.</v>
      </c>
      <c r="E63" s="5" t="str">
        <f>IFERROR(__xludf.DUMMYFUNCTION("GOOGLETRANSLATE(K63, ""th"", ""en"")
"),"Listening and adjusting your strategy will help you play better.")</f>
        <v>Listening and adjusting your strategy will help you play better.</v>
      </c>
      <c r="G63" s="6">
        <v>62.0</v>
      </c>
      <c r="H63" s="7" t="s">
        <v>2322</v>
      </c>
      <c r="I63" s="7" t="s">
        <v>2323</v>
      </c>
      <c r="J63" s="7" t="s">
        <v>2324</v>
      </c>
      <c r="K63" s="7" t="s">
        <v>2325</v>
      </c>
    </row>
    <row r="64" ht="14.25" customHeight="1">
      <c r="A64" s="4">
        <v>63.0</v>
      </c>
      <c r="B64" s="5" t="str">
        <f>IFERROR(__xludf.DUMMYFUNCTION("GOOGLETRANSLATE(H64, ""th"", ""en"")
"),"You find that your competitors are using better skills in the long run, what do you do?")</f>
        <v>You find that your competitors are using better skills in the long run, what do you do?</v>
      </c>
      <c r="C64" s="5" t="str">
        <f>IFERROR(__xludf.DUMMYFUNCTION("GOOGLETRANSLATE(I64, ""th"", ""en"")
"),"A) Practice more to improve your skills; B) Avoid playing with him; C) Use your existing techniques to improve your game; D) Stop playing.")</f>
        <v>A) Practice more to improve your skills; B) Avoid playing with him; C) Use your existing techniques to improve your game; D) Stop playing.</v>
      </c>
      <c r="D64" s="5" t="str">
        <f>IFERROR(__xludf.DUMMYFUNCTION("GOOGLETRANSLATE(J64, ""th"", ""en"")
"),"A) Practice more to improve your skills.")</f>
        <v>A) Practice more to improve your skills.</v>
      </c>
      <c r="E64" s="5" t="str">
        <f>IFERROR(__xludf.DUMMYFUNCTION("GOOGLETRANSLATE(K64, ""th"", ""en"")
"),"Practice will improve your skills and improve your game.")</f>
        <v>Practice will improve your skills and improve your game.</v>
      </c>
      <c r="G64" s="6">
        <v>63.0</v>
      </c>
      <c r="H64" s="7" t="s">
        <v>2326</v>
      </c>
      <c r="I64" s="7" t="s">
        <v>2327</v>
      </c>
      <c r="J64" s="7" t="s">
        <v>2328</v>
      </c>
      <c r="K64" s="7" t="s">
        <v>2329</v>
      </c>
    </row>
    <row r="65" ht="14.25" customHeight="1">
      <c r="A65" s="4">
        <v>64.0</v>
      </c>
      <c r="B65" s="5" t="str">
        <f>IFERROR(__xludf.DUMMYFUNCTION("GOOGLETRANSLATE(H65, ""th"", ""en"")
"),"You notice that your opponent's weighted racket is starting to adapt to the course conditions well. What do you do?")</f>
        <v>You notice that your opponent's weighted racket is starting to adapt to the course conditions well. What do you do?</v>
      </c>
      <c r="C65" s="5" t="str">
        <f>IFERROR(__xludf.DUMMYFUNCTION("GOOGLETRANSLATE(I65, ""th"", ""en"")
"),"A) Change your wind instruments to suit the field; B) Adjust your strategy to deal with his attacks; C) Avoid counterattacks; D) Wait and see.")</f>
        <v>A) Change your wind instruments to suit the field; B) Adjust your strategy to deal with his attacks; C) Avoid counterattacks; D) Wait and see.</v>
      </c>
      <c r="D65" s="5" t="str">
        <f>IFERROR(__xludf.DUMMYFUNCTION("GOOGLETRANSLATE(J65, ""th"", ""en"")
"),"B) Adjust your strategy to deal with his attacks.")</f>
        <v>B) Adjust your strategy to deal with his attacks.</v>
      </c>
      <c r="E65" s="5" t="str">
        <f>IFERROR(__xludf.DUMMYFUNCTION("GOOGLETRANSLATE(K65, ""th"", ""en"")
"),"Optimizing your strategy can help you cope.")</f>
        <v>Optimizing your strategy can help you cope.</v>
      </c>
      <c r="G65" s="6">
        <v>64.0</v>
      </c>
      <c r="H65" s="7" t="s">
        <v>2330</v>
      </c>
      <c r="I65" s="7" t="s">
        <v>2331</v>
      </c>
      <c r="J65" s="7" t="s">
        <v>2332</v>
      </c>
      <c r="K65" s="7" t="s">
        <v>2333</v>
      </c>
    </row>
    <row r="66" ht="14.25" customHeight="1">
      <c r="A66" s="4">
        <v>65.0</v>
      </c>
      <c r="B66" s="5" t="str">
        <f>IFERROR(__xludf.DUMMYFUNCTION("GOOGLETRANSLATE(H66, ""th"", ""en"")
"),"You see that the opposing player is starting to use faster attacks. What do you do?")</f>
        <v>You see that the opposing player is starting to use faster attacks. What do you do?</v>
      </c>
      <c r="C66" s="5" t="str">
        <f>IFERROR(__xludf.DUMMYFUNCTION("GOOGLETRANSLATE(I66, ""th"", ""en"")
"),"A) Increase your reaction speed; B) Avoid the attack immediately; C) Adjust your grip on the wind stick; D) Wait for him to make a mistake.")</f>
        <v>A) Increase your reaction speed; B) Avoid the attack immediately; C) Adjust your grip on the wind stick; D) Wait for him to make a mistake.</v>
      </c>
      <c r="D66" s="5" t="str">
        <f>IFERROR(__xludf.DUMMYFUNCTION("GOOGLETRANSLATE(J66, ""th"", ""en"")
"),"A) Increase the speed of response.")</f>
        <v>A) Increase the speed of response.</v>
      </c>
      <c r="E66" s="5" t="str">
        <f>IFERROR(__xludf.DUMMYFUNCTION("GOOGLETRANSLATE(K66, ""th"", ""en"")
"),"Increasing your speed allows you to deal with attacks better.")</f>
        <v>Increasing your speed allows you to deal with attacks better.</v>
      </c>
      <c r="G66" s="6">
        <v>65.0</v>
      </c>
      <c r="H66" s="7" t="s">
        <v>2334</v>
      </c>
      <c r="I66" s="7" t="s">
        <v>2335</v>
      </c>
      <c r="J66" s="7" t="s">
        <v>2336</v>
      </c>
      <c r="K66" s="7" t="s">
        <v>2337</v>
      </c>
    </row>
    <row r="67" ht="14.25" customHeight="1">
      <c r="A67" s="4">
        <v>66.0</v>
      </c>
      <c r="B67" s="5" t="str">
        <f>IFERROR(__xludf.DUMMYFUNCTION("GOOGLETRANSLATE(H67, ""th"", ""en"")
"),"You find that the results of the competition between teams are becoming unbalanced. What should you do?")</f>
        <v>You find that the results of the competition between teams are becoming unbalanced. What should you do?</v>
      </c>
      <c r="C67" s="5" t="str">
        <f>IFERROR(__xludf.DUMMYFUNCTION("GOOGLETRANSLATE(I67, ""th"", ""en"")
"),"A) Adjust your playing style to improve balance; B) Adjust your strategy appropriately; C) Avoid attacking your opponent; D) Apologize and surrender.")</f>
        <v>A) Adjust your playing style to improve balance; B) Adjust your strategy appropriately; C) Avoid attacking your opponent; D) Apologize and surrender.</v>
      </c>
      <c r="D67" s="5" t="str">
        <f>IFERROR(__xludf.DUMMYFUNCTION("GOOGLETRANSLATE(J67, ""th"", ""en"")
"),"B) Adjust the strategy appropriately.")</f>
        <v>B) Adjust the strategy appropriately.</v>
      </c>
      <c r="E67" s="5" t="str">
        <f>IFERROR(__xludf.DUMMYFUNCTION("GOOGLETRANSLATE(K67, ""th"", ""en"")
"),"Strategic adjustments can increase your chances of returning to the competition.")</f>
        <v>Strategic adjustments can increase your chances of returning to the competition.</v>
      </c>
      <c r="G67" s="6">
        <v>66.0</v>
      </c>
      <c r="H67" s="7" t="s">
        <v>2338</v>
      </c>
      <c r="I67" s="7" t="s">
        <v>2339</v>
      </c>
      <c r="J67" s="7" t="s">
        <v>2340</v>
      </c>
      <c r="K67" s="7" t="s">
        <v>2341</v>
      </c>
    </row>
    <row r="68" ht="14.25" customHeight="1">
      <c r="A68" s="4">
        <v>67.0</v>
      </c>
      <c r="B68" s="5" t="str">
        <f>IFERROR(__xludf.DUMMYFUNCTION("GOOGLETRANSLATE(H68, ""th"", ""en"")
"),"During the competition, you feel that your weight is not effective. What do you do?")</f>
        <v>During the competition, you feel that your weight is not effective. What do you do?</v>
      </c>
      <c r="C68" s="5" t="str">
        <f>IFERROR(__xludf.DUMMYFUNCTION("GOOGLETRANSLATE(I68, ""th"", ""en"")
"),"A) Change the wind instruments to suit yourself; B) Practice again to improve your skills; C) Adjust the wind instrument grip to suit the situation; D) Stop playing.")</f>
        <v>A) Change the wind instruments to suit yourself; B) Practice again to improve your skills; C) Adjust the wind instrument grip to suit the situation; D) Stop playing.</v>
      </c>
      <c r="D68" s="5" t="str">
        <f>IFERROR(__xludf.DUMMYFUNCTION("GOOGLETRANSLATE(J68, ""th"", ""en"")
"),"C) Adjust the grip of the wind instruments to suit the situation.")</f>
        <v>C) Adjust the grip of the wind instruments to suit the situation.</v>
      </c>
      <c r="E68" s="5" t="str">
        <f>IFERROR(__xludf.DUMMYFUNCTION("GOOGLETRANSLATE(K68, ""th"", ""en"")
"),"Adjusting the grip of the wind instruments allows for better control of the wind instruments.")</f>
        <v>Adjusting the grip of the wind instruments allows for better control of the wind instruments.</v>
      </c>
      <c r="G68" s="6">
        <v>67.0</v>
      </c>
      <c r="H68" s="7" t="s">
        <v>2342</v>
      </c>
      <c r="I68" s="7" t="s">
        <v>2343</v>
      </c>
      <c r="J68" s="7" t="s">
        <v>2344</v>
      </c>
      <c r="K68" s="7" t="s">
        <v>2345</v>
      </c>
    </row>
    <row r="69" ht="14.25" customHeight="1">
      <c r="A69" s="4">
        <v>68.0</v>
      </c>
      <c r="B69" s="5" t="str">
        <f>IFERROR(__xludf.DUMMYFUNCTION("GOOGLETRANSLATE(H69, ""th"", ""en"")
"),"You see your competitors starting to use techniques you've never seen before. What do you do?")</f>
        <v>You see your competitors starting to use techniques you've never seen before. What do you do?</v>
      </c>
      <c r="C69" s="5" t="str">
        <f>IFERROR(__xludf.DUMMYFUNCTION("GOOGLETRANSLATE(I69, ""th"", ""en"")
"),"A) Observe new techniques and find ways to counter them; B) Avoid playing with them; C) Adjust your strategy as you see fit; D) Stop playing.")</f>
        <v>A) Observe new techniques and find ways to counter them; B) Avoid playing with them; C) Adjust your strategy as you see fit; D) Stop playing.</v>
      </c>
      <c r="D69" s="5" t="str">
        <f>IFERROR(__xludf.DUMMYFUNCTION("GOOGLETRANSLATE(J69, ""th"", ""en"")
"),"A) Observe new techniques and find ways to counter them.")</f>
        <v>A) Observe new techniques and find ways to counter them.</v>
      </c>
      <c r="E69" s="5" t="str">
        <f>IFERROR(__xludf.DUMMYFUNCTION("GOOGLETRANSLATE(K69, ""th"", ""en"")
"),"Studying your competitors will help you respond better.")</f>
        <v>Studying your competitors will help you respond better.</v>
      </c>
      <c r="G69" s="6">
        <v>68.0</v>
      </c>
      <c r="H69" s="7" t="s">
        <v>2346</v>
      </c>
      <c r="I69" s="7" t="s">
        <v>2347</v>
      </c>
      <c r="J69" s="7" t="s">
        <v>2348</v>
      </c>
      <c r="K69" s="7" t="s">
        <v>2349</v>
      </c>
    </row>
    <row r="70" ht="14.25" customHeight="1">
      <c r="A70" s="4">
        <v>69.0</v>
      </c>
      <c r="B70" s="5" t="str">
        <f>IFERROR(__xludf.DUMMYFUNCTION("GOOGLETRANSLATE(H70, ""th"", ""en"")
"),"You notice that your wind instruments are starting to become unbalanced, what should you do?")</f>
        <v>You notice that your wind instruments are starting to become unbalanced, what should you do?</v>
      </c>
      <c r="C70" s="5" t="str">
        <f>IFERROR(__xludf.DUMMYFUNCTION("GOOGLETRANSLATE(I70, ""th"", ""en"")
"),"A) Adjust the grip of the wind instruments to be stable; B) Change the wind instruments; C) Avoid hitting the wind instruments; D) Stop playing.")</f>
        <v>A) Adjust the grip of the wind instruments to be stable; B) Change the wind instruments; C) Avoid hitting the wind instruments; D) Stop playing.</v>
      </c>
      <c r="D70" s="5" t="str">
        <f>IFERROR(__xludf.DUMMYFUNCTION("GOOGLETRANSLATE(J70, ""th"", ""en"")
"),"A) Adjust the grip of the wind instruments to be stable.")</f>
        <v>A) Adjust the grip of the wind instruments to be stable.</v>
      </c>
      <c r="E70" s="5" t="str">
        <f>IFERROR(__xludf.DUMMYFUNCTION("GOOGLETRANSLATE(K70, ""th"", ""en"")
"),"Adjusting the grip of the wind instruments allows for better control.")</f>
        <v>Adjusting the grip of the wind instruments allows for better control.</v>
      </c>
      <c r="G70" s="6">
        <v>69.0</v>
      </c>
      <c r="H70" s="7" t="s">
        <v>2350</v>
      </c>
      <c r="I70" s="7" t="s">
        <v>2351</v>
      </c>
      <c r="J70" s="7" t="s">
        <v>2352</v>
      </c>
      <c r="K70" s="7" t="s">
        <v>2353</v>
      </c>
    </row>
    <row r="71" ht="14.25" customHeight="1">
      <c r="A71" s="4">
        <v>70.0</v>
      </c>
      <c r="B71" s="5" t="str">
        <f>IFERROR(__xludf.DUMMYFUNCTION("GOOGLETRANSLATE(H71, ""th"", ""en"")
"),"You feel like your competitors are putting more pressure on you, what should you do?")</f>
        <v>You feel like your competitors are putting more pressure on you, what should you do?</v>
      </c>
      <c r="C71" s="5" t="str">
        <f>IFERROR(__xludf.DUMMYFUNCTION("GOOGLETRANSLATE(I71, ""th"", ""en"")
"),"A) Use evasion techniques to avoid pressure; B) Increase attack speed; C) Adjust playing posture; D) Stop playing.")</f>
        <v>A) Use evasion techniques to avoid pressure; B) Increase attack speed; C) Adjust playing posture; D) Stop playing.</v>
      </c>
      <c r="D71" s="5" t="str">
        <f>IFERROR(__xludf.DUMMYFUNCTION("GOOGLETRANSLATE(J71, ""th"", ""en"")
"),"A) Use evasion techniques to avoid pressure.")</f>
        <v>A) Use evasion techniques to avoid pressure.</v>
      </c>
      <c r="E71" s="5" t="str">
        <f>IFERROR(__xludf.DUMMYFUNCTION("GOOGLETRANSLATE(K71, ""th"", ""en"")
"),"Evasion helps you maintain balance in the game.")</f>
        <v>Evasion helps you maintain balance in the game.</v>
      </c>
      <c r="G71" s="6">
        <v>70.0</v>
      </c>
      <c r="H71" s="7" t="s">
        <v>2354</v>
      </c>
      <c r="I71" s="7" t="s">
        <v>2355</v>
      </c>
      <c r="J71" s="7" t="s">
        <v>2356</v>
      </c>
      <c r="K71" s="7" t="s">
        <v>2357</v>
      </c>
    </row>
    <row r="72" ht="14.25" customHeight="1">
      <c r="A72" s="4">
        <v>71.0</v>
      </c>
      <c r="B72" s="5" t="str">
        <f>IFERROR(__xludf.DUMMYFUNCTION("GOOGLETRANSLATE(H72, ""th"", ""en"")
"),"You feel like your emotions are starting to affect your performance, what do you do?")</f>
        <v>You feel like your emotions are starting to affect your performance, what do you do?</v>
      </c>
      <c r="C72" s="5" t="str">
        <f>IFERROR(__xludf.DUMMYFUNCTION("GOOGLETRANSLATE(I72, ""th"", ""en"")
"),"A) Try to control your emotions and return to play; B) Stop play and take a break; C) Argue with the coach; D) Get a teammate to help.")</f>
        <v>A) Try to control your emotions and return to play; B) Stop play and take a break; C) Argue with the coach; D) Get a teammate to help.</v>
      </c>
      <c r="D72" s="5" t="str">
        <f>IFERROR(__xludf.DUMMYFUNCTION("GOOGLETRANSLATE(J72, ""th"", ""en"")
"),"A) Try to control your emotions and return to playing.")</f>
        <v>A) Try to control your emotions and return to playing.</v>
      </c>
      <c r="E72" s="5" t="str">
        <f>IFERROR(__xludf.DUMMYFUNCTION("GOOGLETRANSLATE(K72, ""th"", ""en"")
"),"Controlling your emotions will improve your performance.")</f>
        <v>Controlling your emotions will improve your performance.</v>
      </c>
      <c r="G72" s="6">
        <v>71.0</v>
      </c>
      <c r="H72" s="7" t="s">
        <v>2358</v>
      </c>
      <c r="I72" s="7" t="s">
        <v>2359</v>
      </c>
      <c r="J72" s="7" t="s">
        <v>2360</v>
      </c>
      <c r="K72" s="7" t="s">
        <v>2361</v>
      </c>
    </row>
    <row r="73" ht="14.25" customHeight="1">
      <c r="A73" s="4">
        <v>72.0</v>
      </c>
      <c r="B73" s="5" t="str">
        <f>IFERROR(__xludf.DUMMYFUNCTION("GOOGLETRANSLATE(H73, ""th"", ""en"")
"),"While competing, you find your opponent has fast and accurate attacks. What do you do?")</f>
        <v>While competing, you find your opponent has fast and accurate attacks. What do you do?</v>
      </c>
      <c r="C73" s="5" t="str">
        <f>IFERROR(__xludf.DUMMYFUNCTION("GOOGLETRANSLATE(I73, ""th"", ""en"")
"),"A) Try to adjust the speed of your own attacks; B) Observe his technique and wait for his play rhythm; C) Avoid direct attacks; D) Stop the game.")</f>
        <v>A) Try to adjust the speed of your own attacks; B) Observe his technique and wait for his play rhythm; C) Avoid direct attacks; D) Stop the game.</v>
      </c>
      <c r="D73" s="5" t="str">
        <f>IFERROR(__xludf.DUMMYFUNCTION("GOOGLETRANSLATE(J73, ""th"", ""en"")
"),"B) Observe his technique and wait to see his playing rhythm.")</f>
        <v>B) Observe his technique and wait to see his playing rhythm.</v>
      </c>
      <c r="E73" s="5" t="str">
        <f>IFERROR(__xludf.DUMMYFUNCTION("GOOGLETRANSLATE(K73, ""th"", ""en"")
"),"Studying your opponent's play will help you respond better.")</f>
        <v>Studying your opponent's play will help you respond better.</v>
      </c>
      <c r="G73" s="6">
        <v>72.0</v>
      </c>
      <c r="H73" s="7" t="s">
        <v>2362</v>
      </c>
      <c r="I73" s="7" t="s">
        <v>2363</v>
      </c>
      <c r="J73" s="7" t="s">
        <v>2364</v>
      </c>
      <c r="K73" s="7" t="s">
        <v>2365</v>
      </c>
    </row>
    <row r="74" ht="14.25" customHeight="1">
      <c r="A74" s="4">
        <v>73.0</v>
      </c>
      <c r="B74" s="5" t="str">
        <f>IFERROR(__xludf.DUMMYFUNCTION("GOOGLETRANSLATE(H74, ""th"", ""en"")
"),"You start to feel tired during the competition, what do you do?")</f>
        <v>You start to feel tired during the competition, what do you do?</v>
      </c>
      <c r="C74" s="5" t="str">
        <f>IFERROR(__xludf.DUMMYFUNCTION("GOOGLETRANSLATE(I74, ""th"", ""en"")
"),"A) Ask the coach for a break; B) Keep fighting until the game ends; C) Adjust your playing style to save energy; D) Stop playing immediately.")</f>
        <v>A) Ask the coach for a break; B) Keep fighting until the game ends; C) Adjust your playing style to save energy; D) Stop playing immediately.</v>
      </c>
      <c r="D74" s="5" t="str">
        <f>IFERROR(__xludf.DUMMYFUNCTION("GOOGLETRANSLATE(J74, ""th"", ""en"")
"),"C) Adjust the playing method to save energy.")</f>
        <v>C) Adjust the playing method to save energy.</v>
      </c>
      <c r="E74" s="5" t="str">
        <f>IFERROR(__xludf.DUMMYFUNCTION("GOOGLETRANSLATE(K74, ""th"", ""en"")
"),"Adjusting your gameplay will allow you to play until the end of the game.")</f>
        <v>Adjusting your gameplay will allow you to play until the end of the game.</v>
      </c>
      <c r="G74" s="6">
        <v>73.0</v>
      </c>
      <c r="H74" s="7" t="s">
        <v>2366</v>
      </c>
      <c r="I74" s="7" t="s">
        <v>2367</v>
      </c>
      <c r="J74" s="7" t="s">
        <v>2368</v>
      </c>
      <c r="K74" s="7" t="s">
        <v>2369</v>
      </c>
    </row>
    <row r="75" ht="14.25" customHeight="1">
      <c r="A75" s="4">
        <v>74.0</v>
      </c>
      <c r="B75" s="5" t="str">
        <f>IFERROR(__xludf.DUMMYFUNCTION("GOOGLETRANSLATE(H75, ""th"", ""en"")
"),"You feel that your opponent is using techniques that you cannot predict. What should you do?")</f>
        <v>You feel that your opponent is using techniques that you cannot predict. What should you do?</v>
      </c>
      <c r="C75" s="5" t="str">
        <f>IFERROR(__xludf.DUMMYFUNCTION("GOOGLETRANSLATE(I75, ""th"", ""en"")
"),"A) Study his new techniques and try to find ways to counter him; B) Avoid encounters with him; C) Adjust your strategy to suit the situation; D) Argue with your trainer.")</f>
        <v>A) Study his new techniques and try to find ways to counter him; B) Avoid encounters with him; C) Adjust your strategy to suit the situation; D) Argue with your trainer.</v>
      </c>
      <c r="D75" s="5" t="str">
        <f>IFERROR(__xludf.DUMMYFUNCTION("GOOGLETRANSLATE(J75, ""th"", ""en"")
"),"A) Study his new techniques and try to find a way to cope.")</f>
        <v>A) Study his new techniques and try to find a way to cope.</v>
      </c>
      <c r="E75" s="5" t="str">
        <f>IFERROR(__xludf.DUMMYFUNCTION("GOOGLETRANSLATE(K75, ""th"", ""en"")
"),"Learning new skills will help you cope better.")</f>
        <v>Learning new skills will help you cope better.</v>
      </c>
      <c r="G75" s="6">
        <v>74.0</v>
      </c>
      <c r="H75" s="7" t="s">
        <v>2370</v>
      </c>
      <c r="I75" s="7" t="s">
        <v>2371</v>
      </c>
      <c r="J75" s="7" t="s">
        <v>2372</v>
      </c>
      <c r="K75" s="7" t="s">
        <v>2373</v>
      </c>
    </row>
    <row r="76" ht="14.25" customHeight="1">
      <c r="A76" s="4">
        <v>75.0</v>
      </c>
      <c r="B76" s="5" t="str">
        <f>IFERROR(__xludf.DUMMYFUNCTION("GOOGLETRANSLATE(H76, ""th"", ""en"")
"),"During a competition, you notice that your wind instrument is out of balance. What do you do?")</f>
        <v>During a competition, you notice that your wind instrument is out of balance. What do you do?</v>
      </c>
      <c r="C76" s="5" t="str">
        <f>IFERROR(__xludf.DUMMYFUNCTION("GOOGLETRANSLATE(I76, ""th"", ""en"")
"),"A) Adjust your wind instrument holding position to be stable; B) Change the wind instrument; C) Avoid using the wind instrument; D) Stop playing.")</f>
        <v>A) Adjust your wind instrument holding position to be stable; B) Change the wind instrument; C) Avoid using the wind instrument; D) Stop playing.</v>
      </c>
      <c r="D76" s="5" t="str">
        <f>IFERROR(__xludf.DUMMYFUNCTION("GOOGLETRANSLATE(J76, ""th"", ""en"")
"),"A) Adjust your posture to hold the wind instruments firmly.")</f>
        <v>A) Adjust your posture to hold the wind instruments firmly.</v>
      </c>
      <c r="E76" s="5" t="str">
        <f>IFERROR(__xludf.DUMMYFUNCTION("GOOGLETRANSLATE(K76, ""th"", ""en"")
"),"Holding the wind instrument firmly will increase the accuracy of your playing.")</f>
        <v>Holding the wind instrument firmly will increase the accuracy of your playing.</v>
      </c>
      <c r="G76" s="6">
        <v>75.0</v>
      </c>
      <c r="H76" s="7" t="s">
        <v>2374</v>
      </c>
      <c r="I76" s="7" t="s">
        <v>2375</v>
      </c>
      <c r="J76" s="7" t="s">
        <v>2376</v>
      </c>
      <c r="K76" s="7" t="s">
        <v>2377</v>
      </c>
    </row>
    <row r="77" ht="14.25" customHeight="1">
      <c r="A77" s="4">
        <v>76.0</v>
      </c>
      <c r="B77" s="5" t="str">
        <f>IFERROR(__xludf.DUMMYFUNCTION("GOOGLETRANSLATE(H77, ""th"", ""en"")
"),"Your competitors are constantly attacking you, what should you do?")</f>
        <v>Your competitors are constantly attacking you, what should you do?</v>
      </c>
      <c r="C77" s="5" t="str">
        <f>IFERROR(__xludf.DUMMYFUNCTION("GOOGLETRANSLATE(I77, ""th"", ""en"")
"),"A) Use evasion and counter techniques; B) Quickly hit the wind stick back; C) Avoid the attack and wait for the right moment; D) Stop playing.")</f>
        <v>A) Use evasion and counter techniques; B) Quickly hit the wind stick back; C) Avoid the attack and wait for the right moment; D) Stop playing.</v>
      </c>
      <c r="D77" s="5" t="str">
        <f>IFERROR(__xludf.DUMMYFUNCTION("GOOGLETRANSLATE(J77, ""th"", ""en"")
"),"A) Use evasion and counter techniques.")</f>
        <v>A) Use evasion and counter techniques.</v>
      </c>
      <c r="E77" s="5" t="str">
        <f>IFERROR(__xludf.DUMMYFUNCTION("GOOGLETRANSLATE(K77, ""th"", ""en"")
"),"Evasion and counterattacks will reduce the pressure of an attack.")</f>
        <v>Evasion and counterattacks will reduce the pressure of an attack.</v>
      </c>
      <c r="G77" s="6">
        <v>76.0</v>
      </c>
      <c r="H77" s="7" t="s">
        <v>2378</v>
      </c>
      <c r="I77" s="7" t="s">
        <v>2379</v>
      </c>
      <c r="J77" s="7" t="s">
        <v>2380</v>
      </c>
      <c r="K77" s="7" t="s">
        <v>2381</v>
      </c>
    </row>
    <row r="78" ht="14.25" customHeight="1">
      <c r="A78" s="4">
        <v>77.0</v>
      </c>
      <c r="B78" s="5" t="str">
        <f>IFERROR(__xludf.DUMMYFUNCTION("GOOGLETRANSLATE(H78, ""th"", ""en"")
"),"During the match, you find your opponent using a new strategy. What will you do?")</f>
        <v>During the match, you find your opponent using a new strategy. What will you do?</v>
      </c>
      <c r="C78" s="5" t="str">
        <f>IFERROR(__xludf.DUMMYFUNCTION("GOOGLETRANSLATE(I78, ""th"", ""en"")
"),"A) Observe his strategy and adapt accordingly; B) Wait until he makes a mistake; C) Improve your own strategy; D) Stop playing.")</f>
        <v>A) Observe his strategy and adapt accordingly; B) Wait until he makes a mistake; C) Improve your own strategy; D) Stop playing.</v>
      </c>
      <c r="D78" s="5" t="str">
        <f>IFERROR(__xludf.DUMMYFUNCTION("GOOGLETRANSLATE(J78, ""th"", ""en"")
"),"A) Observe his strategies and adapt accordingly.")</f>
        <v>A) Observe his strategies and adapt accordingly.</v>
      </c>
      <c r="E78" s="5" t="str">
        <f>IFERROR(__xludf.DUMMYFUNCTION("GOOGLETRANSLATE(K78, ""th"", ""en"")
"),"Adapting to your competitors' new strategies will help you cope.")</f>
        <v>Adapting to your competitors' new strategies will help you cope.</v>
      </c>
      <c r="G78" s="6">
        <v>77.0</v>
      </c>
      <c r="H78" s="7" t="s">
        <v>2382</v>
      </c>
      <c r="I78" s="7" t="s">
        <v>2383</v>
      </c>
      <c r="J78" s="7" t="s">
        <v>2384</v>
      </c>
      <c r="K78" s="7" t="s">
        <v>2385</v>
      </c>
    </row>
    <row r="79" ht="14.25" customHeight="1">
      <c r="A79" s="4">
        <v>78.0</v>
      </c>
      <c r="B79" s="5" t="str">
        <f>IFERROR(__xludf.DUMMYFUNCTION("GOOGLETRANSLATE(H79, ""th"", ""en"")
"),"You notice that the results of the competition are starting to look unsatisfactory. What do you do?")</f>
        <v>You notice that the results of the competition are starting to look unsatisfactory. What do you do?</v>
      </c>
      <c r="C79" s="5" t="str">
        <f>IFERROR(__xludf.DUMMYFUNCTION("GOOGLETRANSLATE(I79, ""th"", ""en"")
"),"A) Adjust your strategy and try to change the direction of the game; B) Avoid attacks and wait for the situation; C) Take a break from play and wait for the opportunity; D) Stop playing.")</f>
        <v>A) Adjust your strategy and try to change the direction of the game; B) Avoid attacks and wait for the situation; C) Take a break from play and wait for the opportunity; D) Stop playing.</v>
      </c>
      <c r="D79" s="5" t="str">
        <f>IFERROR(__xludf.DUMMYFUNCTION("GOOGLETRANSLATE(J79, ""th"", ""en"")
"),"A) Adjust your strategy and try to change the direction of the game.")</f>
        <v>A) Adjust your strategy and try to change the direction of the game.</v>
      </c>
      <c r="E79" s="5" t="str">
        <f>IFERROR(__xludf.DUMMYFUNCTION("GOOGLETRANSLATE(K79, ""th"", ""en"")
"),"Adjusting your strategy will help you get back into the game.")</f>
        <v>Adjusting your strategy will help you get back into the game.</v>
      </c>
      <c r="G79" s="6">
        <v>78.0</v>
      </c>
      <c r="H79" s="7" t="s">
        <v>2386</v>
      </c>
      <c r="I79" s="7" t="s">
        <v>2387</v>
      </c>
      <c r="J79" s="7" t="s">
        <v>2388</v>
      </c>
      <c r="K79" s="7" t="s">
        <v>2389</v>
      </c>
    </row>
    <row r="80" ht="14.25" customHeight="1">
      <c r="A80" s="4">
        <v>79.0</v>
      </c>
      <c r="B80" s="5" t="str">
        <f>IFERROR(__xludf.DUMMYFUNCTION("GOOGLETRANSLATE(H80, ""th"", ""en"")
"),"You find your opponent is starting to use heavier attacks, what do you do?")</f>
        <v>You find your opponent is starting to use heavier attacks, what do you do?</v>
      </c>
      <c r="C80" s="5" t="str">
        <f>IFERROR(__xludf.DUMMYFUNCTION("GOOGLETRANSLATE(I80, ""th"", ""en"")
"),"A) Use evasion and counterattack techniques; B) Avoid attacks and maintain distance; C) Adjust your posture and play carefully; D) Stop playing.")</f>
        <v>A) Use evasion and counterattack techniques; B) Avoid attacks and maintain distance; C) Adjust your posture and play carefully; D) Stop playing.</v>
      </c>
      <c r="D80" s="5" t="str">
        <f>IFERROR(__xludf.DUMMYFUNCTION("GOOGLETRANSLATE(J80, ""th"", ""en"")
"),"A) Use evasion and counterattack techniques.")</f>
        <v>A) Use evasion and counterattack techniques.</v>
      </c>
      <c r="E80" s="5" t="str">
        <f>IFERROR(__xludf.DUMMYFUNCTION("GOOGLETRANSLATE(K80, ""th"", ""en"")
"),"Countering with evasion techniques will help you avoid being attacked.")</f>
        <v>Countering with evasion techniques will help you avoid being attacked.</v>
      </c>
      <c r="G80" s="6">
        <v>79.0</v>
      </c>
      <c r="H80" s="7" t="s">
        <v>2390</v>
      </c>
      <c r="I80" s="7" t="s">
        <v>2391</v>
      </c>
      <c r="J80" s="7" t="s">
        <v>2392</v>
      </c>
      <c r="K80" s="7" t="s">
        <v>2393</v>
      </c>
    </row>
    <row r="81" ht="14.25" customHeight="1">
      <c r="A81" s="4">
        <v>80.0</v>
      </c>
      <c r="B81" s="5" t="str">
        <f>IFERROR(__xludf.DUMMYFUNCTION("GOOGLETRANSLATE(H81, ""th"", ""en"")
"),"During the competition, you feel unfocused. What should you do?")</f>
        <v>During the competition, you feel unfocused. What should you do?</v>
      </c>
      <c r="C81" s="5" t="str">
        <f>IFERROR(__xludf.DUMMYFUNCTION("GOOGLETRANSLATE(I81, ""th"", ""en"")
"),"A) Try to control your focus and refocus on playing; B) Take a break to refocus; C) Adjust your playing posture to help regain focus; D) Apologize and give up.")</f>
        <v>A) Try to control your focus and refocus on playing; B) Take a break to refocus; C) Adjust your playing posture to help regain focus; D) Apologize and give up.</v>
      </c>
      <c r="D81" s="5" t="str">
        <f>IFERROR(__xludf.DUMMYFUNCTION("GOOGLETRANSLATE(J81, ""th"", ""en"")
"),"A) Try to control your concentration and come back to focus on playing.")</f>
        <v>A) Try to control your concentration and come back to focus on playing.</v>
      </c>
      <c r="E81" s="5" t="str">
        <f>IFERROR(__xludf.DUMMYFUNCTION("GOOGLETRANSLATE(K81, ""th"", ""en"")
"),"Controlling your concentration will help you get back to playing well.")</f>
        <v>Controlling your concentration will help you get back to playing well.</v>
      </c>
      <c r="G81" s="6">
        <v>80.0</v>
      </c>
      <c r="H81" s="7" t="s">
        <v>2394</v>
      </c>
      <c r="I81" s="7" t="s">
        <v>2395</v>
      </c>
      <c r="J81" s="7" t="s">
        <v>2396</v>
      </c>
      <c r="K81" s="7" t="s">
        <v>2397</v>
      </c>
    </row>
    <row r="82" ht="14.25" customHeight="1">
      <c r="A82" s="4">
        <v>81.0</v>
      </c>
      <c r="B82" s="5" t="str">
        <f>IFERROR(__xludf.DUMMYFUNCTION("GOOGLETRANSLATE(H82, ""th"", ""en"")
"),"You feel your opponent is becoming more confident in their play, what do you do?")</f>
        <v>You feel your opponent is becoming more confident in their play, what do you do?</v>
      </c>
      <c r="C82" s="5" t="str">
        <f>IFERROR(__xludf.DUMMYFUNCTION("GOOGLETRANSLATE(I82, ""th"", ""en"")
"),"A) Increase his attack speed and reduce his confidence; B) Adjust his play to be more efficient; C) Avoid attacks and wait and see; D) Stop playing.")</f>
        <v>A) Increase his attack speed and reduce his confidence; B) Adjust his play to be more efficient; C) Avoid attacks and wait and see; D) Stop playing.</v>
      </c>
      <c r="D82" s="5" t="str">
        <f>IFERROR(__xludf.DUMMYFUNCTION("GOOGLETRANSLATE(J82, ""th"", ""en"")
"),"A) Increase his attack speed and decrease his confidence.")</f>
        <v>A) Increase his attack speed and decrease his confidence.</v>
      </c>
      <c r="E82" s="5" t="str">
        <f>IFERROR(__xludf.DUMMYFUNCTION("GOOGLETRANSLATE(K82, ""th"", ""en"")
"),"Increasing your attack speed will put pressure on your opponent.")</f>
        <v>Increasing your attack speed will put pressure on your opponent.</v>
      </c>
      <c r="G82" s="6">
        <v>81.0</v>
      </c>
      <c r="H82" s="7" t="s">
        <v>2398</v>
      </c>
      <c r="I82" s="7" t="s">
        <v>2399</v>
      </c>
      <c r="J82" s="7" t="s">
        <v>2400</v>
      </c>
      <c r="K82" s="7" t="s">
        <v>2401</v>
      </c>
    </row>
    <row r="83" ht="14.25" customHeight="1">
      <c r="A83" s="4">
        <v>82.0</v>
      </c>
      <c r="B83" s="5" t="str">
        <f>IFERROR(__xludf.DUMMYFUNCTION("GOOGLETRANSLATE(H83, ""th"", ""en"")
"),"During the competition, you notice a violation of the rules. What do you do?")</f>
        <v>During the competition, you notice a violation of the rules. What do you do?</v>
      </c>
      <c r="C83" s="5" t="str">
        <f>IFERROR(__xludf.DUMMYFUNCTION("GOOGLETRANSLATE(I83, ""th"", ""en"")
"),"A) Notify the coach to correct the situation; B) Notify the referee to make a decision; C) Allow the game to continue; D) Stop the game.")</f>
        <v>A) Notify the coach to correct the situation; B) Notify the referee to make a decision; C) Allow the game to continue; D) Stop the game.</v>
      </c>
      <c r="D83" s="5" t="str">
        <f>IFERROR(__xludf.DUMMYFUNCTION("GOOGLETRANSLATE(J83, ""th"", ""en"")
"),"B) Inform the referee for consideration.")</f>
        <v>B) Inform the referee for consideration.</v>
      </c>
      <c r="E83" s="5" t="str">
        <f>IFERROR(__xludf.DUMMYFUNCTION("GOOGLETRANSLATE(K83, ""th"", ""en"")
"),"Informing the referee will help resolve the situation.")</f>
        <v>Informing the referee will help resolve the situation.</v>
      </c>
      <c r="G83" s="6">
        <v>82.0</v>
      </c>
      <c r="H83" s="7" t="s">
        <v>2402</v>
      </c>
      <c r="I83" s="7" t="s">
        <v>2403</v>
      </c>
      <c r="J83" s="7" t="s">
        <v>2404</v>
      </c>
      <c r="K83" s="7" t="s">
        <v>2405</v>
      </c>
    </row>
    <row r="84" ht="14.25" customHeight="1">
      <c r="A84" s="4">
        <v>83.0</v>
      </c>
      <c r="B84" s="5" t="str">
        <f>IFERROR(__xludf.DUMMYFUNCTION("GOOGLETRANSLATE(H84, ""th"", ""en"")
"),"During the match, your opponent starts using techniques you are not familiar with. What will you do?")</f>
        <v>During the match, your opponent starts using techniques you are not familiar with. What will you do?</v>
      </c>
      <c r="C84" s="5" t="str">
        <f>IFERROR(__xludf.DUMMYFUNCTION("GOOGLETRANSLATE(I84, ""th"", ""en"")
"),"A) Learn new techniques and adjust your strategy; B) Avoid his attacks; C) Use your existing strategy; D) Stop playing.")</f>
        <v>A) Learn new techniques and adjust your strategy; B) Avoid his attacks; C) Use your existing strategy; D) Stop playing.</v>
      </c>
      <c r="D84" s="5" t="str">
        <f>IFERROR(__xludf.DUMMYFUNCTION("GOOGLETRANSLATE(J84, ""th"", ""en"")
"),"A) Study new techniques and adjust strategies.")</f>
        <v>A) Study new techniques and adjust strategies.</v>
      </c>
      <c r="E84" s="5" t="str">
        <f>IFERROR(__xludf.DUMMYFUNCTION("GOOGLETRANSLATE(K84, ""th"", ""en"")
"),"Learning new techniques will help you respond better.")</f>
        <v>Learning new techniques will help you respond better.</v>
      </c>
      <c r="G84" s="6">
        <v>83.0</v>
      </c>
      <c r="H84" s="7" t="s">
        <v>2406</v>
      </c>
      <c r="I84" s="7" t="s">
        <v>2407</v>
      </c>
      <c r="J84" s="7" t="s">
        <v>2408</v>
      </c>
      <c r="K84" s="7" t="s">
        <v>2409</v>
      </c>
    </row>
    <row r="85" ht="14.25" customHeight="1">
      <c r="A85" s="4">
        <v>84.0</v>
      </c>
      <c r="B85" s="5" t="str">
        <f>IFERROR(__xludf.DUMMYFUNCTION("GOOGLETRANSLATE(H85, ""th"", ""en"")
"),"You feel like your wind instruments are starting to deteriorate, what should you do?")</f>
        <v>You feel like your wind instruments are starting to deteriorate, what should you do?</v>
      </c>
      <c r="C85" s="5" t="str">
        <f>IFERROR(__xludf.DUMMYFUNCTION("GOOGLETRANSLATE(I85, ""th"", ""en"")
"),"A) Change the wind instruments; B) Adjust the wind instruments' grip; C) Avoid hitting the wind instruments; D) Stop playing.")</f>
        <v>A) Change the wind instruments; B) Adjust the wind instruments' grip; C) Avoid hitting the wind instruments; D) Stop playing.</v>
      </c>
      <c r="D85" s="5" t="str">
        <f>IFERROR(__xludf.DUMMYFUNCTION("GOOGLETRANSLATE(J85, ""th"", ""en"")
"),"A) Change the wind instruments.")</f>
        <v>A) Change the wind instruments.</v>
      </c>
      <c r="E85" s="5" t="str">
        <f>IFERROR(__xludf.DUMMYFUNCTION("GOOGLETRANSLATE(K85, ""th"", ""en"")
"),"Using good condition wind instruments will help your playing be more effective.")</f>
        <v>Using good condition wind instruments will help your playing be more effective.</v>
      </c>
      <c r="G85" s="6">
        <v>84.0</v>
      </c>
      <c r="H85" s="7" t="s">
        <v>2410</v>
      </c>
      <c r="I85" s="7" t="s">
        <v>2411</v>
      </c>
      <c r="J85" s="7" t="s">
        <v>2412</v>
      </c>
      <c r="K85" s="7" t="s">
        <v>2413</v>
      </c>
    </row>
    <row r="86" ht="14.25" customHeight="1">
      <c r="A86" s="4">
        <v>85.0</v>
      </c>
      <c r="B86" s="5" t="str">
        <f>IFERROR(__xludf.DUMMYFUNCTION("GOOGLETRANSLATE(H86, ""th"", ""en"")
"),"You find that your competitors are starting to use more aggressive tactics. What do you do?")</f>
        <v>You find that your competitors are starting to use more aggressive tactics. What do you do?</v>
      </c>
      <c r="C86" s="5" t="str">
        <f>IFERROR(__xludf.DUMMYFUNCTION("GOOGLETRANSLATE(I86, ""th"", ""en"")
"),"A) Adjust your strategy to counter the attack; B) Avoid counterattacks; C) Adjust your wind grip; D) Stop playing.")</f>
        <v>A) Adjust your strategy to counter the attack; B) Avoid counterattacks; C) Adjust your wind grip; D) Stop playing.</v>
      </c>
      <c r="D86" s="5" t="str">
        <f>IFERROR(__xludf.DUMMYFUNCTION("GOOGLETRANSLATE(J86, ""th"", ""en"")
"),"A) Adjust strategies to deal with attacks.")</f>
        <v>A) Adjust strategies to deal with attacks.</v>
      </c>
      <c r="E86" s="5" t="str">
        <f>IFERROR(__xludf.DUMMYFUNCTION("GOOGLETRANSLATE(K86, ""th"", ""en"")
"),"Adjusting your strategy will help you cope with the attack.")</f>
        <v>Adjusting your strategy will help you cope with the attack.</v>
      </c>
      <c r="G86" s="6">
        <v>85.0</v>
      </c>
      <c r="H86" s="7" t="s">
        <v>2414</v>
      </c>
      <c r="I86" s="7" t="s">
        <v>2415</v>
      </c>
      <c r="J86" s="7" t="s">
        <v>2416</v>
      </c>
      <c r="K86" s="7" t="s">
        <v>2417</v>
      </c>
    </row>
    <row r="87" ht="14.25" customHeight="1">
      <c r="A87" s="4">
        <v>86.0</v>
      </c>
      <c r="B87" s="5" t="str">
        <f>IFERROR(__xludf.DUMMYFUNCTION("GOOGLETRANSLATE(H87, ""th"", ""en"")
"),"During the match, you start to feel pressure from the crowd. What do you do?")</f>
        <v>During the match, you start to feel pressure from the crowd. What do you do?</v>
      </c>
      <c r="C87" s="5" t="str">
        <f>IFERROR(__xludf.DUMMYFUNCTION("GOOGLETRANSLATE(I87, ""th"", ""en"")
"),"A) Try to concentrate and focus on the game; B) Avoid eye contact with the crowd; C) Stop playing and ask for a break; D) Adjust your playing posture.")</f>
        <v>A) Try to concentrate and focus on the game; B) Avoid eye contact with the crowd; C) Stop playing and ask for a break; D) Adjust your playing posture.</v>
      </c>
      <c r="D87" s="5" t="str">
        <f>IFERROR(__xludf.DUMMYFUNCTION("GOOGLETRANSLATE(J87, ""th"", ""en"")
"),"A) Try to stay focused and focused on the game.")</f>
        <v>A) Try to stay focused and focused on the game.</v>
      </c>
      <c r="E87" s="5" t="str">
        <f>IFERROR(__xludf.DUMMYFUNCTION("GOOGLETRANSLATE(K87, ""th"", ""en"")
"),"Perseverance will help you cope with pressure.")</f>
        <v>Perseverance will help you cope with pressure.</v>
      </c>
      <c r="G87" s="6">
        <v>86.0</v>
      </c>
      <c r="H87" s="7" t="s">
        <v>2418</v>
      </c>
      <c r="I87" s="7" t="s">
        <v>2419</v>
      </c>
      <c r="J87" s="7" t="s">
        <v>2420</v>
      </c>
      <c r="K87" s="7" t="s">
        <v>2421</v>
      </c>
    </row>
    <row r="88" ht="14.25" customHeight="1">
      <c r="A88" s="4">
        <v>87.0</v>
      </c>
      <c r="B88" s="5" t="str">
        <f>IFERROR(__xludf.DUMMYFUNCTION("GOOGLETRANSLATE(H88, ""th"", ""en"")
"),"You feel like your teammates are getting discouraged, what do you do?")</f>
        <v>You feel like your teammates are getting discouraged, what do you do?</v>
      </c>
      <c r="C88" s="5" t="str">
        <f>IFERROR(__xludf.DUMMYFUNCTION("GOOGLETRANSLATE(I88, ""th"", ""en"")
"),"A) Give him encouragement and help motivate the team; B) Let him go quietly; C) Avoid contact with him; D) Blame your teammates.")</f>
        <v>A) Give him encouragement and help motivate the team; B) Let him go quietly; C) Avoid contact with him; D) Blame your teammates.</v>
      </c>
      <c r="D88" s="5" t="str">
        <f>IFERROR(__xludf.DUMMYFUNCTION("GOOGLETRANSLATE(J88, ""th"", ""en"")
"),"A) Encourage and motivate the team.")</f>
        <v>A) Encourage and motivate the team.</v>
      </c>
      <c r="E88" s="5" t="str">
        <f>IFERROR(__xludf.DUMMYFUNCTION("GOOGLETRANSLATE(K88, ""th"", ""en"")
"),"Encouragement will help boost the team's energy and confidence.")</f>
        <v>Encouragement will help boost the team's energy and confidence.</v>
      </c>
      <c r="G88" s="6">
        <v>87.0</v>
      </c>
      <c r="H88" s="7" t="s">
        <v>2422</v>
      </c>
      <c r="I88" s="7" t="s">
        <v>2423</v>
      </c>
      <c r="J88" s="7" t="s">
        <v>2424</v>
      </c>
      <c r="K88" s="7" t="s">
        <v>2425</v>
      </c>
    </row>
    <row r="89" ht="14.25" customHeight="1">
      <c r="A89" s="4">
        <v>88.0</v>
      </c>
      <c r="B89" s="5" t="str">
        <f>IFERROR(__xludf.DUMMYFUNCTION("GOOGLETRANSLATE(H89, ""th"", ""en"")
"),"You find that your competitors are starting to use better strategies. What do you do?")</f>
        <v>You find that your competitors are starting to use better strategies. What do you do?</v>
      </c>
      <c r="C89" s="5" t="str">
        <f>IFERROR(__xludf.DUMMYFUNCTION("GOOGLETRANSLATE(I89, ""th"", ""en"")
"),"A) Adjust your own strategy to fight; B) Wait to see if he makes a mistake; C) Adjust your playing style accordingly; D) Stop playing.")</f>
        <v>A) Adjust your own strategy to fight; B) Wait to see if he makes a mistake; C) Adjust your playing style accordingly; D) Stop playing.</v>
      </c>
      <c r="D89" s="5" t="str">
        <f>IFERROR(__xludf.DUMMYFUNCTION("GOOGLETRANSLATE(J89, ""th"", ""en"")
"),"A) Adjust your own strategy to fight.")</f>
        <v>A) Adjust your own strategy to fight.</v>
      </c>
      <c r="E89" s="5" t="str">
        <f>IFERROR(__xludf.DUMMYFUNCTION("GOOGLETRANSLATE(K89, ""th"", ""en"")
"),"Adjusting your strategy will help you cope.")</f>
        <v>Adjusting your strategy will help you cope.</v>
      </c>
      <c r="G89" s="6">
        <v>88.0</v>
      </c>
      <c r="H89" s="7" t="s">
        <v>2426</v>
      </c>
      <c r="I89" s="7" t="s">
        <v>2427</v>
      </c>
      <c r="J89" s="7" t="s">
        <v>2428</v>
      </c>
      <c r="K89" s="7" t="s">
        <v>2429</v>
      </c>
    </row>
    <row r="90" ht="14.25" customHeight="1">
      <c r="A90" s="4">
        <v>89.0</v>
      </c>
      <c r="B90" s="5" t="str">
        <f>IFERROR(__xludf.DUMMYFUNCTION("GOOGLETRANSLATE(H90, ""th"", ""en"")
"),"During the match, you start to feel that the game is not going as expected. What do you do?")</f>
        <v>During the match, you start to feel that the game is not going as expected. What do you do?</v>
      </c>
      <c r="C90" s="5" t="str">
        <f>IFERROR(__xludf.DUMMYFUNCTION("GOOGLETRANSLATE(I90, ""th"", ""en"")
"),"A) Adjust your playing style and continue to play; B) Stop playing and take a break; C) Try to rely on the original strategy; D) Apologize and give up.")</f>
        <v>A) Adjust your playing style and continue to play; B) Stop playing and take a break; C) Try to rely on the original strategy; D) Apologize and give up.</v>
      </c>
      <c r="D90" s="5" t="str">
        <f>IFERROR(__xludf.DUMMYFUNCTION("GOOGLETRANSLATE(J90, ""th"", ""en"")
"),"A) Adjust your playing posture and continue to focus.")</f>
        <v>A) Adjust your playing posture and continue to focus.</v>
      </c>
      <c r="E90" s="5" t="str">
        <f>IFERROR(__xludf.DUMMYFUNCTION("GOOGLETRANSLATE(K90, ""th"", ""en"")
"),"Adjusting your posture and staying focused will help you get back to playing well.")</f>
        <v>Adjusting your posture and staying focused will help you get back to playing well.</v>
      </c>
      <c r="G90" s="6">
        <v>89.0</v>
      </c>
      <c r="H90" s="7" t="s">
        <v>2430</v>
      </c>
      <c r="I90" s="7" t="s">
        <v>2431</v>
      </c>
      <c r="J90" s="7" t="s">
        <v>2432</v>
      </c>
      <c r="K90" s="7" t="s">
        <v>2433</v>
      </c>
    </row>
    <row r="91" ht="14.25" customHeight="1">
      <c r="A91" s="4">
        <v>90.0</v>
      </c>
      <c r="B91" s="5" t="str">
        <f>IFERROR(__xludf.DUMMYFUNCTION("GOOGLETRANSLATE(H91, ""th"", ""en"")
"),"You feel that your competitors are starting to use cutting-edge strategies. What should you do?")</f>
        <v>You feel that your competitors are starting to use cutting-edge strategies. What should you do?</v>
      </c>
      <c r="C91" s="5" t="str">
        <f>IFERROR(__xludf.DUMMYFUNCTION("GOOGLETRANSLATE(I91, ""th"", ""en"")
"),"A) Learn new strategies and adapt accordingly; B) Avoid encountering him; C) Adjust your strategies to suit the situation; D) Stop playing.")</f>
        <v>A) Learn new strategies and adapt accordingly; B) Avoid encountering him; C) Adjust your strategies to suit the situation; D) Stop playing.</v>
      </c>
      <c r="D91" s="5" t="str">
        <f>IFERROR(__xludf.DUMMYFUNCTION("GOOGLETRANSLATE(J91, ""th"", ""en"")
"),"A) Study new strategies and adapt accordingly.")</f>
        <v>A) Study new strategies and adapt accordingly.</v>
      </c>
      <c r="E91" s="5" t="str">
        <f>IFERROR(__xludf.DUMMYFUNCTION("GOOGLETRANSLATE(K91, ""th"", ""en"")
"),"Learning new strategies will help you respond better.")</f>
        <v>Learning new strategies will help you respond better.</v>
      </c>
      <c r="G91" s="6">
        <v>90.0</v>
      </c>
      <c r="H91" s="7" t="s">
        <v>2434</v>
      </c>
      <c r="I91" s="7" t="s">
        <v>2435</v>
      </c>
      <c r="J91" s="7" t="s">
        <v>2436</v>
      </c>
      <c r="K91" s="7" t="s">
        <v>2437</v>
      </c>
    </row>
    <row r="92" ht="14.25" customHeight="1">
      <c r="A92" s="4">
        <v>91.0</v>
      </c>
      <c r="B92" s="5" t="str">
        <f>IFERROR(__xludf.DUMMYFUNCTION("GOOGLETRANSLATE(H92, ""th"", ""en"")
"),"You find that your teammates are uncontactable during a match, what do you do?")</f>
        <v>You find that your teammates are uncontactable during a match, what do you do?</v>
      </c>
      <c r="C92" s="5" t="str">
        <f>IFERROR(__xludf.DUMMYFUNCTION("GOOGLETRANSLATE(I92, ""th"", ""en"")
"),"A) Try to coordinate with the rest of your teammates; B) Play the same strategy and ignore him; C) Wait until he comes back; D) Stop playing.")</f>
        <v>A) Try to coordinate with the rest of your teammates; B) Play the same strategy and ignore him; C) Wait until he comes back; D) Stop playing.</v>
      </c>
      <c r="D92" s="5" t="str">
        <f>IFERROR(__xludf.DUMMYFUNCTION("GOOGLETRANSLATE(J92, ""th"", ""en"")
"),"A) Try to coordinate with the rest of your teammates.")</f>
        <v>A) Try to coordinate with the rest of your teammates.</v>
      </c>
      <c r="E92" s="5" t="str">
        <f>IFERROR(__xludf.DUMMYFUNCTION("GOOGLETRANSLATE(K92, ""th"", ""en"")
"),"Coordinating with the rest of your teammates will help the team continue to function well.")</f>
        <v>Coordinating with the rest of your teammates will help the team continue to function well.</v>
      </c>
      <c r="G92" s="6">
        <v>91.0</v>
      </c>
      <c r="H92" s="7" t="s">
        <v>2438</v>
      </c>
      <c r="I92" s="7" t="s">
        <v>2439</v>
      </c>
      <c r="J92" s="7" t="s">
        <v>2440</v>
      </c>
      <c r="K92" s="7" t="s">
        <v>2441</v>
      </c>
    </row>
    <row r="93" ht="14.25" customHeight="1">
      <c r="A93" s="4">
        <v>92.0</v>
      </c>
      <c r="B93" s="5" t="str">
        <f>IFERROR(__xludf.DUMMYFUNCTION("GOOGLETRANSLATE(H93, ""th"", ""en"")
"),"You feel like you lack self-confidence during the competition, what should you do?")</f>
        <v>You feel like you lack self-confidence during the competition, what should you do?</v>
      </c>
      <c r="C93" s="5" t="str">
        <f>IFERROR(__xludf.DUMMYFUNCTION("GOOGLETRANSLATE(I93, ""th"", ""en"")
"),"A) Try to regain confidence by adjusting your playing style; B) Avoid attacks until you are confident; C) Talk to your coach for advice; D) Stop playing.")</f>
        <v>A) Try to regain confidence by adjusting your playing style; B) Avoid attacks until you are confident; C) Talk to your coach for advice; D) Stop playing.</v>
      </c>
      <c r="D93" s="5" t="str">
        <f>IFERROR(__xludf.DUMMYFUNCTION("GOOGLETRANSLATE(J93, ""th"", ""en"")
"),"A) Try to restore your confidence by adjusting your playing posture.")</f>
        <v>A) Try to restore your confidence by adjusting your playing posture.</v>
      </c>
      <c r="E93" s="5" t="str">
        <f>IFERROR(__xludf.DUMMYFUNCTION("GOOGLETRANSLATE(K93, ""th"", ""en"")
"),"Adjusting your playing posture will help you gain confidence.")</f>
        <v>Adjusting your playing posture will help you gain confidence.</v>
      </c>
      <c r="G93" s="6">
        <v>92.0</v>
      </c>
      <c r="H93" s="7" t="s">
        <v>2442</v>
      </c>
      <c r="I93" s="7" t="s">
        <v>2443</v>
      </c>
      <c r="J93" s="7" t="s">
        <v>2444</v>
      </c>
      <c r="K93" s="7" t="s">
        <v>2445</v>
      </c>
    </row>
    <row r="94" ht="14.25" customHeight="1">
      <c r="A94" s="4">
        <v>93.0</v>
      </c>
      <c r="B94" s="5" t="str">
        <f>IFERROR(__xludf.DUMMYFUNCTION("GOOGLETRANSLATE(H94, ""th"", ""en"")
"),"During the competition, you find that your wind instruments are not working properly. What should you do?")</f>
        <v>During the competition, you find that your wind instruments are not working properly. What should you do?</v>
      </c>
      <c r="C94" s="5" t="str">
        <f>IFERROR(__xludf.DUMMYFUNCTION("GOOGLETRANSLATE(I94, ""th"", ""en"")
"),"A) Change the wind instrument and adjust your playing posture; B) Continue using the problem wind instrument; C) Avoid using the wind instrument; D) Stop playing.")</f>
        <v>A) Change the wind instrument and adjust your playing posture; B) Continue using the problem wind instrument; C) Avoid using the wind instrument; D) Stop playing.</v>
      </c>
      <c r="D94" s="5" t="str">
        <f>IFERROR(__xludf.DUMMYFUNCTION("GOOGLETRANSLATE(J94, ""th"", ""en"")
"),"A) Change the wind instruments and adjust the playing posture.")</f>
        <v>A) Change the wind instruments and adjust the playing posture.</v>
      </c>
      <c r="E94" s="5" t="str">
        <f>IFERROR(__xludf.DUMMYFUNCTION("GOOGLETRANSLATE(K94, ""th"", ""en"")
"),"Changing your wind instruments will help you play more efficiently.")</f>
        <v>Changing your wind instruments will help you play more efficiently.</v>
      </c>
      <c r="G94" s="6">
        <v>93.0</v>
      </c>
      <c r="H94" s="7" t="s">
        <v>2446</v>
      </c>
      <c r="I94" s="7" t="s">
        <v>2447</v>
      </c>
      <c r="J94" s="7" t="s">
        <v>2448</v>
      </c>
      <c r="K94" s="7" t="s">
        <v>2449</v>
      </c>
    </row>
    <row r="95" ht="14.25" customHeight="1">
      <c r="A95" s="4">
        <v>94.0</v>
      </c>
      <c r="B95" s="5" t="str">
        <f>IFERROR(__xludf.DUMMYFUNCTION("GOOGLETRANSLATE(H95, ""th"", ""en"")
"),"You find that your opponent is starting to attack too quickly, what do you do?")</f>
        <v>You find that your opponent is starting to attack too quickly, what do you do?</v>
      </c>
      <c r="C95" s="5" t="str">
        <f>IFERROR(__xludf.DUMMYFUNCTION("GOOGLETRANSLATE(I95, ""th"", ""en"")
"),"A) Speed ​​up your counterattack; B) Avoid all attacks; C) Wait for your opponent to make a mistake; D) Stop playing.")</f>
        <v>A) Speed ​​up your counterattack; B) Avoid all attacks; C) Wait for your opponent to make a mistake; D) Stop playing.</v>
      </c>
      <c r="D95" s="5" t="str">
        <f>IFERROR(__xludf.DUMMYFUNCTION("GOOGLETRANSLATE(J95, ""th"", ""en"")
"),"A) Improve response speed.")</f>
        <v>A) Improve response speed.</v>
      </c>
      <c r="E95" s="5" t="str">
        <f>IFERROR(__xludf.DUMMYFUNCTION("GOOGLETRANSLATE(K95, ""th"", ""en"")
"),"A quick response will help prevent attacks from your opponents.")</f>
        <v>A quick response will help prevent attacks from your opponents.</v>
      </c>
      <c r="G95" s="6">
        <v>94.0</v>
      </c>
      <c r="H95" s="7" t="s">
        <v>2450</v>
      </c>
      <c r="I95" s="7" t="s">
        <v>2451</v>
      </c>
      <c r="J95" s="7" t="s">
        <v>2452</v>
      </c>
      <c r="K95" s="7" t="s">
        <v>2453</v>
      </c>
    </row>
    <row r="96" ht="14.25" customHeight="1">
      <c r="A96" s="4">
        <v>95.0</v>
      </c>
      <c r="B96" s="5" t="str">
        <f>IFERROR(__xludf.DUMMYFUNCTION("GOOGLETRANSLATE(H96, ""th"", ""en"")
"),"You start to feel like you can't concentrate on your game, what should you do?")</f>
        <v>You start to feel like you can't concentrate on your game, what should you do?</v>
      </c>
      <c r="C96" s="5" t="str">
        <f>IFERROR(__xludf.DUMMYFUNCTION("GOOGLETRANSLATE(I96, ""th"", ""en"")
"),"A) Try to refocus and focus on the game; B) Stop playing and take a break; C) Adjust your playing posture to help you focus; D) Apologize and give up.")</f>
        <v>A) Try to refocus and focus on the game; B) Stop playing and take a break; C) Adjust your playing posture to help you focus; D) Apologize and give up.</v>
      </c>
      <c r="D96" s="5" t="str">
        <f>IFERROR(__xludf.DUMMYFUNCTION("GOOGLETRANSLATE(J96, ""th"", ""en"")
"),"A) Try to refocus and stay focused on the game.")</f>
        <v>A) Try to refocus and stay focused on the game.</v>
      </c>
      <c r="E96" s="5" t="str">
        <f>IFERROR(__xludf.DUMMYFUNCTION("GOOGLETRANSLATE(K96, ""th"", ""en"")
"),"Renewed focus and determination will help you play better.")</f>
        <v>Renewed focus and determination will help you play better.</v>
      </c>
      <c r="G96" s="6">
        <v>95.0</v>
      </c>
      <c r="H96" s="7" t="s">
        <v>2454</v>
      </c>
      <c r="I96" s="7" t="s">
        <v>2455</v>
      </c>
      <c r="J96" s="7" t="s">
        <v>2456</v>
      </c>
      <c r="K96" s="7" t="s">
        <v>2457</v>
      </c>
    </row>
    <row r="97" ht="14.25" customHeight="1">
      <c r="A97" s="4">
        <v>96.0</v>
      </c>
      <c r="B97" s="5" t="str">
        <f>IFERROR(__xludf.DUMMYFUNCTION("GOOGLETRANSLATE(H97, ""th"", ""en"")
"),"You find your competitors developing new techniques, what do you do?")</f>
        <v>You find your competitors developing new techniques, what do you do?</v>
      </c>
      <c r="C97" s="5" t="str">
        <f>IFERROR(__xludf.DUMMYFUNCTION("GOOGLETRANSLATE(I97, ""th"", ""en"")
"),"A) Learn his new techniques and adapt accordingly; B) Avoid playing with him; C) Adjust your strategy to suit the situation; D) Stop playing.")</f>
        <v>A) Learn his new techniques and adapt accordingly; B) Avoid playing with him; C) Adjust your strategy to suit the situation; D) Stop playing.</v>
      </c>
      <c r="D97" s="5" t="str">
        <f>IFERROR(__xludf.DUMMYFUNCTION("GOOGLETRANSLATE(J97, ""th"", ""en"")
"),"A) Study his new techniques and adapt accordingly.")</f>
        <v>A) Study his new techniques and adapt accordingly.</v>
      </c>
      <c r="E97" s="5" t="str">
        <f>IFERROR(__xludf.DUMMYFUNCTION("GOOGLETRANSLATE(K97, ""th"", ""en"")
"),"Learning new strategies and techniques will help you cope better.")</f>
        <v>Learning new strategies and techniques will help you cope better.</v>
      </c>
      <c r="G97" s="6">
        <v>96.0</v>
      </c>
      <c r="H97" s="7" t="s">
        <v>2458</v>
      </c>
      <c r="I97" s="7" t="s">
        <v>2459</v>
      </c>
      <c r="J97" s="7" t="s">
        <v>2460</v>
      </c>
      <c r="K97" s="7" t="s">
        <v>2461</v>
      </c>
    </row>
    <row r="98" ht="14.25" customHeight="1">
      <c r="A98" s="4">
        <v>97.0</v>
      </c>
      <c r="B98" s="5" t="str">
        <f>IFERROR(__xludf.DUMMYFUNCTION("GOOGLETRANSLATE(H98, ""th"", ""en"")
"),"During the match, you find your opponent is very confident. What will you do?")</f>
        <v>During the match, you find your opponent is very confident. What will you do?</v>
      </c>
      <c r="C98" s="5" t="str">
        <f>IFERROR(__xludf.DUMMYFUNCTION("GOOGLETRANSLATE(I98, ""th"", ""en"")
"),"A) Increase the pressure by attacking quickly and hard; B) Reduce the attack speed to maintain balance; C) Avoid meeting him; D) Stop playing.")</f>
        <v>A) Increase the pressure by attacking quickly and hard; B) Reduce the attack speed to maintain balance; C) Avoid meeting him; D) Stop playing.</v>
      </c>
      <c r="D98" s="5" t="str">
        <f>IFERROR(__xludf.DUMMYFUNCTION("GOOGLETRANSLATE(J98, ""th"", ""en"")
"),"A) Increase the pressure by attacking quickly and heavily.")</f>
        <v>A) Increase the pressure by attacking quickly and heavily.</v>
      </c>
      <c r="E98" s="5" t="str">
        <f>IFERROR(__xludf.DUMMYFUNCTION("GOOGLETRANSLATE(K98, ""th"", ""en"")
"),"Increasing pressure will reduce the confidence of your opponents.")</f>
        <v>Increasing pressure will reduce the confidence of your opponents.</v>
      </c>
      <c r="G98" s="6">
        <v>97.0</v>
      </c>
      <c r="H98" s="7" t="s">
        <v>2462</v>
      </c>
      <c r="I98" s="7" t="s">
        <v>2463</v>
      </c>
      <c r="J98" s="7" t="s">
        <v>2464</v>
      </c>
      <c r="K98" s="7" t="s">
        <v>2465</v>
      </c>
    </row>
    <row r="99" ht="14.25" customHeight="1">
      <c r="A99" s="4">
        <v>98.0</v>
      </c>
      <c r="B99" s="5" t="str">
        <f>IFERROR(__xludf.DUMMYFUNCTION("GOOGLETRANSLATE(H99, ""th"", ""en"")
"),"You start to feel that the results of the competition are not satisfactory, what should you do?")</f>
        <v>You start to feel that the results of the competition are not satisfactory, what should you do?</v>
      </c>
      <c r="C99" s="5" t="str">
        <f>IFERROR(__xludf.DUMMYFUNCTION("GOOGLETRANSLATE(I99, ""th"", ""en"")
"),"A) Adjust your strategy and try to turn the situation around; B) Give up and stop playing; C) Wait for your opponent to make a mistake; D) Adjust your playing style accordingly.")</f>
        <v>A) Adjust your strategy and try to turn the situation around; B) Give up and stop playing; C) Wait for your opponent to make a mistake; D) Adjust your playing style accordingly.</v>
      </c>
      <c r="D99" s="5" t="str">
        <f>IFERROR(__xludf.DUMMYFUNCTION("GOOGLETRANSLATE(J99, ""th"", ""en"")
"),"A) Adjust the strategy and try to reverse the situation.")</f>
        <v>A) Adjust the strategy and try to reverse the situation.</v>
      </c>
      <c r="E99" s="5" t="str">
        <f>IFERROR(__xludf.DUMMYFUNCTION("GOOGLETRANSLATE(K99, ""th"", ""en"")
"),"A new strategy can help you turn the situation around.")</f>
        <v>A new strategy can help you turn the situation around.</v>
      </c>
      <c r="G99" s="6">
        <v>98.0</v>
      </c>
      <c r="H99" s="7" t="s">
        <v>2466</v>
      </c>
      <c r="I99" s="7" t="s">
        <v>2467</v>
      </c>
      <c r="J99" s="7" t="s">
        <v>2468</v>
      </c>
      <c r="K99" s="7" t="s">
        <v>2469</v>
      </c>
    </row>
    <row r="100" ht="14.25" customHeight="1">
      <c r="A100" s="4">
        <v>99.0</v>
      </c>
      <c r="B100" s="5" t="str">
        <f>IFERROR(__xludf.DUMMYFUNCTION("GOOGLETRANSLATE(H100, ""th"", ""en"")
"),"You notice that the players on your team are starting to feel tired. What do you do?")</f>
        <v>You notice that the players on your team are starting to feel tired. What do you do?</v>
      </c>
      <c r="C100" s="5" t="str">
        <f>IFERROR(__xludf.DUMMYFUNCTION("GOOGLETRANSLATE(I100, ""th"", ""en"")
"),"A) Encourage and motivate teammates; B) Ask the coach for a break; C) Slow down the pace of play; D) Stop the game.")</f>
        <v>A) Encourage and motivate teammates; B) Ask the coach for a break; C) Slow down the pace of play; D) Stop the game.</v>
      </c>
      <c r="D100" s="5" t="str">
        <f>IFERROR(__xludf.DUMMYFUNCTION("GOOGLETRANSLATE(J100, ""th"", ""en"")
"),"A) Motivate and encourage teammates.")</f>
        <v>A) Motivate and encourage teammates.</v>
      </c>
      <c r="E100" s="5" t="str">
        <f>IFERROR(__xludf.DUMMYFUNCTION("GOOGLETRANSLATE(K100, ""th"", ""en"")
"),"Encouragement will help boost confidence and motivation.")</f>
        <v>Encouragement will help boost confidence and motivation.</v>
      </c>
      <c r="G100" s="6">
        <v>99.0</v>
      </c>
      <c r="H100" s="7" t="s">
        <v>2470</v>
      </c>
      <c r="I100" s="7" t="s">
        <v>2471</v>
      </c>
      <c r="J100" s="7" t="s">
        <v>1248</v>
      </c>
      <c r="K100" s="7" t="s">
        <v>2472</v>
      </c>
    </row>
    <row r="101" ht="14.25" customHeight="1">
      <c r="A101" s="4">
        <v>100.0</v>
      </c>
      <c r="B101" s="5" t="str">
        <f>IFERROR(__xludf.DUMMYFUNCTION("GOOGLETRANSLATE(H101, ""th"", ""en"")
"),"You find your opponent starting to use different strategies than usual, what do you do?")</f>
        <v>You find your opponent starting to use different strategies than usual, what do you do?</v>
      </c>
      <c r="C101" s="5" t="str">
        <f>IFERROR(__xludf.DUMMYFUNCTION("GOOGLETRANSLATE(I101, ""th"", ""en"")
"),"A) Adjust your strategy to deal with the new attack; B) Wait and see until they make a mistake; C) Adjust your grip and stance accordingly; D) Stop playing.")</f>
        <v>A) Adjust your strategy to deal with the new attack; B) Wait and see until they make a mistake; C) Adjust your grip and stance accordingly; D) Stop playing.</v>
      </c>
      <c r="D101" s="5" t="str">
        <f>IFERROR(__xludf.DUMMYFUNCTION("GOOGLETRANSLATE(J101, ""th"", ""en"")
"),"A) Adjust strategies to deal with new attacks.")</f>
        <v>A) Adjust strategies to deal with new attacks.</v>
      </c>
      <c r="E101" s="5" t="str">
        <f>IFERROR(__xludf.DUMMYFUNCTION("GOOGLETRANSLATE(K101, ""th"", ""en"")
"),"Adjusting your strategy will help you better cope with new situations.")</f>
        <v>Adjusting your strategy will help you better cope with new situations.</v>
      </c>
      <c r="G101" s="6">
        <v>100.0</v>
      </c>
      <c r="H101" s="7" t="s">
        <v>2473</v>
      </c>
      <c r="I101" s="7" t="s">
        <v>2474</v>
      </c>
      <c r="J101" s="7" t="s">
        <v>2475</v>
      </c>
      <c r="K101" s="7" t="s">
        <v>2476</v>
      </c>
    </row>
    <row r="102" ht="14.25" customHeight="1">
      <c r="A102" s="4">
        <v>101.0</v>
      </c>
      <c r="B102" s="5" t="str">
        <f>IFERROR(__xludf.DUMMYFUNCTION("GOOGLETRANSLATE(H102, ""th"", ""en"")
"),"During the match, you find that your opponent has started using unexpected techniques. What will you do?")</f>
        <v>During the match, you find that your opponent has started using unexpected techniques. What will you do?</v>
      </c>
      <c r="C102" s="5" t="str">
        <f>IFERROR(__xludf.DUMMYFUNCTION("GOOGLETRANSLATE(I102, ""th"", ""en"")
"),"A) Study his playing style and adapt accordingly; B) Avoid playing against him; C) Try to rely on the same strategy; D) Stop playing.")</f>
        <v>A) Study his playing style and adapt accordingly; B) Avoid playing against him; C) Try to rely on the same strategy; D) Stop playing.</v>
      </c>
      <c r="D102" s="5" t="str">
        <f>IFERROR(__xludf.DUMMYFUNCTION("GOOGLETRANSLATE(J102, ""th"", ""en"")
"),"A) Study his playing style and adapt accordingly.")</f>
        <v>A) Study his playing style and adapt accordingly.</v>
      </c>
      <c r="E102" s="5" t="str">
        <f>IFERROR(__xludf.DUMMYFUNCTION("GOOGLETRANSLATE(K102, ""th"", ""en"")
"),"Studying your opponent's playing style will help you cope better.")</f>
        <v>Studying your opponent's playing style will help you cope better.</v>
      </c>
      <c r="G102" s="6">
        <v>101.0</v>
      </c>
      <c r="H102" s="7" t="s">
        <v>2477</v>
      </c>
      <c r="I102" s="7" t="s">
        <v>2478</v>
      </c>
      <c r="J102" s="7" t="s">
        <v>2479</v>
      </c>
      <c r="K102" s="7" t="s">
        <v>2480</v>
      </c>
    </row>
    <row r="103" ht="14.25" customHeight="1">
      <c r="A103" s="4">
        <v>102.0</v>
      </c>
      <c r="B103" s="5" t="str">
        <f>IFERROR(__xludf.DUMMYFUNCTION("GOOGLETRANSLATE(H103, ""th"", ""en"")
"),"You start to feel the game speed increasing rapidly, what do you do?")</f>
        <v>You start to feel the game speed increasing rapidly, what do you do?</v>
      </c>
      <c r="C103" s="5" t="str">
        <f>IFERROR(__xludf.DUMMYFUNCTION("GOOGLETRANSLATE(I103, ""th"", ""en"")
"),"A) Adjust your attack and movement speed appropriately; B) Wait for the game to slow down; C) Try to stay calm and wait and see what happens; D) Stop playing.")</f>
        <v>A) Adjust your attack and movement speed appropriately; B) Wait for the game to slow down; C) Try to stay calm and wait and see what happens; D) Stop playing.</v>
      </c>
      <c r="D103" s="5" t="str">
        <f>IFERROR(__xludf.DUMMYFUNCTION("GOOGLETRANSLATE(J103, ""th"", ""en"")
"),"A) Adjust attack speed and movement speed appropriately.")</f>
        <v>A) Adjust attack speed and movement speed appropriately.</v>
      </c>
      <c r="E103" s="5" t="str">
        <f>IFERROR(__xludf.DUMMYFUNCTION("GOOGLETRANSLATE(K103, ""th"", ""en"")
"),"Adjusting your playing speed properly will help you maintain balance in your game.")</f>
        <v>Adjusting your playing speed properly will help you maintain balance in your game.</v>
      </c>
      <c r="G103" s="6">
        <v>102.0</v>
      </c>
      <c r="H103" s="7" t="s">
        <v>2481</v>
      </c>
      <c r="I103" s="7" t="s">
        <v>2482</v>
      </c>
      <c r="J103" s="7" t="s">
        <v>2483</v>
      </c>
      <c r="K103" s="7" t="s">
        <v>2484</v>
      </c>
    </row>
    <row r="104" ht="14.25" customHeight="1">
      <c r="A104" s="4">
        <v>103.0</v>
      </c>
      <c r="B104" s="5" t="str">
        <f>IFERROR(__xludf.DUMMYFUNCTION("GOOGLETRANSLATE(H104, ""th"", ""en"")
"),"You find that your competitors are starting to use deceptive tactics. What should you do?")</f>
        <v>You find that your competitors are starting to use deceptive tactics. What should you do?</v>
      </c>
      <c r="C104" s="5" t="str">
        <f>IFERROR(__xludf.DUMMYFUNCTION("GOOGLETRANSLATE(I104, ""th"", ""en"")
"),"A) Be careful and counter when you have the chance; B) Avoid approaching him; C) Use your own solid strategy; D) Stop playing.")</f>
        <v>A) Be careful and counter when you have the chance; B) Avoid approaching him; C) Use your own solid strategy; D) Stop playing.</v>
      </c>
      <c r="D104" s="5" t="str">
        <f>IFERROR(__xludf.DUMMYFUNCTION("GOOGLETRANSLATE(J104, ""th"", ""en"")
"),"A) Be cautious and respond when you have the chance.")</f>
        <v>A) Be cautious and respond when you have the chance.</v>
      </c>
      <c r="E104" s="5" t="str">
        <f>IFERROR(__xludf.DUMMYFUNCTION("GOOGLETRANSLATE(K104, ""th"", ""en"")
"),"Immediate response will help prevent your opponent from deceiving you.")</f>
        <v>Immediate response will help prevent your opponent from deceiving you.</v>
      </c>
      <c r="G104" s="6">
        <v>103.0</v>
      </c>
      <c r="H104" s="7" t="s">
        <v>2485</v>
      </c>
      <c r="I104" s="7" t="s">
        <v>2486</v>
      </c>
      <c r="J104" s="7" t="s">
        <v>2487</v>
      </c>
      <c r="K104" s="7" t="s">
        <v>2488</v>
      </c>
    </row>
    <row r="105" ht="14.25" customHeight="1">
      <c r="A105" s="4">
        <v>104.0</v>
      </c>
      <c r="B105" s="5" t="str">
        <f>IFERROR(__xludf.DUMMYFUNCTION("GOOGLETRANSLATE(H105, ""th"", ""en"")
"),"During the competition, you feel like you are losing focus. What should you do?")</f>
        <v>During the competition, you feel like you are losing focus. What should you do?</v>
      </c>
      <c r="C105" s="5" t="str">
        <f>IFERROR(__xludf.DUMMYFUNCTION("GOOGLETRANSLATE(I105, ""th"", ""en"")
"),"A) Try to refocus and refocus on your play; B) Stop playing and take a break; C) Adjust your playing posture to help you focus; D) Apologize and give up.")</f>
        <v>A) Try to refocus and refocus on your play; B) Stop playing and take a break; C) Adjust your playing posture to help you focus; D) Apologize and give up.</v>
      </c>
      <c r="D105" s="5" t="str">
        <f>IFERROR(__xludf.DUMMYFUNCTION("GOOGLETRANSLATE(J105, ""th"", ""en"")
"),"A) Try to refocus and focus on playing.")</f>
        <v>A) Try to refocus and focus on playing.</v>
      </c>
      <c r="E105" s="5" t="str">
        <f>IFERROR(__xludf.DUMMYFUNCTION("GOOGLETRANSLATE(K105, ""th"", ""en"")
"),"Staying focused will help you get back into the game.")</f>
        <v>Staying focused will help you get back into the game.</v>
      </c>
      <c r="G105" s="6">
        <v>104.0</v>
      </c>
      <c r="H105" s="7" t="s">
        <v>2489</v>
      </c>
      <c r="I105" s="7" t="s">
        <v>2490</v>
      </c>
      <c r="J105" s="7" t="s">
        <v>2491</v>
      </c>
      <c r="K105" s="7" t="s">
        <v>2492</v>
      </c>
    </row>
    <row r="106" ht="14.25" customHeight="1">
      <c r="A106" s="4">
        <v>105.0</v>
      </c>
      <c r="B106" s="5" t="str">
        <f>IFERROR(__xludf.DUMMYFUNCTION("GOOGLETRANSLATE(H106, ""th"", ""en"")
"),"You find your competitors are starting to launch more aggressive attacks, what do you do?")</f>
        <v>You find your competitors are starting to launch more aggressive attacks, what do you do?</v>
      </c>
      <c r="C106" s="5" t="str">
        <f>IFERROR(__xludf.DUMMYFUNCTION("GOOGLETRANSLATE(I106, ""th"", ""en"")
"),"A) Use evasion and counter-attack techniques; B) Adjust your playing style to avoid attacks; C) Avoid counter-attacks and wait and see; D) Stop playing.")</f>
        <v>A) Use evasion and counter-attack techniques; B) Adjust your playing style to avoid attacks; C) Avoid counter-attacks and wait and see; D) Stop playing.</v>
      </c>
      <c r="D106" s="5" t="str">
        <f>IFERROR(__xludf.DUMMYFUNCTION("GOOGLETRANSLATE(J106, ""th"", ""en"")
"),"A) Use evasion and counterattack techniques.")</f>
        <v>A) Use evasion and counterattack techniques.</v>
      </c>
      <c r="E106" s="5" t="str">
        <f>IFERROR(__xludf.DUMMYFUNCTION("GOOGLETRANSLATE(K106, ""th"", ""en"")
"),"Evasion and counterattack will reduce pressure from competitors.")</f>
        <v>Evasion and counterattack will reduce pressure from competitors.</v>
      </c>
      <c r="G106" s="6">
        <v>105.0</v>
      </c>
      <c r="H106" s="7" t="s">
        <v>2493</v>
      </c>
      <c r="I106" s="7" t="s">
        <v>2494</v>
      </c>
      <c r="J106" s="7" t="s">
        <v>2392</v>
      </c>
      <c r="K106" s="7" t="s">
        <v>2495</v>
      </c>
    </row>
    <row r="107" ht="14.25" customHeight="1">
      <c r="A107" s="4">
        <v>106.0</v>
      </c>
      <c r="B107" s="5" t="str">
        <f>IFERROR(__xludf.DUMMYFUNCTION("GOOGLETRANSLATE(H107, ""th"", ""en"")
"),"You feel like your wind instruments are starting to have problems, what should you do?")</f>
        <v>You feel like your wind instruments are starting to have problems, what should you do?</v>
      </c>
      <c r="C107" s="5" t="str">
        <f>IFERROR(__xludf.DUMMYFUNCTION("GOOGLETRANSLATE(I107, ""th"", ""en"")
"),"A) Adjust your wind instrument holding position to be stable; B) Change the wind instrument immediately; C) Continue using the problem wind instrument; D) Stop playing.")</f>
        <v>A) Adjust your wind instrument holding position to be stable; B) Change the wind instrument immediately; C) Continue using the problem wind instrument; D) Stop playing.</v>
      </c>
      <c r="D107" s="5" t="str">
        <f>IFERROR(__xludf.DUMMYFUNCTION("GOOGLETRANSLATE(J107, ""th"", ""en"")
"),"B) Replace the wind instruments immediately.")</f>
        <v>B) Replace the wind instruments immediately.</v>
      </c>
      <c r="E107" s="5" t="str">
        <f>IFERROR(__xludf.DUMMYFUNCTION("GOOGLETRANSLATE(K107, ""th"", ""en"")
"),"Using a problematic wind instrument will reduce the playing efficiency.")</f>
        <v>Using a problematic wind instrument will reduce the playing efficiency.</v>
      </c>
      <c r="G107" s="6">
        <v>106.0</v>
      </c>
      <c r="H107" s="7" t="s">
        <v>2496</v>
      </c>
      <c r="I107" s="7" t="s">
        <v>2497</v>
      </c>
      <c r="J107" s="7" t="s">
        <v>2498</v>
      </c>
      <c r="K107" s="7" t="s">
        <v>2499</v>
      </c>
    </row>
    <row r="108" ht="14.25" customHeight="1">
      <c r="A108" s="4">
        <v>107.0</v>
      </c>
      <c r="B108" s="5" t="str">
        <f>IFERROR(__xludf.DUMMYFUNCTION("GOOGLETRANSLATE(H108, ""th"", ""en"")
"),"You start to feel like the game isn't going as expected, what do you do?")</f>
        <v>You start to feel like the game isn't going as expected, what do you do?</v>
      </c>
      <c r="C108" s="5" t="str">
        <f>IFERROR(__xludf.DUMMYFUNCTION("GOOGLETRANSLATE(I108, ""th"", ""en"")
"),"A) Adjust your strategy and playing style to improve; B) Avoid attacks and wait and see; C) Stop playing and take a break; D) Try to stick to your old strategy.")</f>
        <v>A) Adjust your strategy and playing style to improve; B) Avoid attacks and wait and see; C) Stop playing and take a break; D) Try to stick to your old strategy.</v>
      </c>
      <c r="D108" s="5" t="str">
        <f>IFERROR(__xludf.DUMMYFUNCTION("GOOGLETRANSLATE(J108, ""th"", ""en"")
"),"A) Adjust your strategy and playing style to improve.")</f>
        <v>A) Adjust your strategy and playing style to improve.</v>
      </c>
      <c r="E108" s="5" t="str">
        <f>IFERROR(__xludf.DUMMYFUNCTION("GOOGLETRANSLATE(K108, ""th"", ""en"")
"),"A new strategy will increase the chances of reversing the situation.")</f>
        <v>A new strategy will increase the chances of reversing the situation.</v>
      </c>
      <c r="G108" s="6">
        <v>107.0</v>
      </c>
      <c r="H108" s="7" t="s">
        <v>2500</v>
      </c>
      <c r="I108" s="7" t="s">
        <v>2501</v>
      </c>
      <c r="J108" s="7" t="s">
        <v>2502</v>
      </c>
      <c r="K108" s="7" t="s">
        <v>2503</v>
      </c>
    </row>
    <row r="109" ht="14.25" customHeight="1">
      <c r="A109" s="4">
        <v>108.0</v>
      </c>
      <c r="B109" s="5" t="str">
        <f>IFERROR(__xludf.DUMMYFUNCTION("GOOGLETRANSLATE(H109, ""th"", ""en"")
"),"You find that your opponent's wind instruments are starting to have problems, what should you do?")</f>
        <v>You find that your opponent's wind instruments are starting to have problems, what should you do?</v>
      </c>
      <c r="C109" s="5" t="str">
        <f>IFERROR(__xludf.DUMMYFUNCTION("GOOGLETRANSLATE(I109, ""th"", ""en"")
"),"A) Take this opportunity to attack quickly; B) Wait for him to resolve the issue first; C) Avoid attacking and wait and see; D) Stop playing.")</f>
        <v>A) Take this opportunity to attack quickly; B) Wait for him to resolve the issue first; C) Avoid attacking and wait and see; D) Stop playing.</v>
      </c>
      <c r="D109" s="5" t="str">
        <f>IFERROR(__xludf.DUMMYFUNCTION("GOOGLETRANSLATE(J109, ""th"", ""en"")
"),"A) Take this opportunity to attack quickly.")</f>
        <v>A) Take this opportunity to attack quickly.</v>
      </c>
      <c r="E109" s="5" t="str">
        <f>IFERROR(__xludf.DUMMYFUNCTION("GOOGLETRANSLATE(K109, ""th"", ""en"")
"),"Quick attacks will allow you to take advantage.")</f>
        <v>Quick attacks will allow you to take advantage.</v>
      </c>
      <c r="G109" s="6">
        <v>108.0</v>
      </c>
      <c r="H109" s="7" t="s">
        <v>2504</v>
      </c>
      <c r="I109" s="7" t="s">
        <v>2505</v>
      </c>
      <c r="J109" s="7" t="s">
        <v>2506</v>
      </c>
      <c r="K109" s="7" t="s">
        <v>2507</v>
      </c>
    </row>
    <row r="110" ht="14.25" customHeight="1">
      <c r="A110" s="4">
        <v>109.0</v>
      </c>
      <c r="B110" s="5" t="str">
        <f>IFERROR(__xludf.DUMMYFUNCTION("GOOGLETRANSLATE(H110, ""th"", ""en"")
"),"You start to feel your opponent's technique getting stronger, what do you do?")</f>
        <v>You start to feel your opponent's technique getting stronger, what do you do?</v>
      </c>
      <c r="C110" s="5" t="str">
        <f>IFERROR(__xludf.DUMMYFUNCTION("GOOGLETRANSLATE(I110, ""th"", ""en"")
"),"A) Adjust your own techniques and strategies to cope; B) Avoid attacking him; C) Try to rely on your old strategies; D) Stop playing.")</f>
        <v>A) Adjust your own techniques and strategies to cope; B) Avoid attacking him; C) Try to rely on your old strategies; D) Stop playing.</v>
      </c>
      <c r="D110" s="5" t="str">
        <f>IFERROR(__xludf.DUMMYFUNCTION("GOOGLETRANSLATE(J110, ""th"", ""en"")
"),"A) Adjust your own techniques and strategies to cope.")</f>
        <v>A) Adjust your own techniques and strategies to cope.</v>
      </c>
      <c r="E110" s="5" t="str">
        <f>IFERROR(__xludf.DUMMYFUNCTION("GOOGLETRANSLATE(K110, ""th"", ""en"")
"),"Adjusting your techniques and strategies will help you cope with your opponents.")</f>
        <v>Adjusting your techniques and strategies will help you cope with your opponents.</v>
      </c>
      <c r="G110" s="6">
        <v>109.0</v>
      </c>
      <c r="H110" s="7" t="s">
        <v>2508</v>
      </c>
      <c r="I110" s="7" t="s">
        <v>2509</v>
      </c>
      <c r="J110" s="7" t="s">
        <v>2510</v>
      </c>
      <c r="K110" s="7" t="s">
        <v>2511</v>
      </c>
    </row>
    <row r="111" ht="14.25" customHeight="1">
      <c r="A111" s="4">
        <v>110.0</v>
      </c>
      <c r="B111" s="5" t="str">
        <f>IFERROR(__xludf.DUMMYFUNCTION("GOOGLETRANSLATE(H111, ""th"", ""en"")
"),"You notice that your opponent is starting to play faster. What do you do?")</f>
        <v>You notice that your opponent is starting to play faster. What do you do?</v>
      </c>
      <c r="C111" s="5" t="str">
        <f>IFERROR(__xludf.DUMMYFUNCTION("GOOGLETRANSLATE(I111, ""th"", ""en"")
"),"A) Speed ​​up your game; B) Avoid confrontation with him; C) Try to slow down the game; D) Stop playing.")</f>
        <v>A) Speed ​​up your game; B) Avoid confrontation with him; C) Try to slow down the game; D) Stop playing.</v>
      </c>
      <c r="D111" s="5" t="str">
        <f>IFERROR(__xludf.DUMMYFUNCTION("GOOGLETRANSLATE(J111, ""th"", ""en"")
"),"A) Adjust the playback speed.")</f>
        <v>A) Adjust the playback speed.</v>
      </c>
      <c r="E111" s="5" t="str">
        <f>IFERROR(__xludf.DUMMYFUNCTION("GOOGLETRANSLATE(K111, ""th"", ""en"")
"),"Adjusting your gameplay to a faster pace will help you catch your opponents.")</f>
        <v>Adjusting your gameplay to a faster pace will help you catch your opponents.</v>
      </c>
      <c r="G111" s="6">
        <v>110.0</v>
      </c>
      <c r="H111" s="7" t="s">
        <v>2512</v>
      </c>
      <c r="I111" s="7" t="s">
        <v>2513</v>
      </c>
      <c r="J111" s="7" t="s">
        <v>2514</v>
      </c>
      <c r="K111" s="7" t="s">
        <v>2515</v>
      </c>
    </row>
    <row r="112" ht="14.25" customHeight="1">
      <c r="A112" s="4">
        <v>111.0</v>
      </c>
      <c r="B112" s="5" t="str">
        <f>IFERROR(__xludf.DUMMYFUNCTION("GOOGLETRANSLATE(H112, ""th"", ""en"")
"),"You notice that a player on your team is losing focus. What should you do?")</f>
        <v>You notice that a player on your team is losing focus. What should you do?</v>
      </c>
      <c r="C112" s="5" t="str">
        <f>IFERROR(__xludf.DUMMYFUNCTION("GOOGLETRANSLATE(I112, ""th"", ""en"")
"),"A) Encourage and motivate your teammates; B) Avoid talking about it; C) Adjust your strategy accordingly; D) Stop playing.")</f>
        <v>A) Encourage and motivate your teammates; B) Avoid talking about it; C) Adjust your strategy accordingly; D) Stop playing.</v>
      </c>
      <c r="D112" s="5" t="str">
        <f>IFERROR(__xludf.DUMMYFUNCTION("GOOGLETRANSLATE(J112, ""th"", ""en"")
"),"A) Motivate and encourage teammates.")</f>
        <v>A) Motivate and encourage teammates.</v>
      </c>
      <c r="E112" s="5" t="str">
        <f>IFERROR(__xludf.DUMMYFUNCTION("GOOGLETRANSLATE(K112, ""th"", ""en"")
"),"Motivation and encouragement will help restore team focus.")</f>
        <v>Motivation and encouragement will help restore team focus.</v>
      </c>
      <c r="G112" s="6">
        <v>111.0</v>
      </c>
      <c r="H112" s="7" t="s">
        <v>2516</v>
      </c>
      <c r="I112" s="7" t="s">
        <v>2517</v>
      </c>
      <c r="J112" s="7" t="s">
        <v>1248</v>
      </c>
      <c r="K112" s="7" t="s">
        <v>2518</v>
      </c>
    </row>
    <row r="113" ht="14.25" customHeight="1">
      <c r="A113" s="4">
        <v>112.0</v>
      </c>
      <c r="B113" s="5" t="str">
        <f>IFERROR(__xludf.DUMMYFUNCTION("GOOGLETRANSLATE(H113, ""th"", ""en"")
"),"During the match, you start to feel anxious about your performance. What do you do?")</f>
        <v>During the match, you start to feel anxious about your performance. What do you do?</v>
      </c>
      <c r="C113" s="5" t="str">
        <f>IFERROR(__xludf.DUMMYFUNCTION("GOOGLETRANSLATE(I113, ""th"", ""en"")
"),"A) Try to concentrate and focus on playing; B) Avoid attacks to avoid making mistakes; C) Adjust your playing posture to gain confidence; D) Stop playing.")</f>
        <v>A) Try to concentrate and focus on playing; B) Avoid attacks to avoid making mistakes; C) Adjust your playing posture to gain confidence; D) Stop playing.</v>
      </c>
      <c r="D113" s="5" t="str">
        <f>IFERROR(__xludf.DUMMYFUNCTION("GOOGLETRANSLATE(J113, ""th"", ""en"")
"),"A) Try to concentrate and focus on playing.")</f>
        <v>A) Try to concentrate and focus on playing.</v>
      </c>
      <c r="E113" s="5" t="str">
        <f>IFERROR(__xludf.DUMMYFUNCTION("GOOGLETRANSLATE(K113, ""th"", ""en"")
"),"Concentration will reduce anxiety and help you play better.")</f>
        <v>Concentration will reduce anxiety and help you play better.</v>
      </c>
      <c r="G113" s="6">
        <v>112.0</v>
      </c>
      <c r="H113" s="7" t="s">
        <v>2519</v>
      </c>
      <c r="I113" s="7" t="s">
        <v>2520</v>
      </c>
      <c r="J113" s="7" t="s">
        <v>2521</v>
      </c>
      <c r="K113" s="7" t="s">
        <v>2522</v>
      </c>
    </row>
    <row r="114" ht="14.25" customHeight="1">
      <c r="A114" s="4">
        <v>113.0</v>
      </c>
      <c r="B114" s="5" t="str">
        <f>IFERROR(__xludf.DUMMYFUNCTION("GOOGLETRANSLATE(H114, ""th"", ""en"")
"),"You notice that your opponent is starting to use faster attacks. What do you do?")</f>
        <v>You notice that your opponent is starting to use faster attacks. What do you do?</v>
      </c>
      <c r="C114" s="5" t="str">
        <f>IFERROR(__xludf.DUMMYFUNCTION("GOOGLETRANSLATE(I114, ""th"", ""en"")
"),"A) Adapt your response speed; B) Avoid attacks and wait and see; C) Adjust your strategy accordingly; D) Stop playing.")</f>
        <v>A) Adapt your response speed; B) Avoid attacks and wait and see; C) Adjust your strategy accordingly; D) Stop playing.</v>
      </c>
      <c r="D114" s="5" t="str">
        <f>IFERROR(__xludf.DUMMYFUNCTION("GOOGLETRANSLATE(J114, ""th"", ""en"")
"),"A) Improve response speed.")</f>
        <v>A) Improve response speed.</v>
      </c>
      <c r="E114" s="5" t="str">
        <f>IFERROR(__xludf.DUMMYFUNCTION("GOOGLETRANSLATE(K114, ""th"", ""en"")
"),"A quick response will reduce the competitor's advantage.")</f>
        <v>A quick response will reduce the competitor's advantage.</v>
      </c>
      <c r="G114" s="6">
        <v>113.0</v>
      </c>
      <c r="H114" s="7" t="s">
        <v>2523</v>
      </c>
      <c r="I114" s="7" t="s">
        <v>2524</v>
      </c>
      <c r="J114" s="7" t="s">
        <v>2452</v>
      </c>
      <c r="K114" s="7" t="s">
        <v>2525</v>
      </c>
    </row>
    <row r="115" ht="14.25" customHeight="1">
      <c r="A115" s="4">
        <v>114.0</v>
      </c>
      <c r="B115" s="5" t="str">
        <f>IFERROR(__xludf.DUMMYFUNCTION("GOOGLETRANSLATE(H115, ""th"", ""en"")
"),"You start to feel that your opponent's technique is getting worse, what should you do?")</f>
        <v>You start to feel that your opponent's technique is getting worse, what should you do?</v>
      </c>
      <c r="C115" s="5" t="str">
        <f>IFERROR(__xludf.DUMMYFUNCTION("GOOGLETRANSLATE(I115, ""th"", ""en"")
"),"A) Take this opportunity to attack fiercely; B) Avoid the attack; C) Adjust your playing style; D) Stop playing.")</f>
        <v>A) Take this opportunity to attack fiercely; B) Avoid the attack; C) Adjust your playing style; D) Stop playing.</v>
      </c>
      <c r="D115" s="5" t="str">
        <f>IFERROR(__xludf.DUMMYFUNCTION("GOOGLETRANSLATE(J115, ""th"", ""en"")
"),"A) Use this opportunity to launch a violent attack.")</f>
        <v>A) Use this opportunity to launch a violent attack.</v>
      </c>
      <c r="E115" s="5" t="str">
        <f>IFERROR(__xludf.DUMMYFUNCTION("GOOGLETRANSLATE(K115, ""th"", ""en"")
"),"Attacking when your opponent is in trouble will increase your chances of winning.")</f>
        <v>Attacking when your opponent is in trouble will increase your chances of winning.</v>
      </c>
      <c r="G115" s="6">
        <v>114.0</v>
      </c>
      <c r="H115" s="7" t="s">
        <v>2526</v>
      </c>
      <c r="I115" s="7" t="s">
        <v>2527</v>
      </c>
      <c r="J115" s="7" t="s">
        <v>2528</v>
      </c>
      <c r="K115" s="7" t="s">
        <v>2529</v>
      </c>
    </row>
    <row r="116" ht="14.25" customHeight="1">
      <c r="A116" s="4">
        <v>115.0</v>
      </c>
      <c r="B116" s="5" t="str">
        <f>IFERROR(__xludf.DUMMYFUNCTION("GOOGLETRANSLATE(H116, ""th"", ""en"")
"),"You notice that the players on your team are starting to feel tired. What do you do?")</f>
        <v>You notice that the players on your team are starting to feel tired. What do you do?</v>
      </c>
      <c r="C116" s="5" t="str">
        <f>IFERROR(__xludf.DUMMYFUNCTION("GOOGLETRANSLATE(I116, ""th"", ""en"")
"),"A) Adjust your strategy to give everyone a break; B) Increase your attack speed; C) Play with your original strategy; D) Stop playing.")</f>
        <v>A) Adjust your strategy to give everyone a break; B) Increase your attack speed; C) Play with your original strategy; D) Stop playing.</v>
      </c>
      <c r="D116" s="5" t="str">
        <f>IFERROR(__xludf.DUMMYFUNCTION("GOOGLETRANSLATE(J116, ""th"", ""en"")
"),"A) Adjust your playing strategy to give everyone a break.")</f>
        <v>A) Adjust your playing strategy to give everyone a break.</v>
      </c>
      <c r="E116" s="5" t="str">
        <f>IFERROR(__xludf.DUMMYFUNCTION("GOOGLETRANSLATE(K116, ""th"", ""en"")
"),"Adjusting the strategy to give everyone a break will help the team re-energize.")</f>
        <v>Adjusting the strategy to give everyone a break will help the team re-energize.</v>
      </c>
      <c r="G116" s="6">
        <v>115.0</v>
      </c>
      <c r="H116" s="7" t="s">
        <v>2530</v>
      </c>
      <c r="I116" s="7" t="s">
        <v>2531</v>
      </c>
      <c r="J116" s="7" t="s">
        <v>2532</v>
      </c>
      <c r="K116" s="7" t="s">
        <v>2533</v>
      </c>
    </row>
    <row r="117" ht="14.25" customHeight="1">
      <c r="A117" s="4">
        <v>116.0</v>
      </c>
      <c r="B117" s="5" t="str">
        <f>IFERROR(__xludf.DUMMYFUNCTION("GOOGLETRANSLATE(H117, ""th"", ""en"")
"),"You find that your opponent's wind instruments are starting to have problems, what do you do?")</f>
        <v>You find that your opponent's wind instruments are starting to have problems, what do you do?</v>
      </c>
      <c r="C117" s="5" t="str">
        <f>IFERROR(__xludf.DUMMYFUNCTION("GOOGLETRANSLATE(I117, ""th"", ""en"")
"),"A) Take this opportunity to attack quickly; B) Avoid the attack and wait and see; C) Adjust your playing style appropriately; D) Stop playing.")</f>
        <v>A) Take this opportunity to attack quickly; B) Avoid the attack and wait and see; C) Adjust your playing style appropriately; D) Stop playing.</v>
      </c>
      <c r="D117" s="5" t="str">
        <f>IFERROR(__xludf.DUMMYFUNCTION("GOOGLETRANSLATE(J117, ""th"", ""en"")
"),"A) Take this opportunity to attack quickly.")</f>
        <v>A) Take this opportunity to attack quickly.</v>
      </c>
      <c r="E117" s="5" t="str">
        <f>IFERROR(__xludf.DUMMYFUNCTION("GOOGLETRANSLATE(K117, ""th"", ""en"")
"),"Attacking immediately when your opponent is in trouble will give you a better chance of winning.")</f>
        <v>Attacking immediately when your opponent is in trouble will give you a better chance of winning.</v>
      </c>
      <c r="G117" s="6">
        <v>116.0</v>
      </c>
      <c r="H117" s="7" t="s">
        <v>2534</v>
      </c>
      <c r="I117" s="7" t="s">
        <v>2535</v>
      </c>
      <c r="J117" s="7" t="s">
        <v>2506</v>
      </c>
      <c r="K117" s="7" t="s">
        <v>2536</v>
      </c>
    </row>
    <row r="118" ht="14.25" customHeight="1">
      <c r="A118" s="4">
        <v>117.0</v>
      </c>
      <c r="B118" s="5" t="str">
        <f>IFERROR(__xludf.DUMMYFUNCTION("GOOGLETRANSLATE(H118, ""th"", ""en"")
"),"You start to feel like you can't follow through on your strategy. What do you do?")</f>
        <v>You start to feel like you can't follow through on your strategy. What do you do?</v>
      </c>
      <c r="C118" s="5" t="str">
        <f>IFERROR(__xludf.DUMMYFUNCTION("GOOGLETRANSLATE(I118, ""th"", ""en"")
"),"A) Adjust your strategy and playing style; B) Wait and see and expect your opponent to make mistakes; C) Rely on your old strategy; D) Stop playing.")</f>
        <v>A) Adjust your strategy and playing style; B) Wait and see and expect your opponent to make mistakes; C) Rely on your old strategy; D) Stop playing.</v>
      </c>
      <c r="D118" s="5" t="str">
        <f>IFERROR(__xludf.DUMMYFUNCTION("GOOGLETRANSLATE(J118, ""th"", ""en"")
"),"A) Adjust your strategy and playing style.")</f>
        <v>A) Adjust your strategy and playing style.</v>
      </c>
      <c r="E118" s="5" t="str">
        <f>IFERROR(__xludf.DUMMYFUNCTION("GOOGLETRANSLATE(K118, ""th"", ""en"")
"),"Adjusting your strategy according to the situation will help you get back on track.")</f>
        <v>Adjusting your strategy according to the situation will help you get back on track.</v>
      </c>
      <c r="G118" s="6">
        <v>117.0</v>
      </c>
      <c r="H118" s="7" t="s">
        <v>2537</v>
      </c>
      <c r="I118" s="7" t="s">
        <v>2538</v>
      </c>
      <c r="J118" s="7" t="s">
        <v>2539</v>
      </c>
      <c r="K118" s="7" t="s">
        <v>2540</v>
      </c>
    </row>
    <row r="119" ht="14.25" customHeight="1">
      <c r="A119" s="4">
        <v>118.0</v>
      </c>
      <c r="B119" s="5" t="str">
        <f>IFERROR(__xludf.DUMMYFUNCTION("GOOGLETRANSLATE(H119, ""th"", ""en"")
"),"You find your competitors using new techniques you've never seen before. What do you do?")</f>
        <v>You find your competitors using new techniques you've never seen before. What do you do?</v>
      </c>
      <c r="C119" s="5" t="str">
        <f>IFERROR(__xludf.DUMMYFUNCTION("GOOGLETRANSLATE(I119, ""th"", ""en"")
"),"A) Learn and adapt to new techniques; B) Avoid approaching him; C) Adjust your strategy accordingly; D) Stop playing.")</f>
        <v>A) Learn and adapt to new techniques; B) Avoid approaching him; C) Adjust your strategy accordingly; D) Stop playing.</v>
      </c>
      <c r="D119" s="5" t="str">
        <f>IFERROR(__xludf.DUMMYFUNCTION("GOOGLETRANSLATE(J119, ""th"", ""en"")
"),"A) Study and adapt to new techniques.")</f>
        <v>A) Study and adapt to new techniques.</v>
      </c>
      <c r="E119" s="5" t="str">
        <f>IFERROR(__xludf.DUMMYFUNCTION("GOOGLETRANSLATE(K119, ""th"", ""en"")
"),"Learning new ways to play will help you cope better.")</f>
        <v>Learning new ways to play will help you cope better.</v>
      </c>
      <c r="G119" s="6">
        <v>118.0</v>
      </c>
      <c r="H119" s="7" t="s">
        <v>2541</v>
      </c>
      <c r="I119" s="7" t="s">
        <v>2542</v>
      </c>
      <c r="J119" s="7" t="s">
        <v>2543</v>
      </c>
      <c r="K119" s="7" t="s">
        <v>2544</v>
      </c>
    </row>
    <row r="120" ht="14.25" customHeight="1">
      <c r="A120" s="4">
        <v>119.0</v>
      </c>
      <c r="B120" s="5" t="str">
        <f>IFERROR(__xludf.DUMMYFUNCTION("GOOGLETRANSLATE(H120, ""th"", ""en"")
"),"During the competition, you find that your opponent has started using deception. What will you do?")</f>
        <v>During the competition, you find that your opponent has started using deception. What will you do?</v>
      </c>
      <c r="C120" s="5" t="str">
        <f>IFERROR(__xludf.DUMMYFUNCTION("GOOGLETRANSLATE(I120, ""th"", ""en"")
"),"A) Be cautious and respond when you have the chance; B) Avoid confronting him; C) Try to rely on your old strategy; D) Stop playing.")</f>
        <v>A) Be cautious and respond when you have the chance; B) Avoid confronting him; C) Try to rely on your old strategy; D) Stop playing.</v>
      </c>
      <c r="D120" s="5" t="str">
        <f>IFERROR(__xludf.DUMMYFUNCTION("GOOGLETRANSLATE(J120, ""th"", ""en"")
"),"A) Be cautious and respond when you have the chance.")</f>
        <v>A) Be cautious and respond when you have the chance.</v>
      </c>
      <c r="E120" s="5" t="str">
        <f>IFERROR(__xludf.DUMMYFUNCTION("GOOGLETRANSLATE(K120, ""th"", ""en"")
"),"Being cautious and responsive will help prevent your competitors from deceiving you.")</f>
        <v>Being cautious and responsive will help prevent your competitors from deceiving you.</v>
      </c>
      <c r="G120" s="6">
        <v>119.0</v>
      </c>
      <c r="H120" s="7" t="s">
        <v>2545</v>
      </c>
      <c r="I120" s="7" t="s">
        <v>2546</v>
      </c>
      <c r="J120" s="7" t="s">
        <v>2487</v>
      </c>
      <c r="K120" s="7" t="s">
        <v>2547</v>
      </c>
    </row>
    <row r="121" ht="14.25" customHeight="1">
      <c r="A121" s="4">
        <v>120.0</v>
      </c>
      <c r="B121" s="5" t="str">
        <f>IFERROR(__xludf.DUMMYFUNCTION("GOOGLETRANSLATE(H121, ""th"", ""en"")
"),"You start to feel like the game isn't going as expected, what do you do?")</f>
        <v>You start to feel like the game isn't going as expected, what do you do?</v>
      </c>
      <c r="C121" s="5" t="str">
        <f>IFERROR(__xludf.DUMMYFUNCTION("GOOGLETRANSLATE(I121, ""th"", ""en"")
"),"A) Adapt a new strategy and try to fix the situation; B) Stop playing and take a break; C) Try to stick to the old strategy; D) Wait and see until the opponent makes a mistake.")</f>
        <v>A) Adapt a new strategy and try to fix the situation; B) Stop playing and take a break; C) Try to stick to the old strategy; D) Wait and see until the opponent makes a mistake.</v>
      </c>
      <c r="D121" s="5" t="str">
        <f>IFERROR(__xludf.DUMMYFUNCTION("GOOGLETRANSLATE(J121, ""th"", ""en"")
"),"A) Adjust the strategy and try to resolve the situation.")</f>
        <v>A) Adjust the strategy and try to resolve the situation.</v>
      </c>
      <c r="E121" s="5" t="str">
        <f>IFERROR(__xludf.DUMMYFUNCTION("GOOGLETRANSLATE(K121, ""th"", ""en"")
"),"Adjusting your strategy will help you come back better.")</f>
        <v>Adjusting your strategy will help you come back better.</v>
      </c>
      <c r="G121" s="6">
        <v>120.0</v>
      </c>
      <c r="H121" s="7" t="s">
        <v>2548</v>
      </c>
      <c r="I121" s="7" t="s">
        <v>2549</v>
      </c>
      <c r="J121" s="7" t="s">
        <v>2550</v>
      </c>
      <c r="K121" s="7" t="s">
        <v>2551</v>
      </c>
    </row>
    <row r="122" ht="14.25" customHeight="1">
      <c r="A122" s="4">
        <v>121.0</v>
      </c>
      <c r="B122" s="5" t="str">
        <f>IFERROR(__xludf.DUMMYFUNCTION("GOOGLETRANSLATE(H122, ""th"", ""en"")
"),"You find that your teammates are uncontactable during a match, what do you do?")</f>
        <v>You find that your teammates are uncontactable during a match, what do you do?</v>
      </c>
      <c r="C122" s="5" t="str">
        <f>IFERROR(__xludf.DUMMYFUNCTION("GOOGLETRANSLATE(I122, ""th"", ""en"")
"),"A) Coordinate with the rest of the teammates and continue; B) Avoid contact with him and play according to the original strategy; C) Wait until he returns; D) Stop playing.")</f>
        <v>A) Coordinate with the rest of the teammates and continue; B) Avoid contact with him and play according to the original strategy; C) Wait until he returns; D) Stop playing.</v>
      </c>
      <c r="D122" s="5" t="str">
        <f>IFERROR(__xludf.DUMMYFUNCTION("GOOGLETRANSLATE(J122, ""th"", ""en"")
"),"A) Coordinate with the rest of the team and continue.")</f>
        <v>A) Coordinate with the rest of the team and continue.</v>
      </c>
      <c r="E122" s="5" t="str">
        <f>IFERROR(__xludf.DUMMYFUNCTION("GOOGLETRANSLATE(K122, ""th"", ""en"")
"),"Working with the rest of your teammates will help keep the team functioning.")</f>
        <v>Working with the rest of your teammates will help keep the team functioning.</v>
      </c>
      <c r="G122" s="6">
        <v>121.0</v>
      </c>
      <c r="H122" s="7" t="s">
        <v>2438</v>
      </c>
      <c r="I122" s="7" t="s">
        <v>2552</v>
      </c>
      <c r="J122" s="7" t="s">
        <v>2553</v>
      </c>
      <c r="K122" s="7" t="s">
        <v>2554</v>
      </c>
    </row>
    <row r="123" ht="14.25" customHeight="1">
      <c r="A123" s="4">
        <v>122.0</v>
      </c>
      <c r="B123" s="5" t="str">
        <f>IFERROR(__xludf.DUMMYFUNCTION("GOOGLETRANSLATE(H123, ""th"", ""en"")
"),"You find that your wind instruments are starting to have problems, what should you do?")</f>
        <v>You find that your wind instruments are starting to have problems, what should you do?</v>
      </c>
      <c r="C123" s="5" t="str">
        <f>IFERROR(__xludf.DUMMYFUNCTION("GOOGLETRANSLATE(I123, ""th"", ""en"")
"),"A) Immediately replace the wind instrument; B) Continue using the affected wind instrument; C) Adjust your wind instrument grip to be more stable; D) Stop playing.")</f>
        <v>A) Immediately replace the wind instrument; B) Continue using the affected wind instrument; C) Adjust your wind instrument grip to be more stable; D) Stop playing.</v>
      </c>
      <c r="D123" s="5" t="str">
        <f>IFERROR(__xludf.DUMMYFUNCTION("GOOGLETRANSLATE(J123, ""th"", ""en"")
"),"A) Replace the wind instruments immediately.")</f>
        <v>A) Replace the wind instruments immediately.</v>
      </c>
      <c r="E123" s="5" t="str">
        <f>IFERROR(__xludf.DUMMYFUNCTION("GOOGLETRANSLATE(K123, ""th"", ""en"")
"),"Using a problematic wind instrument will reduce the playing efficiency.")</f>
        <v>Using a problematic wind instrument will reduce the playing efficiency.</v>
      </c>
      <c r="G123" s="6">
        <v>122.0</v>
      </c>
      <c r="H123" s="7" t="s">
        <v>2555</v>
      </c>
      <c r="I123" s="7" t="s">
        <v>2556</v>
      </c>
      <c r="J123" s="7" t="s">
        <v>2557</v>
      </c>
      <c r="K123" s="7" t="s">
        <v>2499</v>
      </c>
    </row>
    <row r="124" ht="14.25" customHeight="1">
      <c r="A124" s="4">
        <v>123.0</v>
      </c>
      <c r="B124" s="5" t="str">
        <f>IFERROR(__xludf.DUMMYFUNCTION("GOOGLETRANSLATE(H124, ""th"", ""en"")
"),"You start to feel like the game is losing its fun, what do you do?")</f>
        <v>You start to feel like the game is losing its fun, what do you do?</v>
      </c>
      <c r="C124" s="5" t="str">
        <f>IFERROR(__xludf.DUMMYFUNCTION("GOOGLETRANSLATE(I124, ""th"", ""en"")
"),"A) Try to adjust your playing style to increase the fun; B) Stop playing and take a break; C) Adjust your strategy and continue playing; D) Apologize and give up.")</f>
        <v>A) Try to adjust your playing style to increase the fun; B) Stop playing and take a break; C) Adjust your strategy and continue playing; D) Apologize and give up.</v>
      </c>
      <c r="D124" s="5" t="str">
        <f>IFERROR(__xludf.DUMMYFUNCTION("GOOGLETRANSLATE(J124, ""th"", ""en"")
"),"A) Try to adjust your playing posture to increase the fun.")</f>
        <v>A) Try to adjust your playing posture to increase the fun.</v>
      </c>
      <c r="E124" s="5" t="str">
        <f>IFERROR(__xludf.DUMMYFUNCTION("GOOGLETRANSLATE(K124, ""th"", ""en"")
"),"Adjusting the posture will help make the game fun again.")</f>
        <v>Adjusting the posture will help make the game fun again.</v>
      </c>
      <c r="G124" s="6">
        <v>123.0</v>
      </c>
      <c r="H124" s="7" t="s">
        <v>2558</v>
      </c>
      <c r="I124" s="7" t="s">
        <v>2559</v>
      </c>
      <c r="J124" s="7" t="s">
        <v>2560</v>
      </c>
      <c r="K124" s="7" t="s">
        <v>2561</v>
      </c>
    </row>
    <row r="125" ht="14.25" customHeight="1">
      <c r="A125" s="4">
        <v>124.0</v>
      </c>
      <c r="B125" s="5" t="str">
        <f>IFERROR(__xludf.DUMMYFUNCTION("GOOGLETRANSLATE(H125, ""th"", ""en"")
"),"You find that your opponent is starting to play better, what do you do?")</f>
        <v>You find that your opponent is starting to play better, what do you do?</v>
      </c>
      <c r="C125" s="5" t="str">
        <f>IFERROR(__xludf.DUMMYFUNCTION("GOOGLETRANSLATE(I125, ""th"", ""en"")
"),"A) Adjust your strategy and playing style to cope; B) Wait for the situation and wait for your opponent to make a mistake; C) Avoid attacking him; D) Stop playing.")</f>
        <v>A) Adjust your strategy and playing style to cope; B) Wait for the situation and wait for your opponent to make a mistake; C) Avoid attacking him; D) Stop playing.</v>
      </c>
      <c r="D125" s="5" t="str">
        <f>IFERROR(__xludf.DUMMYFUNCTION("GOOGLETRANSLATE(J125, ""th"", ""en"")
"),"A) Adjust your strategy and playing style to cope.")</f>
        <v>A) Adjust your strategy and playing style to cope.</v>
      </c>
      <c r="E125" s="5" t="str">
        <f>IFERROR(__xludf.DUMMYFUNCTION("GOOGLETRANSLATE(K125, ""th"", ""en"")
"),"A new strategy will help you cope better.")</f>
        <v>A new strategy will help you cope better.</v>
      </c>
      <c r="G125" s="6">
        <v>124.0</v>
      </c>
      <c r="H125" s="7" t="s">
        <v>2562</v>
      </c>
      <c r="I125" s="7" t="s">
        <v>2563</v>
      </c>
      <c r="J125" s="7" t="s">
        <v>2564</v>
      </c>
      <c r="K125" s="7" t="s">
        <v>2565</v>
      </c>
    </row>
    <row r="126" ht="14.25" customHeight="1">
      <c r="A126" s="4">
        <v>125.0</v>
      </c>
      <c r="B126" s="5" t="str">
        <f>IFERROR(__xludf.DUMMYFUNCTION("GOOGLETRANSLATE(H126, ""th"", ""en"")
"),"During the competition, you feel that your wind instrument is not suitable. What should you do?")</f>
        <v>During the competition, you feel that your wind instrument is not suitable. What should you do?</v>
      </c>
      <c r="C126" s="5" t="str">
        <f>IFERROR(__xludf.DUMMYFUNCTION("GOOGLETRANSLATE(I126, ""th"", ""en"")
"),"A) Change the wind instruments immediately to suit the game; B) Continue using the same wind instruments; C) Avoid using the wind instruments; D) Stop playing.")</f>
        <v>A) Change the wind instruments immediately to suit the game; B) Continue using the same wind instruments; C) Avoid using the wind instruments; D) Stop playing.</v>
      </c>
      <c r="D126" s="5" t="str">
        <f>IFERROR(__xludf.DUMMYFUNCTION("GOOGLETRANSLATE(J126, ""th"", ""en"")
"),"A) Change the wind instruments immediately to suit the game.")</f>
        <v>A) Change the wind instruments immediately to suit the game.</v>
      </c>
      <c r="E126" s="5" t="str">
        <f>IFERROR(__xludf.DUMMYFUNCTION("GOOGLETRANSLATE(K126, ""th"", ""en"")
"),"Changing your wind instruments will help you play better.")</f>
        <v>Changing your wind instruments will help you play better.</v>
      </c>
      <c r="G126" s="6">
        <v>125.0</v>
      </c>
      <c r="H126" s="7" t="s">
        <v>2566</v>
      </c>
      <c r="I126" s="7" t="s">
        <v>2567</v>
      </c>
      <c r="J126" s="7" t="s">
        <v>2568</v>
      </c>
      <c r="K126" s="7" t="s">
        <v>2569</v>
      </c>
    </row>
    <row r="127" ht="14.25" customHeight="1">
      <c r="A127" s="4">
        <v>126.0</v>
      </c>
      <c r="B127" s="5" t="str">
        <f>IFERROR(__xludf.DUMMYFUNCTION("GOOGLETRANSLATE(H127, ""th"", ""en"")
"),"You start to feel unmotivated to play, what do you do?")</f>
        <v>You start to feel unmotivated to play, what do you do?</v>
      </c>
      <c r="C127" s="5" t="str">
        <f>IFERROR(__xludf.DUMMYFUNCTION("GOOGLETRANSLATE(I127, ""th"", ""en"")
"),"A) Motivate yourself and set a goal for playing; B) Stop playing and take a break; C) Wait and see how things turn out to be; D) Give up.")</f>
        <v>A) Motivate yourself and set a goal for playing; B) Stop playing and take a break; C) Wait and see how things turn out to be; D) Give up.</v>
      </c>
      <c r="D127" s="5" t="str">
        <f>IFERROR(__xludf.DUMMYFUNCTION("GOOGLETRANSLATE(J127, ""th"", ""en"")
"),"A) Motivate yourself and set goals for playing.")</f>
        <v>A) Motivate yourself and set goals for playing.</v>
      </c>
      <c r="E127" s="5" t="str">
        <f>IFERROR(__xludf.DUMMYFUNCTION("GOOGLETRANSLATE(K127, ""th"", ""en"")
"),"Setting goals and motivating yourself will increase motivation.")</f>
        <v>Setting goals and motivating yourself will increase motivation.</v>
      </c>
      <c r="G127" s="6">
        <v>126.0</v>
      </c>
      <c r="H127" s="7" t="s">
        <v>2570</v>
      </c>
      <c r="I127" s="7" t="s">
        <v>2571</v>
      </c>
      <c r="J127" s="7" t="s">
        <v>2572</v>
      </c>
      <c r="K127" s="7" t="s">
        <v>2573</v>
      </c>
    </row>
    <row r="128" ht="14.25" customHeight="1">
      <c r="A128" s="4">
        <v>127.0</v>
      </c>
      <c r="B128" s="5" t="str">
        <f>IFERROR(__xludf.DUMMYFUNCTION("GOOGLETRANSLATE(H128, ""th"", ""en"")
"),"You notice that your competitors are starting to use more sophisticated attacks. What do you do?")</f>
        <v>You notice that your competitors are starting to use more sophisticated attacks. What do you do?</v>
      </c>
      <c r="C128" s="5" t="str">
        <f>IFERROR(__xludf.DUMMYFUNCTION("GOOGLETRANSLATE(I128, ""th"", ""en"")
"),"A) Study the new attack and adapt accordingly; B) Avoid confrontation with him; C) Wait for him to make a mistake; D) Stop playing.")</f>
        <v>A) Study the new attack and adapt accordingly; B) Avoid confrontation with him; C) Wait for him to make a mistake; D) Stop playing.</v>
      </c>
      <c r="D128" s="5" t="str">
        <f>IFERROR(__xludf.DUMMYFUNCTION("GOOGLETRANSLATE(J128, ""th"", ""en"")
"),"A) Study new attacks and adapt accordingly.")</f>
        <v>A) Study new attacks and adapt accordingly.</v>
      </c>
      <c r="E128" s="5" t="str">
        <f>IFERROR(__xludf.DUMMYFUNCTION("GOOGLETRANSLATE(K128, ""th"", ""en"")
"),"Learning new strategies will help you counter them.")</f>
        <v>Learning new strategies will help you counter them.</v>
      </c>
      <c r="G128" s="6">
        <v>127.0</v>
      </c>
      <c r="H128" s="7" t="s">
        <v>2574</v>
      </c>
      <c r="I128" s="7" t="s">
        <v>2575</v>
      </c>
      <c r="J128" s="7" t="s">
        <v>2576</v>
      </c>
      <c r="K128" s="7" t="s">
        <v>2577</v>
      </c>
    </row>
    <row r="129" ht="14.25" customHeight="1">
      <c r="A129" s="4">
        <v>128.0</v>
      </c>
      <c r="B129" s="5" t="str">
        <f>IFERROR(__xludf.DUMMYFUNCTION("GOOGLETRANSLATE(H129, ""th"", ""en"")
"),"You feel like the game is getting harder, what do you do?")</f>
        <v>You feel like the game is getting harder, what do you do?</v>
      </c>
      <c r="C129" s="5" t="str">
        <f>IFERROR(__xludf.DUMMYFUNCTION("GOOGLETRANSLATE(I129, ""th"", ""en"")
"),"A) Adjust your strategy and try to find a way out of the situation; B) Stop playing and take a break; C) Wait and see and hope your opponent makes a mistake; D) Give up.")</f>
        <v>A) Adjust your strategy and try to find a way out of the situation; B) Stop playing and take a break; C) Wait and see and hope your opponent makes a mistake; D) Give up.</v>
      </c>
      <c r="D129" s="5" t="str">
        <f>IFERROR(__xludf.DUMMYFUNCTION("GOOGLETRANSLATE(J129, ""th"", ""en"")
"),"A) Adjust your strategy and try to find a way out of the situation.")</f>
        <v>A) Adjust your strategy and try to find a way out of the situation.</v>
      </c>
      <c r="E129" s="5" t="str">
        <f>IFERROR(__xludf.DUMMYFUNCTION("GOOGLETRANSLATE(K129, ""th"", ""en"")
"),"Strategic adjustments increase the chances of a comeback.")</f>
        <v>Strategic adjustments increase the chances of a comeback.</v>
      </c>
      <c r="G129" s="6">
        <v>128.0</v>
      </c>
      <c r="H129" s="7" t="s">
        <v>2578</v>
      </c>
      <c r="I129" s="7" t="s">
        <v>2579</v>
      </c>
      <c r="J129" s="7" t="s">
        <v>2580</v>
      </c>
      <c r="K129" s="7" t="s">
        <v>2581</v>
      </c>
    </row>
    <row r="130" ht="14.25" customHeight="1">
      <c r="A130" s="4">
        <v>129.0</v>
      </c>
      <c r="B130" s="5" t="str">
        <f>IFERROR(__xludf.DUMMYFUNCTION("GOOGLETRANSLATE(H130, ""th"", ""en"")
"),"You find that your competitors are starting to have psychological problems, what do you do?")</f>
        <v>You find that your competitors are starting to have psychological problems, what do you do?</v>
      </c>
      <c r="C130" s="5" t="str">
        <f>IFERROR(__xludf.DUMMYFUNCTION("GOOGLETRANSLATE(I130, ""th"", ""en"")
"),"A) Take this opportunity to attack quickly; B) Avoid the attack and wait and see; C) Adjust your strategy to play better; D) Stop playing.")</f>
        <v>A) Take this opportunity to attack quickly; B) Avoid the attack and wait and see; C) Adjust your strategy to play better; D) Stop playing.</v>
      </c>
      <c r="D130" s="5" t="str">
        <f>IFERROR(__xludf.DUMMYFUNCTION("GOOGLETRANSLATE(J130, ""th"", ""en"")
"),"A) Take this opportunity to attack quickly.")</f>
        <v>A) Take this opportunity to attack quickly.</v>
      </c>
      <c r="E130" s="5" t="str">
        <f>IFERROR(__xludf.DUMMYFUNCTION("GOOGLETRANSLATE(K130, ""th"", ""en"")
"),"Attacking when your opponent is mentally challenged will give you a better chance of winning.")</f>
        <v>Attacking when your opponent is mentally challenged will give you a better chance of winning.</v>
      </c>
      <c r="G130" s="6">
        <v>129.0</v>
      </c>
      <c r="H130" s="7" t="s">
        <v>2582</v>
      </c>
      <c r="I130" s="7" t="s">
        <v>2583</v>
      </c>
      <c r="J130" s="7" t="s">
        <v>2506</v>
      </c>
      <c r="K130" s="7" t="s">
        <v>2584</v>
      </c>
    </row>
    <row r="131" ht="14.25" customHeight="1">
      <c r="A131" s="4">
        <v>130.0</v>
      </c>
      <c r="B131" s="5" t="str">
        <f>IFERROR(__xludf.DUMMYFUNCTION("GOOGLETRANSLATE(H131, ""th"", ""en"")
"),"You start to feel your technique getting stronger, what do you do?")</f>
        <v>You start to feel your technique getting stronger, what do you do?</v>
      </c>
      <c r="C131" s="5" t="str">
        <f>IFERROR(__xludf.DUMMYFUNCTION("GOOGLETRANSLATE(I131, ""th"", ""en"")
"),"A) Use strong techniques to win; B) Avoid attacks to avoid getting tired; C) Try to make the game more fun; D) Stop playing.")</f>
        <v>A) Use strong techniques to win; B) Avoid attacks to avoid getting tired; C) Try to make the game more fun; D) Stop playing.</v>
      </c>
      <c r="D131" s="5" t="str">
        <f>IFERROR(__xludf.DUMMYFUNCTION("GOOGLETRANSLATE(J131, ""th"", ""en"")
"),"A) Use strong techniques to win.")</f>
        <v>A) Use strong techniques to win.</v>
      </c>
      <c r="E131" s="5" t="str">
        <f>IFERROR(__xludf.DUMMYFUNCTION("GOOGLETRANSLATE(K131, ""th"", ""en"")
"),"Using good techniques will increase your chances of winning.")</f>
        <v>Using good techniques will increase your chances of winning.</v>
      </c>
      <c r="G131" s="6">
        <v>130.0</v>
      </c>
      <c r="H131" s="7" t="s">
        <v>2585</v>
      </c>
      <c r="I131" s="7" t="s">
        <v>2586</v>
      </c>
      <c r="J131" s="7" t="s">
        <v>2587</v>
      </c>
      <c r="K131" s="7" t="s">
        <v>2588</v>
      </c>
    </row>
    <row r="132" ht="14.25" customHeight="1">
      <c r="A132" s="4">
        <v>131.0</v>
      </c>
      <c r="B132" s="5" t="str">
        <f>IFERROR(__xludf.DUMMYFUNCTION("GOOGLETRANSLATE(H132, ""th"", ""en"")
"),"You find that your competitors are starting to use techniques that you can't catch. What do you do?")</f>
        <v>You find that your competitors are starting to use techniques that you can't catch. What do you do?</v>
      </c>
      <c r="C132" s="5" t="str">
        <f>IFERROR(__xludf.DUMMYFUNCTION("GOOGLETRANSLATE(I132, ""th"", ""en"")
"),"A) Study the technique and try to adapt; B) Avoid playing with him; C) Immediately adjust your strategy; D) Stop playing.")</f>
        <v>A) Study the technique and try to adapt; B) Avoid playing with him; C) Immediately adjust your strategy; D) Stop playing.</v>
      </c>
      <c r="D132" s="5" t="str">
        <f>IFERROR(__xludf.DUMMYFUNCTION("GOOGLETRANSLATE(J132, ""th"", ""en"")
"),"A) Study the techniques and try to adapt.")</f>
        <v>A) Study the techniques and try to adapt.</v>
      </c>
      <c r="E132" s="5" t="str">
        <f>IFERROR(__xludf.DUMMYFUNCTION("GOOGLETRANSLATE(K132, ""th"", ""en"")
"),"Learning new methods will help you stay ahead of the competition.")</f>
        <v>Learning new methods will help you stay ahead of the competition.</v>
      </c>
      <c r="G132" s="6">
        <v>131.0</v>
      </c>
      <c r="H132" s="7" t="s">
        <v>2589</v>
      </c>
      <c r="I132" s="7" t="s">
        <v>2590</v>
      </c>
      <c r="J132" s="7" t="s">
        <v>2591</v>
      </c>
      <c r="K132" s="7" t="s">
        <v>2592</v>
      </c>
    </row>
    <row r="133" ht="14.25" customHeight="1">
      <c r="A133" s="4">
        <v>132.0</v>
      </c>
      <c r="B133" s="5" t="str">
        <f>IFERROR(__xludf.DUMMYFUNCTION("GOOGLETRANSLATE(H133, ""th"", ""en"")
"),"You notice that your team is losing confidence. What do you do?")</f>
        <v>You notice that your team is losing confidence. What do you do?</v>
      </c>
      <c r="C133" s="5" t="str">
        <f>IFERROR(__xludf.DUMMYFUNCTION("GOOGLETRANSLATE(I133, ""th"", ""en"")
"),"A) Motivate and encourage teammates; B) Avoid making mistakes; C) Adjust strategies accordingly; D) Stop playing.")</f>
        <v>A) Motivate and encourage teammates; B) Avoid making mistakes; C) Adjust strategies accordingly; D) Stop playing.</v>
      </c>
      <c r="D133" s="5" t="str">
        <f>IFERROR(__xludf.DUMMYFUNCTION("GOOGLETRANSLATE(J133, ""th"", ""en"")
"),"A) Motivate and encourage teammates.")</f>
        <v>A) Motivate and encourage teammates.</v>
      </c>
      <c r="E133" s="5" t="str">
        <f>IFERROR(__xludf.DUMMYFUNCTION("GOOGLETRANSLATE(K133, ""th"", ""en"")
"),"Motivation and encouragement will help restore confidence in the team.")</f>
        <v>Motivation and encouragement will help restore confidence in the team.</v>
      </c>
      <c r="G133" s="6">
        <v>132.0</v>
      </c>
      <c r="H133" s="7" t="s">
        <v>2593</v>
      </c>
      <c r="I133" s="7" t="s">
        <v>2594</v>
      </c>
      <c r="J133" s="7" t="s">
        <v>1248</v>
      </c>
      <c r="K133" s="7" t="s">
        <v>2595</v>
      </c>
    </row>
    <row r="134" ht="14.25" customHeight="1">
      <c r="A134" s="4">
        <v>133.0</v>
      </c>
      <c r="B134" s="5" t="str">
        <f>IFERROR(__xludf.DUMMYFUNCTION("GOOGLETRANSLATE(H134, ""th"", ""en"")
"),"You start to feel like you can't follow through on your strategy. What do you do?")</f>
        <v>You start to feel like you can't follow through on your strategy. What do you do?</v>
      </c>
      <c r="C134" s="5" t="str">
        <f>IFERROR(__xludf.DUMMYFUNCTION("GOOGLETRANSLATE(I134, ""th"", ""en"")
"),"A) Adjust your strategy according to the situation; B) Try to stick to your original strategy; C) Avoid playing against strong opponents; D) Stop playing.")</f>
        <v>A) Adjust your strategy according to the situation; B) Try to stick to your original strategy; C) Avoid playing against strong opponents; D) Stop playing.</v>
      </c>
      <c r="D134" s="5" t="str">
        <f>IFERROR(__xludf.DUMMYFUNCTION("GOOGLETRANSLATE(J134, ""th"", ""en"")
"),"A) Adjust strategies according to the situation.")</f>
        <v>A) Adjust strategies according to the situation.</v>
      </c>
      <c r="E134" s="5" t="str">
        <f>IFERROR(__xludf.DUMMYFUNCTION("GOOGLETRANSLATE(K134, ""th"", ""en"")
"),"Adjusting your strategy to suit the situation will help you stay in control of the game.")</f>
        <v>Adjusting your strategy to suit the situation will help you stay in control of the game.</v>
      </c>
      <c r="G134" s="6">
        <v>133.0</v>
      </c>
      <c r="H134" s="7" t="s">
        <v>2596</v>
      </c>
      <c r="I134" s="7" t="s">
        <v>2597</v>
      </c>
      <c r="J134" s="7" t="s">
        <v>2598</v>
      </c>
      <c r="K134" s="7" t="s">
        <v>2599</v>
      </c>
    </row>
    <row r="135" ht="14.25" customHeight="1">
      <c r="A135" s="4">
        <v>134.0</v>
      </c>
      <c r="B135" s="5" t="str">
        <f>IFERROR(__xludf.DUMMYFUNCTION("GOOGLETRANSLATE(H135, ""th"", ""en"")
"),"You find that your team is starting to get confused during a match, what do you do?")</f>
        <v>You find that your team is starting to get confused during a match, what do you do?</v>
      </c>
      <c r="C135" s="5" t="str">
        <f>IFERROR(__xludf.DUMMYFUNCTION("GOOGLETRANSLATE(I135, ""th"", ""en"")
"),"A) Help organize the team and provide guidance; B) Avoid interference; C) Adjust strategies appropriately; D) Stop playing.")</f>
        <v>A) Help organize the team and provide guidance; B) Avoid interference; C) Adjust strategies appropriately; D) Stop playing.</v>
      </c>
      <c r="D135" s="5" t="str">
        <f>IFERROR(__xludf.DUMMYFUNCTION("GOOGLETRANSLATE(J135, ""th"", ""en"")
"),"A) Help organize the team and provide guidance.")</f>
        <v>A) Help organize the team and provide guidance.</v>
      </c>
      <c r="E135" s="5" t="str">
        <f>IFERROR(__xludf.DUMMYFUNCTION("GOOGLETRANSLATE(K135, ""th"", ""en"")
"),"Helping the team regain their composure will help the game run smoothly.")</f>
        <v>Helping the team regain their composure will help the game run smoothly.</v>
      </c>
      <c r="G135" s="6">
        <v>134.0</v>
      </c>
      <c r="H135" s="7" t="s">
        <v>2600</v>
      </c>
      <c r="I135" s="7" t="s">
        <v>2601</v>
      </c>
      <c r="J135" s="7" t="s">
        <v>2602</v>
      </c>
      <c r="K135" s="7" t="s">
        <v>2603</v>
      </c>
    </row>
    <row r="136" ht="14.25" customHeight="1">
      <c r="A136" s="4">
        <v>135.0</v>
      </c>
      <c r="B136" s="5" t="str">
        <f>IFERROR(__xludf.DUMMYFUNCTION("GOOGLETRANSLATE(H136, ""th"", ""en"")
"),"You feel like the game is getting stressful, what should you do?")</f>
        <v>You feel like the game is getting stressful, what should you do?</v>
      </c>
      <c r="C136" s="5" t="str">
        <f>IFERROR(__xludf.DUMMYFUNCTION("GOOGLETRANSLATE(I136, ""th"", ""en"")
"),"A) Try to relax and refocus; B) Avoid confrontation with your opponent; C) Try to increase your playing speed; D) Stop playing.")</f>
        <v>A) Try to relax and refocus; B) Avoid confrontation with your opponent; C) Try to increase your playing speed; D) Stop playing.</v>
      </c>
      <c r="D136" s="5" t="str">
        <f>IFERROR(__xludf.DUMMYFUNCTION("GOOGLETRANSLATE(J136, ""th"", ""en"")
"),"A) Try to relax and refocus.")</f>
        <v>A) Try to relax and refocus.</v>
      </c>
      <c r="E136" s="5" t="str">
        <f>IFERROR(__xludf.DUMMYFUNCTION("GOOGLETRANSLATE(K136, ""th"", ""en"")
"),"Relaxation and concentration can help reduce stress.")</f>
        <v>Relaxation and concentration can help reduce stress.</v>
      </c>
      <c r="G136" s="6">
        <v>135.0</v>
      </c>
      <c r="H136" s="7" t="s">
        <v>2604</v>
      </c>
      <c r="I136" s="7" t="s">
        <v>2605</v>
      </c>
      <c r="J136" s="7" t="s">
        <v>2606</v>
      </c>
      <c r="K136" s="7" t="s">
        <v>2607</v>
      </c>
    </row>
    <row r="137" ht="14.25" customHeight="1">
      <c r="A137" s="4">
        <v>136.0</v>
      </c>
      <c r="B137" s="5" t="str">
        <f>IFERROR(__xludf.DUMMYFUNCTION("GOOGLETRANSLATE(H137, ""th"", ""en"")
"),"You start to feel that the players on your team are feeling fatigued, what do you do?")</f>
        <v>You start to feel that the players on your team are feeling fatigued, what do you do?</v>
      </c>
      <c r="C137" s="5" t="str">
        <f>IFERROR(__xludf.DUMMYFUNCTION("GOOGLETRANSLATE(I137, ""th"", ""en"")
"),"A) Adjust the strategy to give everyone a break; B) Continue playing with the original strategy; C) Increase the speed of play; D) Stop playing.")</f>
        <v>A) Adjust the strategy to give everyone a break; B) Continue playing with the original strategy; C) Increase the speed of play; D) Stop playing.</v>
      </c>
      <c r="D137" s="5" t="str">
        <f>IFERROR(__xludf.DUMMYFUNCTION("GOOGLETRANSLATE(J137, ""th"", ""en"")
"),"A) Adjust strategies to give everyone a break.")</f>
        <v>A) Adjust strategies to give everyone a break.</v>
      </c>
      <c r="E137" s="5" t="str">
        <f>IFERROR(__xludf.DUMMYFUNCTION("GOOGLETRANSLATE(K137, ""th"", ""en"")
"),"Giving everyone a break helps restore the team's energy.")</f>
        <v>Giving everyone a break helps restore the team's energy.</v>
      </c>
      <c r="G137" s="6">
        <v>136.0</v>
      </c>
      <c r="H137" s="7" t="s">
        <v>2608</v>
      </c>
      <c r="I137" s="7" t="s">
        <v>2609</v>
      </c>
      <c r="J137" s="7" t="s">
        <v>2610</v>
      </c>
      <c r="K137" s="7" t="s">
        <v>2611</v>
      </c>
    </row>
    <row r="138" ht="14.25" customHeight="1">
      <c r="A138" s="4">
        <v>137.0</v>
      </c>
      <c r="B138" s="5" t="str">
        <f>IFERROR(__xludf.DUMMYFUNCTION("GOOGLETRANSLATE(H138, ""th"", ""en"")
"),"You find that your competitors are starting to use new strategies. What do you do?")</f>
        <v>You find that your competitors are starting to use new strategies. What do you do?</v>
      </c>
      <c r="C138" s="5" t="str">
        <f>IFERROR(__xludf.DUMMYFUNCTION("GOOGLETRANSLATE(I138, ""th"", ""en"")
"),"A) Learn new strategies and adapt accordingly; B) Avoid confrontation with him; C) Wait and see until you find a weakness; D) Stop playing.")</f>
        <v>A) Learn new strategies and adapt accordingly; B) Avoid confrontation with him; C) Wait and see until you find a weakness; D) Stop playing.</v>
      </c>
      <c r="D138" s="5" t="str">
        <f>IFERROR(__xludf.DUMMYFUNCTION("GOOGLETRANSLATE(J138, ""th"", ""en"")
"),"A) Study new strategies and adapt accordingly.")</f>
        <v>A) Study new strategies and adapt accordingly.</v>
      </c>
      <c r="E138" s="5" t="str">
        <f>IFERROR(__xludf.DUMMYFUNCTION("GOOGLETRANSLATE(K138, ""th"", ""en"")
"),"Learning new strategies will help you cope better.")</f>
        <v>Learning new strategies will help you cope better.</v>
      </c>
      <c r="G138" s="6">
        <v>137.0</v>
      </c>
      <c r="H138" s="7" t="s">
        <v>2612</v>
      </c>
      <c r="I138" s="7" t="s">
        <v>2613</v>
      </c>
      <c r="J138" s="7" t="s">
        <v>2614</v>
      </c>
      <c r="K138" s="7" t="s">
        <v>2615</v>
      </c>
    </row>
    <row r="139" ht="14.25" customHeight="1">
      <c r="A139" s="4">
        <v>138.0</v>
      </c>
      <c r="B139" s="5" t="str">
        <f>IFERROR(__xludf.DUMMYFUNCTION("GOOGLETRANSLATE(H139, ""th"", ""en"")
"),"You notice that your competitors are starting to use unfamiliar techniques. What do you do?")</f>
        <v>You notice that your competitors are starting to use unfamiliar techniques. What do you do?</v>
      </c>
      <c r="C139" s="5" t="str">
        <f>IFERROR(__xludf.DUMMYFUNCTION("GOOGLETRANSLATE(I139, ""th"", ""en"")
"),"A) Try to find his weaknesses and adjust your strategy; B) Avoid confronting him; C) Wait until you find his weaknesses; D) Stop playing.")</f>
        <v>A) Try to find his weaknesses and adjust your strategy; B) Avoid confronting him; C) Wait until you find his weaknesses; D) Stop playing.</v>
      </c>
      <c r="D139" s="5" t="str">
        <f>IFERROR(__xludf.DUMMYFUNCTION("GOOGLETRANSLATE(J139, ""th"", ""en"")
"),"A) Try to find weaknesses and adjust strategies.")</f>
        <v>A) Try to find weaknesses and adjust strategies.</v>
      </c>
      <c r="E139" s="5" t="str">
        <f>IFERROR(__xludf.DUMMYFUNCTION("GOOGLETRANSLATE(K139, ""th"", ""en"")
"),"Catching your weaknesses will allow you to counter them.")</f>
        <v>Catching your weaknesses will allow you to counter them.</v>
      </c>
      <c r="G139" s="6">
        <v>138.0</v>
      </c>
      <c r="H139" s="7" t="s">
        <v>2616</v>
      </c>
      <c r="I139" s="7" t="s">
        <v>2617</v>
      </c>
      <c r="J139" s="7" t="s">
        <v>2618</v>
      </c>
      <c r="K139" s="7" t="s">
        <v>2619</v>
      </c>
    </row>
    <row r="140" ht="14.25" customHeight="1">
      <c r="A140" s="4">
        <v>139.0</v>
      </c>
      <c r="B140" s="5" t="str">
        <f>IFERROR(__xludf.DUMMYFUNCTION("GOOGLETRANSLATE(H140, ""th"", ""en"")
"),"During the match, you start to feel that the racket might not be suitable. What do you do?")</f>
        <v>During the match, you start to feel that the racket might not be suitable. What do you do?</v>
      </c>
      <c r="C140" s="5" t="str">
        <f>IFERROR(__xludf.DUMMYFUNCTION("GOOGLETRANSLATE(I140, ""th"", ""en"")
"),"A) Change the racket immediately; B) Adjust the grip to be stable; C) Continue using the same racket; D) Stop playing.")</f>
        <v>A) Change the racket immediately; B) Adjust the grip to be stable; C) Continue using the same racket; D) Stop playing.</v>
      </c>
      <c r="D140" s="5" t="str">
        <f>IFERROR(__xludf.DUMMYFUNCTION("GOOGLETRANSLATE(J140, ""th"", ""en"")
"),"A) Change the wood immediately.")</f>
        <v>A) Change the wood immediately.</v>
      </c>
      <c r="E140" s="5" t="str">
        <f>IFERROR(__xludf.DUMMYFUNCTION("GOOGLETRANSLATE(K140, ""th"", ""en"")
"),"Using the right stick will improve your playing efficiency.")</f>
        <v>Using the right stick will improve your playing efficiency.</v>
      </c>
      <c r="G140" s="6">
        <v>139.0</v>
      </c>
      <c r="H140" s="7" t="s">
        <v>2620</v>
      </c>
      <c r="I140" s="7" t="s">
        <v>2621</v>
      </c>
      <c r="J140" s="7" t="s">
        <v>2622</v>
      </c>
      <c r="K140" s="7" t="s">
        <v>2623</v>
      </c>
    </row>
    <row r="141" ht="14.25" customHeight="1">
      <c r="A141" s="4">
        <v>140.0</v>
      </c>
      <c r="B141" s="5" t="str">
        <f>IFERROR(__xludf.DUMMYFUNCTION("GOOGLETRANSLATE(H141, ""th"", ""en"")
"),"You notice that your opponent is developing better techniques. What do you do?")</f>
        <v>You notice that your opponent is developing better techniques. What do you do?</v>
      </c>
      <c r="C141" s="5" t="str">
        <f>IFERROR(__xludf.DUMMYFUNCTION("GOOGLETRANSLATE(I141, ""th"", ""en"")
"),"A) Learn new techniques and adapt accordingly; B) Avoid confrontation with him; C) Adjust your strategy accordingly; D) Stop playing.")</f>
        <v>A) Learn new techniques and adapt accordingly; B) Avoid confrontation with him; C) Adjust your strategy accordingly; D) Stop playing.</v>
      </c>
      <c r="D141" s="5" t="str">
        <f>IFERROR(__xludf.DUMMYFUNCTION("GOOGLETRANSLATE(J141, ""th"", ""en"")
"),"A) Learn new techniques and adapt accordingly.")</f>
        <v>A) Learn new techniques and adapt accordingly.</v>
      </c>
      <c r="E141" s="5" t="str">
        <f>IFERROR(__xludf.DUMMYFUNCTION("GOOGLETRANSLATE(K141, ""th"", ""en"")
"),"Being adaptable will help you cope better.")</f>
        <v>Being adaptable will help you cope better.</v>
      </c>
      <c r="G141" s="6">
        <v>140.0</v>
      </c>
      <c r="H141" s="7" t="s">
        <v>2624</v>
      </c>
      <c r="I141" s="7" t="s">
        <v>2625</v>
      </c>
      <c r="J141" s="7" t="s">
        <v>2626</v>
      </c>
      <c r="K141" s="7" t="s">
        <v>2627</v>
      </c>
    </row>
    <row r="142" ht="14.25" customHeight="1">
      <c r="A142" s="4">
        <v>141.0</v>
      </c>
      <c r="B142" s="5" t="str">
        <f>IFERROR(__xludf.DUMMYFUNCTION("GOOGLETRANSLATE(H142, ""th"", ""en"")
"),"You find that the players on your team are starting to have difficulty understanding the rhythm of the game. What do you do?")</f>
        <v>You find that the players on your team are starting to have difficulty understanding the rhythm of the game. What do you do?</v>
      </c>
      <c r="C142" s="5" t="str">
        <f>IFERROR(__xludf.DUMMYFUNCTION("GOOGLETRANSLATE(I142, ""th"", ""en"")
"),"A) Explain and help adjust the pace of play; B) Avoid talking about it; C) Adjust your strategy accordingly; D) Stop playing.")</f>
        <v>A) Explain and help adjust the pace of play; B) Avoid talking about it; C) Adjust your strategy accordingly; D) Stop playing.</v>
      </c>
      <c r="D142" s="5" t="str">
        <f>IFERROR(__xludf.DUMMYFUNCTION("GOOGLETRANSLATE(J142, ""th"", ""en"")
"),"A) Explain and help adjust the playing rhythm.")</f>
        <v>A) Explain and help adjust the playing rhythm.</v>
      </c>
      <c r="E142" s="5" t="str">
        <f>IFERROR(__xludf.DUMMYFUNCTION("GOOGLETRANSLATE(K142, ""th"", ""en"")
"),"Helping your teammates will make the game run smoother.")</f>
        <v>Helping your teammates will make the game run smoother.</v>
      </c>
      <c r="G142" s="6">
        <v>141.0</v>
      </c>
      <c r="H142" s="7" t="s">
        <v>2628</v>
      </c>
      <c r="I142" s="7" t="s">
        <v>2629</v>
      </c>
      <c r="J142" s="7" t="s">
        <v>2630</v>
      </c>
      <c r="K142" s="7" t="s">
        <v>2631</v>
      </c>
    </row>
    <row r="143" ht="14.25" customHeight="1">
      <c r="A143" s="4">
        <v>142.0</v>
      </c>
      <c r="B143" s="5" t="str">
        <f>IFERROR(__xludf.DUMMYFUNCTION("GOOGLETRANSLATE(H143, ""th"", ""en"")
"),"You start to feel like the game is becoming too challenging, what do you do?")</f>
        <v>You start to feel like the game is becoming too challenging, what do you do?</v>
      </c>
      <c r="C143" s="5" t="str">
        <f>IFERROR(__xludf.DUMMYFUNCTION("GOOGLETRANSLATE(I143, ""th"", ""en"")
"),"A) Adjust your strategy to find a way out of the situation; B) Stop playing and take a break; C) Try to rely on your old strategy; D) Give up.")</f>
        <v>A) Adjust your strategy to find a way out of the situation; B) Stop playing and take a break; C) Try to rely on your old strategy; D) Give up.</v>
      </c>
      <c r="D143" s="5" t="str">
        <f>IFERROR(__xludf.DUMMYFUNCTION("GOOGLETRANSLATE(J143, ""th"", ""en"")
"),"A) Adjust strategies to find a way out of the situation.")</f>
        <v>A) Adjust strategies to find a way out of the situation.</v>
      </c>
      <c r="E143" s="5" t="str">
        <f>IFERROR(__xludf.DUMMYFUNCTION("GOOGLETRANSLATE(K143, ""th"", ""en"")
"),"Strategic adjustments will increase the chances of reversing the situation.")</f>
        <v>Strategic adjustments will increase the chances of reversing the situation.</v>
      </c>
      <c r="G143" s="6">
        <v>142.0</v>
      </c>
      <c r="H143" s="7" t="s">
        <v>2632</v>
      </c>
      <c r="I143" s="7" t="s">
        <v>2633</v>
      </c>
      <c r="J143" s="7" t="s">
        <v>2634</v>
      </c>
      <c r="K143" s="7" t="s">
        <v>2635</v>
      </c>
    </row>
    <row r="144" ht="14.25" customHeight="1">
      <c r="A144" s="4">
        <v>143.0</v>
      </c>
      <c r="B144" s="5" t="str">
        <f>IFERROR(__xludf.DUMMYFUNCTION("GOOGLETRANSLATE(H144, ""th"", ""en"")
"),"You find your team is losing focus, what do you do?")</f>
        <v>You find your team is losing focus, what do you do?</v>
      </c>
      <c r="C144" s="5" t="str">
        <f>IFERROR(__xludf.DUMMYFUNCTION("GOOGLETRANSLATE(I144, ""th"", ""en"")
"),"A) Encourage and motivate your teammates; B) Avoid talking about it; C) Adjust your strategy accordingly; D) Stop playing.")</f>
        <v>A) Encourage and motivate your teammates; B) Avoid talking about it; C) Adjust your strategy accordingly; D) Stop playing.</v>
      </c>
      <c r="D144" s="5" t="str">
        <f>IFERROR(__xludf.DUMMYFUNCTION("GOOGLETRANSLATE(J144, ""th"", ""en"")
"),"A) Motivate and encourage teammates.")</f>
        <v>A) Motivate and encourage teammates.</v>
      </c>
      <c r="E144" s="5" t="str">
        <f>IFERROR(__xludf.DUMMYFUNCTION("GOOGLETRANSLATE(K144, ""th"", ""en"")
"),"Motivating the team helps them refocus.")</f>
        <v>Motivating the team helps them refocus.</v>
      </c>
      <c r="G144" s="6">
        <v>143.0</v>
      </c>
      <c r="H144" s="7" t="s">
        <v>2636</v>
      </c>
      <c r="I144" s="7" t="s">
        <v>2517</v>
      </c>
      <c r="J144" s="7" t="s">
        <v>1248</v>
      </c>
      <c r="K144" s="7" t="s">
        <v>2637</v>
      </c>
    </row>
    <row r="145" ht="14.25" customHeight="1">
      <c r="A145" s="4">
        <v>144.0</v>
      </c>
      <c r="B145" s="5" t="str">
        <f>IFERROR(__xludf.DUMMYFUNCTION("GOOGLETRANSLATE(H145, ""th"", ""en"")
"),"You start to feel that your competitors are gaining more of an advantage. What do you do?")</f>
        <v>You start to feel that your competitors are gaining more of an advantage. What do you do?</v>
      </c>
      <c r="C145" s="5" t="str">
        <f>IFERROR(__xludf.DUMMYFUNCTION("GOOGLETRANSLATE(I145, ""th"", ""en"")
"),"A) Adjust your strategy and playing style; B) Avoid attacking him; C) Try to stick to your original strategy; D) Stop playing.")</f>
        <v>A) Adjust your strategy and playing style; B) Avoid attacking him; C) Try to stick to your original strategy; D) Stop playing.</v>
      </c>
      <c r="D145" s="5" t="str">
        <f>IFERROR(__xludf.DUMMYFUNCTION("GOOGLETRANSLATE(J145, ""th"", ""en"")
"),"A) Adjust your strategy and playing style.")</f>
        <v>A) Adjust your strategy and playing style.</v>
      </c>
      <c r="E145" s="5" t="str">
        <f>IFERROR(__xludf.DUMMYFUNCTION("GOOGLETRANSLATE(K145, ""th"", ""en"")
"),"Optimizing your strategy will increase your chances of turning things around.")</f>
        <v>Optimizing your strategy will increase your chances of turning things around.</v>
      </c>
      <c r="G145" s="6">
        <v>144.0</v>
      </c>
      <c r="H145" s="7" t="s">
        <v>2638</v>
      </c>
      <c r="I145" s="7" t="s">
        <v>2639</v>
      </c>
      <c r="J145" s="7" t="s">
        <v>2539</v>
      </c>
      <c r="K145" s="7" t="s">
        <v>2640</v>
      </c>
    </row>
    <row r="146" ht="14.25" customHeight="1">
      <c r="A146" s="4">
        <v>145.0</v>
      </c>
      <c r="B146" s="5" t="str">
        <f>IFERROR(__xludf.DUMMYFUNCTION("GOOGLETRANSLATE(H146, ""th"", ""en"")
"),"You find that players on your team are becoming dissatisfied during a game, what do you do?")</f>
        <v>You find that players on your team are becoming dissatisfied during a game, what do you do?</v>
      </c>
      <c r="C146" s="5" t="str">
        <f>IFERROR(__xludf.DUMMYFUNCTION("GOOGLETRANSLATE(I146, ""th"", ""en"")
"),"A) Try to understand and talk things out; B) Avoid bringing it up; C) Adjust your strategy accordingly; D) Stop playing.")</f>
        <v>A) Try to understand and talk things out; B) Avoid bringing it up; C) Adjust your strategy accordingly; D) Stop playing.</v>
      </c>
      <c r="D146" s="5" t="str">
        <f>IFERROR(__xludf.DUMMYFUNCTION("GOOGLETRANSLATE(J146, ""th"", ""en"")
"),"A) Try to understand and talk.")</f>
        <v>A) Try to understand and talk.</v>
      </c>
      <c r="E146" s="5" t="str">
        <f>IFERROR(__xludf.DUMMYFUNCTION("GOOGLETRANSLATE(K146, ""th"", ""en"")
"),"Reconciling the team will help reduce tension.")</f>
        <v>Reconciling the team will help reduce tension.</v>
      </c>
      <c r="G146" s="6">
        <v>145.0</v>
      </c>
      <c r="H146" s="7" t="s">
        <v>2641</v>
      </c>
      <c r="I146" s="7" t="s">
        <v>2642</v>
      </c>
      <c r="J146" s="7" t="s">
        <v>2643</v>
      </c>
      <c r="K146" s="7" t="s">
        <v>2644</v>
      </c>
    </row>
    <row r="147" ht="14.25" customHeight="1">
      <c r="A147" s="4">
        <v>146.0</v>
      </c>
      <c r="B147" s="5" t="str">
        <f>IFERROR(__xludf.DUMMYFUNCTION("GOOGLETRANSLATE(H147, ""th"", ""en"")
"),"You feel like the game is getting harder, what do you do?")</f>
        <v>You feel like the game is getting harder, what do you do?</v>
      </c>
      <c r="C147" s="5" t="str">
        <f>IFERROR(__xludf.DUMMYFUNCTION("GOOGLETRANSLATE(I147, ""th"", ""en"")
"),"A) Adjust your strategy and try to find a way out of the situation; B) Stop playing and take a break; C) Wait and see until your opponent makes a mistake; D) Give up.")</f>
        <v>A) Adjust your strategy and try to find a way out of the situation; B) Stop playing and take a break; C) Wait and see until your opponent makes a mistake; D) Give up.</v>
      </c>
      <c r="D147" s="5" t="str">
        <f>IFERROR(__xludf.DUMMYFUNCTION("GOOGLETRANSLATE(J147, ""th"", ""en"")
"),"A) Adjust your strategy and try to find a way out of the situation.")</f>
        <v>A) Adjust your strategy and try to find a way out of the situation.</v>
      </c>
      <c r="E147" s="5" t="str">
        <f>IFERROR(__xludf.DUMMYFUNCTION("GOOGLETRANSLATE(K147, ""th"", ""en"")
"),"Strategic adjustments increase the chances of a comeback.")</f>
        <v>Strategic adjustments increase the chances of a comeback.</v>
      </c>
      <c r="G147" s="6">
        <v>146.0</v>
      </c>
      <c r="H147" s="7" t="s">
        <v>2578</v>
      </c>
      <c r="I147" s="7" t="s">
        <v>2645</v>
      </c>
      <c r="J147" s="7" t="s">
        <v>2580</v>
      </c>
      <c r="K147" s="7" t="s">
        <v>2581</v>
      </c>
    </row>
    <row r="148" ht="14.25" customHeight="1">
      <c r="A148" s="4">
        <v>147.0</v>
      </c>
      <c r="B148" s="5" t="str">
        <f>IFERROR(__xludf.DUMMYFUNCTION("GOOGLETRANSLATE(H148, ""th"", ""en"")
"),"You find your opponent is starting to play better, what do you do?")</f>
        <v>You find your opponent is starting to play better, what do you do?</v>
      </c>
      <c r="C148" s="5" t="str">
        <f>IFERROR(__xludf.DUMMYFUNCTION("GOOGLETRANSLATE(I148, ""th"", ""en"")
"),"A) Adjust your strategy and playing style to cope; B) Wait for the situation and wait for your opponent to make a mistake; C) Avoid attacking him; D) Stop playing.")</f>
        <v>A) Adjust your strategy and playing style to cope; B) Wait for the situation and wait for your opponent to make a mistake; C) Avoid attacking him; D) Stop playing.</v>
      </c>
      <c r="D148" s="5" t="str">
        <f>IFERROR(__xludf.DUMMYFUNCTION("GOOGLETRANSLATE(J148, ""th"", ""en"")
"),"A) Adjust your strategy and playing style to cope.")</f>
        <v>A) Adjust your strategy and playing style to cope.</v>
      </c>
      <c r="E148" s="5" t="str">
        <f>IFERROR(__xludf.DUMMYFUNCTION("GOOGLETRANSLATE(K148, ""th"", ""en"")
"),"A new strategy will help you cope better.")</f>
        <v>A new strategy will help you cope better.</v>
      </c>
      <c r="G148" s="6">
        <v>147.0</v>
      </c>
      <c r="H148" s="7" t="s">
        <v>2646</v>
      </c>
      <c r="I148" s="7" t="s">
        <v>2563</v>
      </c>
      <c r="J148" s="7" t="s">
        <v>2564</v>
      </c>
      <c r="K148" s="7" t="s">
        <v>2565</v>
      </c>
    </row>
    <row r="149" ht="14.25" customHeight="1">
      <c r="A149" s="4">
        <v>148.0</v>
      </c>
      <c r="B149" s="5" t="str">
        <f>IFERROR(__xludf.DUMMYFUNCTION("GOOGLETRANSLATE(H149, ""th"", ""en"")
"),"You notice that your opponent is starting to use more sophisticated attacks. What do you do?")</f>
        <v>You notice that your opponent is starting to use more sophisticated attacks. What do you do?</v>
      </c>
      <c r="C149" s="5" t="str">
        <f>IFERROR(__xludf.DUMMYFUNCTION("GOOGLETRANSLATE(I149, ""th"", ""en"")
"),"A) Study the new attack and adapt accordingly; B) Avoid confrontation with him; C) Wait for him to make a mistake; D) Stop playing.")</f>
        <v>A) Study the new attack and adapt accordingly; B) Avoid confrontation with him; C) Wait for him to make a mistake; D) Stop playing.</v>
      </c>
      <c r="D149" s="5" t="str">
        <f>IFERROR(__xludf.DUMMYFUNCTION("GOOGLETRANSLATE(J149, ""th"", ""en"")
"),"A) Study new attacks and adapt accordingly.")</f>
        <v>A) Study new attacks and adapt accordingly.</v>
      </c>
      <c r="E149" s="5" t="str">
        <f>IFERROR(__xludf.DUMMYFUNCTION("GOOGLETRANSLATE(K149, ""th"", ""en"")
"),"Learning new strategies will give you a better chance of coping.")</f>
        <v>Learning new strategies will give you a better chance of coping.</v>
      </c>
      <c r="G149" s="6">
        <v>148.0</v>
      </c>
      <c r="H149" s="7" t="s">
        <v>2647</v>
      </c>
      <c r="I149" s="7" t="s">
        <v>2575</v>
      </c>
      <c r="J149" s="7" t="s">
        <v>2576</v>
      </c>
      <c r="K149" s="7" t="s">
        <v>2648</v>
      </c>
    </row>
    <row r="150" ht="14.25" customHeight="1">
      <c r="A150" s="4">
        <v>149.0</v>
      </c>
      <c r="B150" s="5" t="str">
        <f>IFERROR(__xludf.DUMMYFUNCTION("GOOGLETRANSLATE(H150, ""th"", ""en"")
"),"You start to feel your technique getting stronger, what do you do?")</f>
        <v>You start to feel your technique getting stronger, what do you do?</v>
      </c>
      <c r="C150" s="5" t="str">
        <f>IFERROR(__xludf.DUMMYFUNCTION("GOOGLETRANSLATE(I150, ""th"", ""en"")
"),"A) Use strong techniques to win; B) Avoid attacks to avoid getting tired; C) Try to make the game more fun; D) Stop playing.")</f>
        <v>A) Use strong techniques to win; B) Avoid attacks to avoid getting tired; C) Try to make the game more fun; D) Stop playing.</v>
      </c>
      <c r="D150" s="5" t="str">
        <f>IFERROR(__xludf.DUMMYFUNCTION("GOOGLETRANSLATE(J150, ""th"", ""en"")
"),"A) Use strong techniques to win.")</f>
        <v>A) Use strong techniques to win.</v>
      </c>
      <c r="E150" s="5" t="str">
        <f>IFERROR(__xludf.DUMMYFUNCTION("GOOGLETRANSLATE(K150, ""th"", ""en"")
"),"Using good techniques will increase your chances of winning.")</f>
        <v>Using good techniques will increase your chances of winning.</v>
      </c>
      <c r="G150" s="6">
        <v>149.0</v>
      </c>
      <c r="H150" s="7" t="s">
        <v>2585</v>
      </c>
      <c r="I150" s="7" t="s">
        <v>2586</v>
      </c>
      <c r="J150" s="7" t="s">
        <v>2587</v>
      </c>
      <c r="K150" s="7" t="s">
        <v>2588</v>
      </c>
    </row>
    <row r="151" ht="14.25" customHeight="1">
      <c r="A151" s="4">
        <v>150.0</v>
      </c>
      <c r="B151" s="5" t="str">
        <f>IFERROR(__xludf.DUMMYFUNCTION("GOOGLETRANSLATE(H151, ""th"", ""en"")
"),"You find that your competitors are starting to have psychological problems, what do you do?")</f>
        <v>You find that your competitors are starting to have psychological problems, what do you do?</v>
      </c>
      <c r="C151" s="5" t="str">
        <f>IFERROR(__xludf.DUMMYFUNCTION("GOOGLETRANSLATE(I151, ""th"", ""en"")
"),"A) Take this opportunity to attack quickly; B) Avoid the attack and wait and see; C) Adjust your strategy to play better; D) Stop playing.")</f>
        <v>A) Take this opportunity to attack quickly; B) Avoid the attack and wait and see; C) Adjust your strategy to play better; D) Stop playing.</v>
      </c>
      <c r="D151" s="5" t="str">
        <f>IFERROR(__xludf.DUMMYFUNCTION("GOOGLETRANSLATE(J151, ""th"", ""en"")
"),"A) Take this opportunity to attack quickly.")</f>
        <v>A) Take this opportunity to attack quickly.</v>
      </c>
      <c r="E151" s="5" t="str">
        <f>IFERROR(__xludf.DUMMYFUNCTION("GOOGLETRANSLATE(K151, ""th"", ""en"")
"),"Attacking when your opponent is mentally challenged will give you a better chance of winning.")</f>
        <v>Attacking when your opponent is mentally challenged will give you a better chance of winning.</v>
      </c>
      <c r="G151" s="6">
        <v>150.0</v>
      </c>
      <c r="H151" s="7" t="s">
        <v>2582</v>
      </c>
      <c r="I151" s="7" t="s">
        <v>2583</v>
      </c>
      <c r="J151" s="7" t="s">
        <v>2506</v>
      </c>
      <c r="K151" s="7" t="s">
        <v>2584</v>
      </c>
    </row>
    <row r="152" ht="14.25" customHeight="1">
      <c r="A152" s="4">
        <v>151.0</v>
      </c>
      <c r="B152" s="5" t="str">
        <f>IFERROR(__xludf.DUMMYFUNCTION("GOOGLETRANSLATE(H152, ""th"", ""en"")
"),"You feel like the competition is getting too stressful, what should you do?")</f>
        <v>You feel like the competition is getting too stressful, what should you do?</v>
      </c>
      <c r="C152" s="5" t="str">
        <f>IFERROR(__xludf.DUMMYFUNCTION("GOOGLETRANSLATE(I152, ""th"", ""en"")
"),"A) Try to relax and refocus; B) Avoid playing against strong opponents; C) Try to increase the speed of play; D) Stop playing.")</f>
        <v>A) Try to relax and refocus; B) Avoid playing against strong opponents; C) Try to increase the speed of play; D) Stop playing.</v>
      </c>
      <c r="D152" s="5" t="str">
        <f>IFERROR(__xludf.DUMMYFUNCTION("GOOGLETRANSLATE(J152, ""th"", ""en"")
"),"A) Try to relax and refocus.")</f>
        <v>A) Try to relax and refocus.</v>
      </c>
      <c r="E152" s="5" t="str">
        <f>IFERROR(__xludf.DUMMYFUNCTION("GOOGLETRANSLATE(K152, ""th"", ""en"")
"),"Relaxation and concentration will reduce stress and improve your performance.")</f>
        <v>Relaxation and concentration will reduce stress and improve your performance.</v>
      </c>
      <c r="G152" s="6">
        <v>151.0</v>
      </c>
      <c r="H152" s="7" t="s">
        <v>2649</v>
      </c>
      <c r="I152" s="7" t="s">
        <v>2650</v>
      </c>
      <c r="J152" s="7" t="s">
        <v>2606</v>
      </c>
      <c r="K152" s="7" t="s">
        <v>2651</v>
      </c>
    </row>
    <row r="153" ht="14.25" customHeight="1">
      <c r="A153" s="4">
        <v>152.0</v>
      </c>
      <c r="B153" s="5" t="str">
        <f>IFERROR(__xludf.DUMMYFUNCTION("GOOGLETRANSLATE(H153, ""th"", ""en"")
"),"You find your opponent is starting to score better, what do you do?")</f>
        <v>You find your opponent is starting to score better, what do you do?</v>
      </c>
      <c r="C153" s="5" t="str">
        <f>IFERROR(__xludf.DUMMYFUNCTION("GOOGLETRANSLATE(I153, ""th"", ""en"")
"),"A) Adjust your strategy to be able to handle it; B) Avoid attacking him; C) Try to score quickly; D) Stop playing.")</f>
        <v>A) Adjust your strategy to be able to handle it; B) Avoid attacking him; C) Try to score quickly; D) Stop playing.</v>
      </c>
      <c r="D153" s="5" t="str">
        <f>IFERROR(__xludf.DUMMYFUNCTION("GOOGLETRANSLATE(J153, ""th"", ""en"")
"),"A) Adjust strategies to be able to cope.")</f>
        <v>A) Adjust strategies to be able to cope.</v>
      </c>
      <c r="E153" s="5" t="str">
        <f>IFERROR(__xludf.DUMMYFUNCTION("GOOGLETRANSLATE(K153, ""th"", ""en"")
"),"Optimizing your strategy will help reduce your opponent's scoring.")</f>
        <v>Optimizing your strategy will help reduce your opponent's scoring.</v>
      </c>
      <c r="G153" s="6">
        <v>152.0</v>
      </c>
      <c r="H153" s="7" t="s">
        <v>2652</v>
      </c>
      <c r="I153" s="7" t="s">
        <v>2653</v>
      </c>
      <c r="J153" s="7" t="s">
        <v>2654</v>
      </c>
      <c r="K153" s="7" t="s">
        <v>2655</v>
      </c>
    </row>
    <row r="154" ht="14.25" customHeight="1">
      <c r="A154" s="4">
        <v>153.0</v>
      </c>
      <c r="B154" s="5" t="str">
        <f>IFERROR(__xludf.DUMMYFUNCTION("GOOGLETRANSLATE(H154, ""th"", ""en"")
"),"You find that your team is starting to have communication problems. What do you do?")</f>
        <v>You find that your team is starting to have communication problems. What do you do?</v>
      </c>
      <c r="C154" s="5" t="str">
        <f>IFERROR(__xludf.DUMMYFUNCTION("GOOGLETRANSLATE(I154, ""th"", ""en"")
"),"A) Try to improve team communication; B) Adjust your strategy accordingly; C) Avoid talking about it; D) Stop playing.")</f>
        <v>A) Try to improve team communication; B) Adjust your strategy accordingly; C) Avoid talking about it; D) Stop playing.</v>
      </c>
      <c r="D154" s="5" t="str">
        <f>IFERROR(__xludf.DUMMYFUNCTION("GOOGLETRANSLATE(J154, ""th"", ""en"")
"),"A) Try to improve communication within the team.")</f>
        <v>A) Try to improve communication within the team.</v>
      </c>
      <c r="E154" s="5" t="str">
        <f>IFERROR(__xludf.DUMMYFUNCTION("GOOGLETRANSLATE(K154, ""th"", ""en"")
"),"Improving communication will help your team work better together.")</f>
        <v>Improving communication will help your team work better together.</v>
      </c>
      <c r="G154" s="6">
        <v>153.0</v>
      </c>
      <c r="H154" s="7" t="s">
        <v>2656</v>
      </c>
      <c r="I154" s="7" t="s">
        <v>2657</v>
      </c>
      <c r="J154" s="7" t="s">
        <v>2658</v>
      </c>
      <c r="K154" s="7" t="s">
        <v>2659</v>
      </c>
    </row>
    <row r="155" ht="14.25" customHeight="1">
      <c r="A155" s="4">
        <v>154.0</v>
      </c>
      <c r="B155" s="5" t="str">
        <f>IFERROR(__xludf.DUMMYFUNCTION("GOOGLETRANSLATE(H155, ""th"", ""en"")
"),"You feel like you're not performing as well as you expected, what should you do?")</f>
        <v>You feel like you're not performing as well as you expected, what should you do?</v>
      </c>
      <c r="C155" s="5" t="str">
        <f>IFERROR(__xludf.DUMMYFUNCTION("GOOGLETRANSLATE(I155, ""th"", ""en"")
"),"A) Try to refocus and improve yourself; B) Avoid making mistakes; C) Adjust your strategy accordingly; D) Stop playing.")</f>
        <v>A) Try to refocus and improve yourself; B) Avoid making mistakes; C) Adjust your strategy accordingly; D) Stop playing.</v>
      </c>
      <c r="D155" s="5" t="str">
        <f>IFERROR(__xludf.DUMMYFUNCTION("GOOGLETRANSLATE(J155, ""th"", ""en"")
"),"A) Try to refocus and improve yourself.")</f>
        <v>A) Try to refocus and improve yourself.</v>
      </c>
      <c r="E155" s="5" t="str">
        <f>IFERROR(__xludf.DUMMYFUNCTION("GOOGLETRANSLATE(K155, ""th"", ""en"")
"),"Refocusing will help you play better.")</f>
        <v>Refocusing will help you play better.</v>
      </c>
      <c r="G155" s="6">
        <v>154.0</v>
      </c>
      <c r="H155" s="7" t="s">
        <v>2660</v>
      </c>
      <c r="I155" s="7" t="s">
        <v>2661</v>
      </c>
      <c r="J155" s="7" t="s">
        <v>2662</v>
      </c>
      <c r="K155" s="7" t="s">
        <v>2663</v>
      </c>
    </row>
    <row r="156" ht="14.25" customHeight="1">
      <c r="A156" s="4">
        <v>155.0</v>
      </c>
      <c r="B156" s="5" t="str">
        <f>IFERROR(__xludf.DUMMYFUNCTION("GOOGLETRANSLATE(H156, ""th"", ""en"")
"),"You start to feel like your competitors are starting to understand your strategy. What do you do?")</f>
        <v>You start to feel like your competitors are starting to understand your strategy. What do you do?</v>
      </c>
      <c r="C156" s="5" t="str">
        <f>IFERROR(__xludf.DUMMYFUNCTION("GOOGLETRANSLATE(I156, ""th"", ""en"")
"),"A) flex your strategy; B) continue with your original strategy; C) avoid attacks; D) stop playing.")</f>
        <v>A) flex your strategy; B) continue with your original strategy; C) avoid attacks; D) stop playing.</v>
      </c>
      <c r="D156" s="5" t="str">
        <f>IFERROR(__xludf.DUMMYFUNCTION("GOOGLETRANSLATE(J156, ""th"", ""en"")
"),"A) Adjust strategies to be flexible.")</f>
        <v>A) Adjust strategies to be flexible.</v>
      </c>
      <c r="E156" s="5" t="str">
        <f>IFERROR(__xludf.DUMMYFUNCTION("GOOGLETRANSLATE(K156, ""th"", ""en"")
"),"Adjusting your strategy will help your opponents to predict your play.")</f>
        <v>Adjusting your strategy will help your opponents to predict your play.</v>
      </c>
      <c r="G156" s="6">
        <v>155.0</v>
      </c>
      <c r="H156" s="7" t="s">
        <v>2664</v>
      </c>
      <c r="I156" s="7" t="s">
        <v>2665</v>
      </c>
      <c r="J156" s="7" t="s">
        <v>2666</v>
      </c>
      <c r="K156" s="7" t="s">
        <v>2667</v>
      </c>
    </row>
    <row r="157" ht="14.25" customHeight="1">
      <c r="A157" s="4">
        <v>156.0</v>
      </c>
      <c r="B157" s="5" t="str">
        <f>IFERROR(__xludf.DUMMYFUNCTION("GOOGLETRANSLATE(H157, ""th"", ""en"")
"),"You find that your team is starting to feel stressed and unable to focus. What do you do?")</f>
        <v>You find that your team is starting to feel stressed and unable to focus. What do you do?</v>
      </c>
      <c r="C157" s="5" t="str">
        <f>IFERROR(__xludf.DUMMYFUNCTION("GOOGLETRANSLATE(I157, ""th"", ""en"")
"),"A) Help your teammates relax and regain focus; B) Avoid interference; C) Adjust your strategy accordingly; D) Stop playing.")</f>
        <v>A) Help your teammates relax and regain focus; B) Avoid interference; C) Adjust your strategy accordingly; D) Stop playing.</v>
      </c>
      <c r="D157" s="5" t="str">
        <f>IFERROR(__xludf.DUMMYFUNCTION("GOOGLETRANSLATE(J157, ""th"", ""en"")
"),"A) Help teammates relax and restore focus.")</f>
        <v>A) Help teammates relax and restore focus.</v>
      </c>
      <c r="E157" s="5" t="str">
        <f>IFERROR(__xludf.DUMMYFUNCTION("GOOGLETRANSLATE(K157, ""th"", ""en"")
"),"Relaxing the team will help them regain focus on the competition.")</f>
        <v>Relaxing the team will help them regain focus on the competition.</v>
      </c>
      <c r="G157" s="6">
        <v>156.0</v>
      </c>
      <c r="H157" s="7" t="s">
        <v>2668</v>
      </c>
      <c r="I157" s="7" t="s">
        <v>2669</v>
      </c>
      <c r="J157" s="7" t="s">
        <v>2670</v>
      </c>
      <c r="K157" s="7" t="s">
        <v>2671</v>
      </c>
    </row>
    <row r="158" ht="14.25" customHeight="1">
      <c r="A158" s="4">
        <v>157.0</v>
      </c>
      <c r="B158" s="5" t="str">
        <f>IFERROR(__xludf.DUMMYFUNCTION("GOOGLETRANSLATE(H158, ""th"", ""en"")
"),"You feel like your team is missing a big opportunity. What should you do?")</f>
        <v>You feel like your team is missing a big opportunity. What should you do?</v>
      </c>
      <c r="C158" s="5" t="str">
        <f>IFERROR(__xludf.DUMMYFUNCTION("GOOGLETRANSLATE(I158, ""th"", ""en"")
"),"A) Encourage and motivate your teammates; B) Avoid talking about it; C) Adjust your strategy accordingly; D) Stop playing.")</f>
        <v>A) Encourage and motivate your teammates; B) Avoid talking about it; C) Adjust your strategy accordingly; D) Stop playing.</v>
      </c>
      <c r="D158" s="5" t="str">
        <f>IFERROR(__xludf.DUMMYFUNCTION("GOOGLETRANSLATE(J158, ""th"", ""en"")
"),"A) Motivate and encourage teammates.")</f>
        <v>A) Motivate and encourage teammates.</v>
      </c>
      <c r="E158" s="5" t="str">
        <f>IFERROR(__xludf.DUMMYFUNCTION("GOOGLETRANSLATE(K158, ""th"", ""en"")
"),"Encouraging and motivating your team will help restore their confidence and seize opportunities.")</f>
        <v>Encouraging and motivating your team will help restore their confidence and seize opportunities.</v>
      </c>
      <c r="G158" s="6">
        <v>157.0</v>
      </c>
      <c r="H158" s="7" t="s">
        <v>2672</v>
      </c>
      <c r="I158" s="7" t="s">
        <v>2517</v>
      </c>
      <c r="J158" s="7" t="s">
        <v>1248</v>
      </c>
      <c r="K158" s="7" t="s">
        <v>2673</v>
      </c>
    </row>
    <row r="159" ht="14.25" customHeight="1">
      <c r="A159" s="4">
        <v>158.0</v>
      </c>
      <c r="B159" s="5" t="str">
        <f>IFERROR(__xludf.DUMMYFUNCTION("GOOGLETRANSLATE(H159, ""th"", ""en"")
"),"You find that your competitors are starting to use techniques that make things difficult for you. What should you do?")</f>
        <v>You find that your competitors are starting to use techniques that make things difficult for you. What should you do?</v>
      </c>
      <c r="C159" s="5" t="str">
        <f>IFERROR(__xludf.DUMMYFUNCTION("GOOGLETRANSLATE(I159, ""th"", ""en"")
"),"A) Study the technique and adjust your strategy; B) Avoid the attack; C) Try to watch and wait for him to make a mistake; D) Stop playing.")</f>
        <v>A) Study the technique and adjust your strategy; B) Avoid the attack; C) Try to watch and wait for him to make a mistake; D) Stop playing.</v>
      </c>
      <c r="D159" s="5" t="str">
        <f>IFERROR(__xludf.DUMMYFUNCTION("GOOGLETRANSLATE(J159, ""th"", ""en"")
"),"A) Study techniques and adjust strategies.")</f>
        <v>A) Study techniques and adjust strategies.</v>
      </c>
      <c r="E159" s="5" t="str">
        <f>IFERROR(__xludf.DUMMYFUNCTION("GOOGLETRANSLATE(K159, ""th"", ""en"")
"),"Learning new techniques will help you adapt.")</f>
        <v>Learning new techniques will help you adapt.</v>
      </c>
      <c r="G159" s="6">
        <v>158.0</v>
      </c>
      <c r="H159" s="7" t="s">
        <v>2674</v>
      </c>
      <c r="I159" s="7" t="s">
        <v>2675</v>
      </c>
      <c r="J159" s="7" t="s">
        <v>2676</v>
      </c>
      <c r="K159" s="7" t="s">
        <v>2677</v>
      </c>
    </row>
    <row r="160" ht="14.25" customHeight="1">
      <c r="A160" s="4">
        <v>159.0</v>
      </c>
      <c r="B160" s="5" t="str">
        <f>IFERROR(__xludf.DUMMYFUNCTION("GOOGLETRANSLATE(H160, ""th"", ""en"")
"),"You start to feel that the players on your team are feeling fatigued, what do you do?")</f>
        <v>You start to feel that the players on your team are feeling fatigued, what do you do?</v>
      </c>
      <c r="C160" s="5" t="str">
        <f>IFERROR(__xludf.DUMMYFUNCTION("GOOGLETRANSLATE(I160, ""th"", ""en"")
"),"A) Take a break and let everyone recover; B) Adjust your strategy accordingly; C) Continue playing as usual; D) Stop playing.")</f>
        <v>A) Take a break and let everyone recover; B) Adjust your strategy accordingly; C) Continue playing as usual; D) Stop playing.</v>
      </c>
      <c r="D160" s="5" t="str">
        <f>IFERROR(__xludf.DUMMYFUNCTION("GOOGLETRANSLATE(J160, ""th"", ""en"")
"),"A) Take a break and let everyone recover.")</f>
        <v>A) Take a break and let everyone recover.</v>
      </c>
      <c r="E160" s="5" t="str">
        <f>IFERROR(__xludf.DUMMYFUNCTION("GOOGLETRANSLATE(K160, ""th"", ""en"")
"),"Taking time off will help the team recharge.")</f>
        <v>Taking time off will help the team recharge.</v>
      </c>
      <c r="G160" s="6">
        <v>159.0</v>
      </c>
      <c r="H160" s="7" t="s">
        <v>2608</v>
      </c>
      <c r="I160" s="7" t="s">
        <v>2678</v>
      </c>
      <c r="J160" s="7" t="s">
        <v>2679</v>
      </c>
      <c r="K160" s="7" t="s">
        <v>2680</v>
      </c>
    </row>
    <row r="161" ht="14.25" customHeight="1">
      <c r="A161" s="4">
        <v>160.0</v>
      </c>
      <c r="B161" s="5" t="str">
        <f>IFERROR(__xludf.DUMMYFUNCTION("GOOGLETRANSLATE(H161, ""th"", ""en"")
"),"You find that your team is starting to have conflicts during a match. What do you do?")</f>
        <v>You find that your team is starting to have conflicts during a match. What do you do?</v>
      </c>
      <c r="C161" s="5" t="str">
        <f>IFERROR(__xludf.DUMMYFUNCTION("GOOGLETRANSLATE(I161, ""th"", ""en"")
"),"A) Try to offer advice and help clear the air; B) Avoid bringing it up; C) Adjust your strategy accordingly; D) Stop playing.")</f>
        <v>A) Try to offer advice and help clear the air; B) Avoid bringing it up; C) Adjust your strategy accordingly; D) Stop playing.</v>
      </c>
      <c r="D161" s="5" t="str">
        <f>IFERROR(__xludf.DUMMYFUNCTION("GOOGLETRANSLATE(J161, ""th"", ""en"")
"),"A) Try to give advice and help improve understanding.")</f>
        <v>A) Try to give advice and help improve understanding.</v>
      </c>
      <c r="E161" s="5" t="str">
        <f>IFERROR(__xludf.DUMMYFUNCTION("GOOGLETRANSLATE(K161, ""th"", ""en"")
"),"Helping the team to understand each other will reduce conflict within the team.")</f>
        <v>Helping the team to understand each other will reduce conflict within the team.</v>
      </c>
      <c r="G161" s="6">
        <v>160.0</v>
      </c>
      <c r="H161" s="7" t="s">
        <v>2681</v>
      </c>
      <c r="I161" s="7" t="s">
        <v>2682</v>
      </c>
      <c r="J161" s="7" t="s">
        <v>2683</v>
      </c>
      <c r="K161" s="7" t="s">
        <v>2684</v>
      </c>
    </row>
    <row r="162" ht="14.25" customHeight="1">
      <c r="A162" s="4">
        <v>161.0</v>
      </c>
      <c r="B162" s="5" t="str">
        <f>IFERROR(__xludf.DUMMYFUNCTION("GOOGLETRANSLATE(H162, ""th"", ""en"")
"),"You find that the players on your team are starting to get confused about the strategy they are using. What do you do?")</f>
        <v>You find that the players on your team are starting to get confused about the strategy they are using. What do you do?</v>
      </c>
      <c r="C162" s="5" t="str">
        <f>IFERROR(__xludf.DUMMYFUNCTION("GOOGLETRANSLATE(I162, ""th"", ""en"")
"),"A) Explain the strategy clearly and help adjust your play; B) Avoid discussing it; C) Adjust your strategy accordingly; D) Stop playing.")</f>
        <v>A) Explain the strategy clearly and help adjust your play; B) Avoid discussing it; C) Adjust your strategy accordingly; D) Stop playing.</v>
      </c>
      <c r="D162" s="5" t="str">
        <f>IFERROR(__xludf.DUMMYFUNCTION("GOOGLETRANSLATE(J162, ""th"", ""en"")
"),"A) Explain the strategy clearly and help adjust the game.")</f>
        <v>A) Explain the strategy clearly and help adjust the game.</v>
      </c>
      <c r="E162" s="5" t="str">
        <f>IFERROR(__xludf.DUMMYFUNCTION("GOOGLETRANSLATE(K162, ""th"", ""en"")
"),"Clearly explaining your strategy will help your team play better.")</f>
        <v>Clearly explaining your strategy will help your team play better.</v>
      </c>
      <c r="G162" s="6">
        <v>161.0</v>
      </c>
      <c r="H162" s="7" t="s">
        <v>2685</v>
      </c>
      <c r="I162" s="7" t="s">
        <v>2686</v>
      </c>
      <c r="J162" s="7" t="s">
        <v>2687</v>
      </c>
      <c r="K162" s="7" t="s">
        <v>2688</v>
      </c>
    </row>
    <row r="163" ht="14.25" customHeight="1">
      <c r="A163" s="4">
        <v>162.0</v>
      </c>
      <c r="B163" s="5" t="str">
        <f>IFERROR(__xludf.DUMMYFUNCTION("GOOGLETRANSLATE(H163, ""th"", ""en"")
"),"You feel your competitors are getting stronger, what will you do?")</f>
        <v>You feel your competitors are getting stronger, what will you do?</v>
      </c>
      <c r="C163" s="5" t="str">
        <f>IFERROR(__xludf.DUMMYFUNCTION("GOOGLETRANSLATE(I163, ""th"", ""en"")
"),"A) Adjust your strategy and use your best technique; B) Avoid attacking him; C) Try to play your original strategy; D) Stop playing.")</f>
        <v>A) Adjust your strategy and use your best technique; B) Avoid attacking him; C) Try to play your original strategy; D) Stop playing.</v>
      </c>
      <c r="D163" s="5" t="str">
        <f>IFERROR(__xludf.DUMMYFUNCTION("GOOGLETRANSLATE(J163, ""th"", ""en"")
"),"A) Adjust strategies and use the best techniques.")</f>
        <v>A) Adjust strategies and use the best techniques.</v>
      </c>
      <c r="E163" s="5" t="str">
        <f>IFERROR(__xludf.DUMMYFUNCTION("GOOGLETRANSLATE(K163, ""th"", ""en"")
"),"Adjusting your strategy and using the best techniques will help you compete with your opponents.")</f>
        <v>Adjusting your strategy and using the best techniques will help you compete with your opponents.</v>
      </c>
      <c r="G163" s="6">
        <v>162.0</v>
      </c>
      <c r="H163" s="7" t="s">
        <v>2689</v>
      </c>
      <c r="I163" s="7" t="s">
        <v>2690</v>
      </c>
      <c r="J163" s="7" t="s">
        <v>2691</v>
      </c>
      <c r="K163" s="7" t="s">
        <v>2692</v>
      </c>
    </row>
    <row r="164" ht="14.25" customHeight="1">
      <c r="A164" s="4">
        <v>163.0</v>
      </c>
      <c r="B164" s="5" t="str">
        <f>IFERROR(__xludf.DUMMYFUNCTION("GOOGLETRANSLATE(H164, ""th"", ""en"")
"),"You notice that your opponent is starting to use faster attacks. What do you do?")</f>
        <v>You notice that your opponent is starting to use faster attacks. What do you do?</v>
      </c>
      <c r="C164" s="5" t="str">
        <f>IFERROR(__xludf.DUMMYFUNCTION("GOOGLETRANSLATE(I164, ""th"", ""en"")
"),"A) Speed ​​up your own attacks; B) Avoid attacks; C) Wait until your opponent makes a mistake; D) Stop playing.")</f>
        <v>A) Speed ​​up your own attacks; B) Avoid attacks; C) Wait until your opponent makes a mistake; D) Stop playing.</v>
      </c>
      <c r="D164" s="5" t="str">
        <f>IFERROR(__xludf.DUMMYFUNCTION("GOOGLETRANSLATE(J164, ""th"", ""en"")
"),"A) Adjust your own attack speed.")</f>
        <v>A) Adjust your own attack speed.</v>
      </c>
      <c r="E164" s="5" t="str">
        <f>IFERROR(__xludf.DUMMYFUNCTION("GOOGLETRANSLATE(K164, ""th"", ""en"")
"),"Adjusting your attack speed will help you deal with your opponents.")</f>
        <v>Adjusting your attack speed will help you deal with your opponents.</v>
      </c>
      <c r="G164" s="6">
        <v>163.0</v>
      </c>
      <c r="H164" s="7" t="s">
        <v>2523</v>
      </c>
      <c r="I164" s="7" t="s">
        <v>2693</v>
      </c>
      <c r="J164" s="7" t="s">
        <v>2694</v>
      </c>
      <c r="K164" s="7" t="s">
        <v>2695</v>
      </c>
    </row>
    <row r="165" ht="14.25" customHeight="1">
      <c r="A165" s="4">
        <v>164.0</v>
      </c>
      <c r="B165" s="5" t="str">
        <f>IFERROR(__xludf.DUMMYFUNCTION("GOOGLETRANSLATE(H165, ""th"", ""en"")
"),"You find that your team is losing confidence during a game, what do you do?")</f>
        <v>You find that your team is losing confidence during a game, what do you do?</v>
      </c>
      <c r="C165" s="5" t="str">
        <f>IFERROR(__xludf.DUMMYFUNCTION("GOOGLETRANSLATE(I165, ""th"", ""en"")
"),"A) Give advice and motivate the team; B) Avoid talking about it; C) Adjust your strategy accordingly; D) Stop playing.")</f>
        <v>A) Give advice and motivate the team; B) Avoid talking about it; C) Adjust your strategy accordingly; D) Stop playing.</v>
      </c>
      <c r="D165" s="5" t="str">
        <f>IFERROR(__xludf.DUMMYFUNCTION("GOOGLETRANSLATE(J165, ""th"", ""en"")
"),"A) Provide guidance and motivation to the team.")</f>
        <v>A) Provide guidance and motivation to the team.</v>
      </c>
      <c r="E165" s="5" t="str">
        <f>IFERROR(__xludf.DUMMYFUNCTION("GOOGLETRANSLATE(K165, ""th"", ""en"")
"),"Providing guidance and motivation to your team will help restore confidence.")</f>
        <v>Providing guidance and motivation to your team will help restore confidence.</v>
      </c>
      <c r="G165" s="6">
        <v>164.0</v>
      </c>
      <c r="H165" s="7" t="s">
        <v>2696</v>
      </c>
      <c r="I165" s="7" t="s">
        <v>2697</v>
      </c>
      <c r="J165" s="7" t="s">
        <v>2698</v>
      </c>
      <c r="K165" s="7" t="s">
        <v>2699</v>
      </c>
    </row>
    <row r="166" ht="14.25" customHeight="1">
      <c r="A166" s="4">
        <v>165.0</v>
      </c>
      <c r="B166" s="5" t="str">
        <f>IFERROR(__xludf.DUMMYFUNCTION("GOOGLETRANSLATE(H166, ""th"", ""en"")
"),"You feel that your competitors are starting to use more sophisticated strategies. What should you do?")</f>
        <v>You feel that your competitors are starting to use more sophisticated strategies. What should you do?</v>
      </c>
      <c r="C166" s="5" t="str">
        <f>IFERROR(__xludf.DUMMYFUNCTION("GOOGLETRANSLATE(I166, ""th"", ""en"")
"),"A) Learn new strategies and adapt accordingly; B) Avoid confrontation; C) Wait until a weakness is found; D) Stop playing.")</f>
        <v>A) Learn new strategies and adapt accordingly; B) Avoid confrontation; C) Wait until a weakness is found; D) Stop playing.</v>
      </c>
      <c r="D166" s="5" t="str">
        <f>IFERROR(__xludf.DUMMYFUNCTION("GOOGLETRANSLATE(J166, ""th"", ""en"")
"),"A) Study new strategies and adapt accordingly.")</f>
        <v>A) Study new strategies and adapt accordingly.</v>
      </c>
      <c r="E166" s="5" t="str">
        <f>IFERROR(__xludf.DUMMYFUNCTION("GOOGLETRANSLATE(K166, ""th"", ""en"")
"),"Learning new strategies will help you cope better.")</f>
        <v>Learning new strategies will help you cope better.</v>
      </c>
      <c r="G166" s="6">
        <v>165.0</v>
      </c>
      <c r="H166" s="7" t="s">
        <v>2700</v>
      </c>
      <c r="I166" s="7" t="s">
        <v>2701</v>
      </c>
      <c r="J166" s="7" t="s">
        <v>2614</v>
      </c>
      <c r="K166" s="7" t="s">
        <v>2615</v>
      </c>
    </row>
    <row r="167" ht="14.25" customHeight="1">
      <c r="A167" s="4">
        <v>166.0</v>
      </c>
      <c r="B167" s="5" t="str">
        <f>IFERROR(__xludf.DUMMYFUNCTION("GOOGLETRANSLATE(H167, ""th"", ""en"")
"),"You find that your competitors are starting to use faster techniques. What do you do?")</f>
        <v>You find that your competitors are starting to use faster techniques. What do you do?</v>
      </c>
      <c r="C167" s="5" t="str">
        <f>IFERROR(__xludf.DUMMYFUNCTION("GOOGLETRANSLATE(I167, ""th"", ""en"")
"),"A) Adjust your playing style to a faster pace; B) Avoid attacking him; C) Wait until you find a weak point; D) Stop playing.")</f>
        <v>A) Adjust your playing style to a faster pace; B) Avoid attacking him; C) Wait until you find a weak point; D) Stop playing.</v>
      </c>
      <c r="D167" s="5" t="str">
        <f>IFERROR(__xludf.DUMMYFUNCTION("GOOGLETRANSLATE(J167, ""th"", ""en"")
"),"A) Adjust your playing posture to be faster.")</f>
        <v>A) Adjust your playing posture to be faster.</v>
      </c>
      <c r="E167" s="5" t="str">
        <f>IFERROR(__xludf.DUMMYFUNCTION("GOOGLETRANSLATE(K167, ""th"", ""en"")
"),"Adjusting your playing style to be faster will help you counter.")</f>
        <v>Adjusting your playing style to be faster will help you counter.</v>
      </c>
      <c r="G167" s="6">
        <v>166.0</v>
      </c>
      <c r="H167" s="7" t="s">
        <v>2702</v>
      </c>
      <c r="I167" s="7" t="s">
        <v>2703</v>
      </c>
      <c r="J167" s="7" t="s">
        <v>2704</v>
      </c>
      <c r="K167" s="7" t="s">
        <v>2705</v>
      </c>
    </row>
    <row r="168" ht="14.25" customHeight="1">
      <c r="A168" s="4">
        <v>167.0</v>
      </c>
      <c r="B168" s="5" t="str">
        <f>IFERROR(__xludf.DUMMYFUNCTION("GOOGLETRANSLATE(H168, ""th"", ""en"")
"),"You start to feel like the game is getting harder, what do you do?")</f>
        <v>You start to feel like the game is getting harder, what do you do?</v>
      </c>
      <c r="C168" s="5" t="str">
        <f>IFERROR(__xludf.DUMMYFUNCTION("GOOGLETRANSLATE(I168, ""th"", ""en"")
"),"A) Adjust your strategy and try to find a way out of the situation; B) Stop playing and take a break; C) Wait and see until you find a weak point; D) Give up.")</f>
        <v>A) Adjust your strategy and try to find a way out of the situation; B) Stop playing and take a break; C) Wait and see until you find a weak point; D) Give up.</v>
      </c>
      <c r="D168" s="5" t="str">
        <f>IFERROR(__xludf.DUMMYFUNCTION("GOOGLETRANSLATE(J168, ""th"", ""en"")
"),"A) Adjust your strategy and try to find a way out of the situation.")</f>
        <v>A) Adjust your strategy and try to find a way out of the situation.</v>
      </c>
      <c r="E168" s="5" t="str">
        <f>IFERROR(__xludf.DUMMYFUNCTION("GOOGLETRANSLATE(K168, ""th"", ""en"")
"),"Strategic adjustments increase the chances of a comeback.")</f>
        <v>Strategic adjustments increase the chances of a comeback.</v>
      </c>
      <c r="G168" s="6">
        <v>167.0</v>
      </c>
      <c r="H168" s="7" t="s">
        <v>2706</v>
      </c>
      <c r="I168" s="7" t="s">
        <v>2707</v>
      </c>
      <c r="J168" s="7" t="s">
        <v>2580</v>
      </c>
      <c r="K168" s="7" t="s">
        <v>2581</v>
      </c>
    </row>
    <row r="169" ht="14.25" customHeight="1">
      <c r="A169" s="4">
        <v>168.0</v>
      </c>
      <c r="B169" s="5" t="str">
        <f>IFERROR(__xludf.DUMMYFUNCTION("GOOGLETRANSLATE(H169, ""th"", ""en"")
"),"You find that your competitors are starting to have psychological problems, what do you do?")</f>
        <v>You find that your competitors are starting to have psychological problems, what do you do?</v>
      </c>
      <c r="C169" s="5" t="str">
        <f>IFERROR(__xludf.DUMMYFUNCTION("GOOGLETRANSLATE(I169, ""th"", ""en"")
"),"A) Take this opportunity to attack quickly; B) Avoid the attack and wait and see; C) Adjust your strategy to play better; D) Stop playing.")</f>
        <v>A) Take this opportunity to attack quickly; B) Avoid the attack and wait and see; C) Adjust your strategy to play better; D) Stop playing.</v>
      </c>
      <c r="D169" s="5" t="str">
        <f>IFERROR(__xludf.DUMMYFUNCTION("GOOGLETRANSLATE(J169, ""th"", ""en"")
"),"A) Take this opportunity to attack quickly.")</f>
        <v>A) Take this opportunity to attack quickly.</v>
      </c>
      <c r="E169" s="5" t="str">
        <f>IFERROR(__xludf.DUMMYFUNCTION("GOOGLETRANSLATE(K169, ""th"", ""en"")
"),"Attacking when your opponent is mentally challenged will give you a better chance of winning.")</f>
        <v>Attacking when your opponent is mentally challenged will give you a better chance of winning.</v>
      </c>
      <c r="G169" s="6">
        <v>168.0</v>
      </c>
      <c r="H169" s="7" t="s">
        <v>2582</v>
      </c>
      <c r="I169" s="7" t="s">
        <v>2583</v>
      </c>
      <c r="J169" s="7" t="s">
        <v>2506</v>
      </c>
      <c r="K169" s="7" t="s">
        <v>2584</v>
      </c>
    </row>
    <row r="170" ht="14.25" customHeight="1">
      <c r="A170" s="4">
        <v>169.0</v>
      </c>
      <c r="B170" s="5" t="str">
        <f>IFERROR(__xludf.DUMMYFUNCTION("GOOGLETRANSLATE(H170, ""th"", ""en"")
"),"You find yourself making mistakes in the game and are starting to feel frustrated. What do you do?")</f>
        <v>You find yourself making mistakes in the game and are starting to feel frustrated. What do you do?</v>
      </c>
      <c r="C170" s="5" t="str">
        <f>IFERROR(__xludf.DUMMYFUNCTION("GOOGLETRANSLATE(I170, ""th"", ""en"")
"),"A) Get up and try again; B) Wait until the other player makes a mistake; C) Avoid playing; D) Give up.")</f>
        <v>A) Get up and try again; B) Wait until the other player makes a mistake; C) Avoid playing; D) Give up.</v>
      </c>
      <c r="D170" s="5" t="str">
        <f>IFERROR(__xludf.DUMMYFUNCTION("GOOGLETRANSLATE(J170, ""th"", ""en"")
"),"A) Get up and try again.")</f>
        <v>A) Get up and try again.</v>
      </c>
      <c r="E170" s="5" t="str">
        <f>IFERROR(__xludf.DUMMYFUNCTION("GOOGLETRANSLATE(K170, ""th"", ""en"")
"),"Trying again will help you learn from your mistakes and improve your game.")</f>
        <v>Trying again will help you learn from your mistakes and improve your game.</v>
      </c>
      <c r="G170" s="6">
        <v>169.0</v>
      </c>
      <c r="H170" s="7" t="s">
        <v>2708</v>
      </c>
      <c r="I170" s="7" t="s">
        <v>2709</v>
      </c>
      <c r="J170" s="7" t="s">
        <v>2710</v>
      </c>
      <c r="K170" s="7" t="s">
        <v>2711</v>
      </c>
    </row>
    <row r="171" ht="14.25" customHeight="1">
      <c r="A171" s="4">
        <v>170.0</v>
      </c>
      <c r="B171" s="5" t="str">
        <f>IFERROR(__xludf.DUMMYFUNCTION("GOOGLETRANSLATE(H171, ""th"", ""en"")
"),"You feel your opponent is becoming more confident, what do you do?")</f>
        <v>You feel your opponent is becoming more confident, what do you do?</v>
      </c>
      <c r="C171" s="5" t="str">
        <f>IFERROR(__xludf.DUMMYFUNCTION("GOOGLETRANSLATE(I171, ""th"", ""en"")
"),"A) Take this opportunity to attack quickly; B) Avoid the attack and wait and see; C) Adjust your strategy accordingly; D) Stop playing.")</f>
        <v>A) Take this opportunity to attack quickly; B) Avoid the attack and wait and see; C) Adjust your strategy accordingly; D) Stop playing.</v>
      </c>
      <c r="D171" s="5" t="str">
        <f>IFERROR(__xludf.DUMMYFUNCTION("GOOGLETRANSLATE(J171, ""th"", ""en"")
"),"A) Use this opportunity to launch a quick attack.")</f>
        <v>A) Use this opportunity to launch a quick attack.</v>
      </c>
      <c r="E171" s="5" t="str">
        <f>IFERROR(__xludf.DUMMYFUNCTION("GOOGLETRANSLATE(K171, ""th"", ""en"")
"),"Attacking when your opponent is confident can help you turn the game around.")</f>
        <v>Attacking when your opponent is confident can help you turn the game around.</v>
      </c>
      <c r="G171" s="6">
        <v>170.0</v>
      </c>
      <c r="H171" s="7" t="s">
        <v>2282</v>
      </c>
      <c r="I171" s="7" t="s">
        <v>2712</v>
      </c>
      <c r="J171" s="7" t="s">
        <v>2713</v>
      </c>
      <c r="K171" s="7" t="s">
        <v>2714</v>
      </c>
    </row>
    <row r="172" ht="14.25" customHeight="1">
      <c r="A172" s="4">
        <v>171.0</v>
      </c>
      <c r="B172" s="5" t="str">
        <f>IFERROR(__xludf.DUMMYFUNCTION("GOOGLETRANSLATE(H172, ""th"", ""en"")
"),"You start to feel that stress is affecting your performance, what should you do?")</f>
        <v>You start to feel that stress is affecting your performance, what should you do?</v>
      </c>
      <c r="C172" s="5" t="str">
        <f>IFERROR(__xludf.DUMMYFUNCTION("GOOGLETRANSLATE(I172, ""th"", ""en"")
"),"A) Take a break and find a way to relax; B) Try to continue playing; C) Ask a coach for advice; D) Avoid playing.")</f>
        <v>A) Take a break and find a way to relax; B) Try to continue playing; C) Ask a coach for advice; D) Avoid playing.</v>
      </c>
      <c r="D172" s="5" t="str">
        <f>IFERROR(__xludf.DUMMYFUNCTION("GOOGLETRANSLATE(J172, ""th"", ""en"")
"),"A) Take a break and find a way to relax.")</f>
        <v>A) Take a break and find a way to relax.</v>
      </c>
      <c r="E172" s="5" t="str">
        <f>IFERROR(__xludf.DUMMYFUNCTION("GOOGLETRANSLATE(K172, ""th"", ""en"")
"),"Taking breaks and relaxing will reduce stress and improve your performance.")</f>
        <v>Taking breaks and relaxing will reduce stress and improve your performance.</v>
      </c>
      <c r="G172" s="6">
        <v>171.0</v>
      </c>
      <c r="H172" s="7" t="s">
        <v>2715</v>
      </c>
      <c r="I172" s="7" t="s">
        <v>2716</v>
      </c>
      <c r="J172" s="7" t="s">
        <v>2717</v>
      </c>
      <c r="K172" s="7" t="s">
        <v>2718</v>
      </c>
    </row>
    <row r="173" ht="14.25" customHeight="1">
      <c r="A173" s="4">
        <v>172.0</v>
      </c>
      <c r="B173" s="5" t="str">
        <f>IFERROR(__xludf.DUMMYFUNCTION("GOOGLETRANSLATE(H173, ""th"", ""en"")
"),"You find that your opponent has a new technique that makes you unable to cope. What do you do?")</f>
        <v>You find that your opponent has a new technique that makes you unable to cope. What do you do?</v>
      </c>
      <c r="C173" s="5" t="str">
        <f>IFERROR(__xludf.DUMMYFUNCTION("GOOGLETRANSLATE(I173, ""th"", ""en"")
"),"A) Learn new techniques and adjust your strategy; B) Avoid confrontation; C) Stick to your old strategy; D) Stop playing.")</f>
        <v>A) Learn new techniques and adjust your strategy; B) Avoid confrontation; C) Stick to your old strategy; D) Stop playing.</v>
      </c>
      <c r="D173" s="5" t="str">
        <f>IFERROR(__xludf.DUMMYFUNCTION("GOOGLETRANSLATE(J173, ""th"", ""en"")
"),"A) Study new techniques and adjust strategies.")</f>
        <v>A) Study new techniques and adjust strategies.</v>
      </c>
      <c r="E173" s="5" t="str">
        <f>IFERROR(__xludf.DUMMYFUNCTION("GOOGLETRANSLATE(K173, ""th"", ""en"")
"),"Learning new strategies and techniques will help you cope better.")</f>
        <v>Learning new strategies and techniques will help you cope better.</v>
      </c>
      <c r="G173" s="6">
        <v>172.0</v>
      </c>
      <c r="H173" s="7" t="s">
        <v>2719</v>
      </c>
      <c r="I173" s="7" t="s">
        <v>2720</v>
      </c>
      <c r="J173" s="7" t="s">
        <v>2408</v>
      </c>
      <c r="K173" s="7" t="s">
        <v>2721</v>
      </c>
    </row>
    <row r="174" ht="14.25" customHeight="1">
      <c r="A174" s="4">
        <v>173.0</v>
      </c>
      <c r="B174" s="5" t="str">
        <f>IFERROR(__xludf.DUMMYFUNCTION("GOOGLETRANSLATE(H174, ""th"", ""en"")
"),"You feel like the team is losing unity. What should you do?")</f>
        <v>You feel like the team is losing unity. What should you do?</v>
      </c>
      <c r="C174" s="5" t="str">
        <f>IFERROR(__xludf.DUMMYFUNCTION("GOOGLETRANSLATE(I174, ""th"", ""en"")
"),"A) Encourage the team to improve coordination; B) Avoid talking about it; C) Adjust the strategy accordingly; D) Stop playing.")</f>
        <v>A) Encourage the team to improve coordination; B) Avoid talking about it; C) Adjust the strategy accordingly; D) Stop playing.</v>
      </c>
      <c r="D174" s="5" t="str">
        <f>IFERROR(__xludf.DUMMYFUNCTION("GOOGLETRANSLATE(J174, ""th"", ""en"")
"),"A) Stimulate the team to have better coordination.")</f>
        <v>A) Stimulate the team to have better coordination.</v>
      </c>
      <c r="E174" s="5" t="str">
        <f>IFERROR(__xludf.DUMMYFUNCTION("GOOGLETRANSLATE(K174, ""th"", ""en"")
"),"Encouraging team collaboration will increase team effectiveness.")</f>
        <v>Encouraging team collaboration will increase team effectiveness.</v>
      </c>
      <c r="G174" s="6">
        <v>173.0</v>
      </c>
      <c r="H174" s="7" t="s">
        <v>2722</v>
      </c>
      <c r="I174" s="7" t="s">
        <v>2723</v>
      </c>
      <c r="J174" s="7" t="s">
        <v>2724</v>
      </c>
      <c r="K174" s="7" t="s">
        <v>2725</v>
      </c>
    </row>
    <row r="175" ht="14.25" customHeight="1">
      <c r="A175" s="4">
        <v>174.0</v>
      </c>
      <c r="B175" s="5" t="str">
        <f>IFERROR(__xludf.DUMMYFUNCTION("GOOGLETRANSLATE(H175, ""th"", ""en"")
"),"You find your teammates are losing focus, what do you do?")</f>
        <v>You find your teammates are losing focus, what do you do?</v>
      </c>
      <c r="C175" s="5" t="str">
        <f>IFERROR(__xludf.DUMMYFUNCTION("GOOGLETRANSLATE(I175, ""th"", ""en"")
"),"A) Give advice and help restore focus; B) Avoid talking about it; C) Adjust your strategy accordingly; D) Stop playing.")</f>
        <v>A) Give advice and help restore focus; B) Avoid talking about it; C) Adjust your strategy accordingly; D) Stop playing.</v>
      </c>
      <c r="D175" s="5" t="str">
        <f>IFERROR(__xludf.DUMMYFUNCTION("GOOGLETRANSLATE(J175, ""th"", ""en"")
"),"A) Provide advice and help restore concentration.")</f>
        <v>A) Provide advice and help restore concentration.</v>
      </c>
      <c r="E175" s="5" t="str">
        <f>IFERROR(__xludf.DUMMYFUNCTION("GOOGLETRANSLATE(K175, ""th"", ""en"")
"),"Providing guidance and helping to restore focus can help your teammates regain focus.")</f>
        <v>Providing guidance and helping to restore focus can help your teammates regain focus.</v>
      </c>
      <c r="G175" s="6">
        <v>174.0</v>
      </c>
      <c r="H175" s="7" t="s">
        <v>2726</v>
      </c>
      <c r="I175" s="7" t="s">
        <v>2727</v>
      </c>
      <c r="J175" s="7" t="s">
        <v>2728</v>
      </c>
      <c r="K175" s="7" t="s">
        <v>2729</v>
      </c>
    </row>
    <row r="176" ht="14.25" customHeight="1">
      <c r="A176" s="4">
        <v>175.0</v>
      </c>
      <c r="B176" s="5" t="str">
        <f>IFERROR(__xludf.DUMMYFUNCTION("GOOGLETRANSLATE(H176, ""th"", ""en"")
"),"You find that your competitors are adapting their strategies to counter you. What do you do?")</f>
        <v>You find that your competitors are adapting their strategies to counter you. What do you do?</v>
      </c>
      <c r="C176" s="5" t="str">
        <f>IFERROR(__xludf.DUMMYFUNCTION("GOOGLETRANSLATE(I176, ""th"", ""en"")
"),"A) Adjust your strategy to suit; B) Avoid attacks; C) Continue using the same strategy; D) Stop playing.")</f>
        <v>A) Adjust your strategy to suit; B) Avoid attacks; C) Continue using the same strategy; D) Stop playing.</v>
      </c>
      <c r="D176" s="5" t="str">
        <f>IFERROR(__xludf.DUMMYFUNCTION("GOOGLETRANSLATE(J176, ""th"", ""en"")
"),"A) Adjust your strategy to suit.")</f>
        <v>A) Adjust your strategy to suit.</v>
      </c>
      <c r="E176" s="5" t="str">
        <f>IFERROR(__xludf.DUMMYFUNCTION("GOOGLETRANSLATE(K176, ""th"", ""en"")
"),"Adjusting your strategy will give you a better chance of winning the competition.")</f>
        <v>Adjusting your strategy will give you a better chance of winning the competition.</v>
      </c>
      <c r="G176" s="6">
        <v>175.0</v>
      </c>
      <c r="H176" s="7" t="s">
        <v>2730</v>
      </c>
      <c r="I176" s="7" t="s">
        <v>2731</v>
      </c>
      <c r="J176" s="7" t="s">
        <v>2732</v>
      </c>
      <c r="K176" s="7" t="s">
        <v>2733</v>
      </c>
    </row>
    <row r="177" ht="14.25" customHeight="1">
      <c r="A177" s="4">
        <v>176.0</v>
      </c>
      <c r="B177" s="5" t="str">
        <f>IFERROR(__xludf.DUMMYFUNCTION("GOOGLETRANSLATE(H177, ""th"", ""en"")
"),"You feel like your opponent is attacking faster, what should you do?")</f>
        <v>You feel like your opponent is attacking faster, what should you do?</v>
      </c>
      <c r="C177" s="5" t="str">
        <f>IFERROR(__xludf.DUMMYFUNCTION("GOOGLETRANSLATE(I177, ""th"", ""en"")
"),"A) Adjust your attack speed; B) Avoid attacks; C) Wait and see; D) Stop playing.")</f>
        <v>A) Adjust your attack speed; B) Avoid attacks; C) Wait and see; D) Stop playing.</v>
      </c>
      <c r="D177" s="5" t="str">
        <f>IFERROR(__xludf.DUMMYFUNCTION("GOOGLETRANSLATE(J177, ""th"", ""en"")
"),"A) Adjust your attack speed.")</f>
        <v>A) Adjust your attack speed.</v>
      </c>
      <c r="E177" s="5" t="str">
        <f>IFERROR(__xludf.DUMMYFUNCTION("GOOGLETRANSLATE(K177, ""th"", ""en"")
"),"Adjusting your attack speed will help you deal with them better.")</f>
        <v>Adjusting your attack speed will help you deal with them better.</v>
      </c>
      <c r="G177" s="6">
        <v>176.0</v>
      </c>
      <c r="H177" s="7" t="s">
        <v>2734</v>
      </c>
      <c r="I177" s="7" t="s">
        <v>2735</v>
      </c>
      <c r="J177" s="7" t="s">
        <v>2736</v>
      </c>
      <c r="K177" s="7" t="s">
        <v>2737</v>
      </c>
    </row>
    <row r="178" ht="14.25" customHeight="1">
      <c r="A178" s="4">
        <v>177.0</v>
      </c>
      <c r="B178" s="5" t="str">
        <f>IFERROR(__xludf.DUMMYFUNCTION("GOOGLETRANSLATE(H178, ""th"", ""en"")
"),"You feel like your team is losing steam, what should you do?")</f>
        <v>You feel like your team is losing steam, what should you do?</v>
      </c>
      <c r="C178" s="5" t="str">
        <f>IFERROR(__xludf.DUMMYFUNCTION("GOOGLETRANSLATE(I178, ""th"", ""en"")
"),"A) Re-energize the team and refocus; B) Avoid talking about it; C) Adjust your strategy accordingly; D) Stop playing.")</f>
        <v>A) Re-energize the team and refocus; B) Avoid talking about it; C) Adjust your strategy accordingly; D) Stop playing.</v>
      </c>
      <c r="D178" s="5" t="str">
        <f>IFERROR(__xludf.DUMMYFUNCTION("GOOGLETRANSLATE(J178, ""th"", ""en"")
"),"A) Stimulate the team to regain energy and commitment.")</f>
        <v>A) Stimulate the team to regain energy and commitment.</v>
      </c>
      <c r="E178" s="5" t="str">
        <f>IFERROR(__xludf.DUMMYFUNCTION("GOOGLETRANSLATE(K178, ""th"", ""en"")
"),"Motivating your team will increase their confidence and performance.")</f>
        <v>Motivating your team will increase their confidence and performance.</v>
      </c>
      <c r="G178" s="6">
        <v>177.0</v>
      </c>
      <c r="H178" s="7" t="s">
        <v>2738</v>
      </c>
      <c r="I178" s="7" t="s">
        <v>2739</v>
      </c>
      <c r="J178" s="7" t="s">
        <v>2740</v>
      </c>
      <c r="K178" s="7" t="s">
        <v>2741</v>
      </c>
    </row>
    <row r="179" ht="14.25" customHeight="1">
      <c r="A179" s="4">
        <v>178.0</v>
      </c>
      <c r="B179" s="5" t="str">
        <f>IFERROR(__xludf.DUMMYFUNCTION("GOOGLETRANSLATE(H179, ""th"", ""en"")
"),"You find that your competitors are collecting information about your strategy. What do you do?")</f>
        <v>You find that your competitors are collecting information about your strategy. What do you do?</v>
      </c>
      <c r="C179" s="5" t="str">
        <f>IFERROR(__xludf.DUMMYFUNCTION("GOOGLETRANSLATE(I179, ""th"", ""en"")
"),"A) Constantly change strategies and techniques; B) Avoid attacks; C) Continue using the same strategy; D) Stop playing.")</f>
        <v>A) Constantly change strategies and techniques; B) Avoid attacks; C) Continue using the same strategy; D) Stop playing.</v>
      </c>
      <c r="D179" s="5" t="str">
        <f>IFERROR(__xludf.DUMMYFUNCTION("GOOGLETRANSLATE(J179, ""th"", ""en"")
"),"A) Continuously change strategies and techniques.")</f>
        <v>A) Continuously change strategies and techniques.</v>
      </c>
      <c r="E179" s="5" t="str">
        <f>IFERROR(__xludf.DUMMYFUNCTION("GOOGLETRANSLATE(K179, ""th"", ""en"")
"),"Changing your strategy will make it harder for your opponents to predict your play.")</f>
        <v>Changing your strategy will make it harder for your opponents to predict your play.</v>
      </c>
      <c r="G179" s="6">
        <v>178.0</v>
      </c>
      <c r="H179" s="7" t="s">
        <v>2742</v>
      </c>
      <c r="I179" s="7" t="s">
        <v>2743</v>
      </c>
      <c r="J179" s="7" t="s">
        <v>2744</v>
      </c>
      <c r="K179" s="7" t="s">
        <v>2745</v>
      </c>
    </row>
    <row r="180" ht="14.25" customHeight="1">
      <c r="A180" s="4">
        <v>179.0</v>
      </c>
      <c r="B180" s="5" t="str">
        <f>IFERROR(__xludf.DUMMYFUNCTION("GOOGLETRANSLATE(H180, ""th"", ""en"")
"),"You find that you made a mistake in your play and lost points. What do you do?")</f>
        <v>You find that you made a mistake in your play and lost points. What do you do?</v>
      </c>
      <c r="C180" s="5" t="str">
        <f>IFERROR(__xludf.DUMMYFUNCTION("GOOGLETRANSLATE(I180, ""th"", ""en"")
"),"A) Admit your mistake and try to fix it; B) Blame your teammates; C) Avoid making mistakes; D) Stop playing.")</f>
        <v>A) Admit your mistake and try to fix it; B) Blame your teammates; C) Avoid making mistakes; D) Stop playing.</v>
      </c>
      <c r="D180" s="5" t="str">
        <f>IFERROR(__xludf.DUMMYFUNCTION("GOOGLETRANSLATE(J180, ""th"", ""en"")
"),"A) Admit your mistakes and try to fix them.")</f>
        <v>A) Admit your mistakes and try to fix them.</v>
      </c>
      <c r="E180" s="5" t="str">
        <f>IFERROR(__xludf.DUMMYFUNCTION("GOOGLETRANSLATE(K180, ""th"", ""en"")
"),"Accepting and adjusting from mistakes will help improve your game.")</f>
        <v>Accepting and adjusting from mistakes will help improve your game.</v>
      </c>
      <c r="G180" s="6">
        <v>179.0</v>
      </c>
      <c r="H180" s="7" t="s">
        <v>2746</v>
      </c>
      <c r="I180" s="7" t="s">
        <v>2747</v>
      </c>
      <c r="J180" s="7" t="s">
        <v>2748</v>
      </c>
      <c r="K180" s="7" t="s">
        <v>2749</v>
      </c>
    </row>
    <row r="181" ht="14.25" customHeight="1">
      <c r="A181" s="4">
        <v>180.0</v>
      </c>
      <c r="B181" s="5" t="str">
        <f>IFERROR(__xludf.DUMMYFUNCTION("GOOGLETRANSLATE(H181, ""th"", ""en"")
"),"You start to feel like the game is getting harder, what do you do?")</f>
        <v>You start to feel like the game is getting harder, what do you do?</v>
      </c>
      <c r="C181" s="5" t="str">
        <f>IFERROR(__xludf.DUMMYFUNCTION("GOOGLETRANSLATE(I181, ""th"", ""en"")
"),"A) Adjust your strategy and try to find a way out of the situation; B) Stop playing and take a break; C) Wait until you find your opponent's weakness; D) Give up.")</f>
        <v>A) Adjust your strategy and try to find a way out of the situation; B) Stop playing and take a break; C) Wait until you find your opponent's weakness; D) Give up.</v>
      </c>
      <c r="D181" s="5" t="str">
        <f>IFERROR(__xludf.DUMMYFUNCTION("GOOGLETRANSLATE(J181, ""th"", ""en"")
"),"A) Adjust your strategy and try to find a way out of the situation.")</f>
        <v>A) Adjust your strategy and try to find a way out of the situation.</v>
      </c>
      <c r="E181" s="5" t="str">
        <f>IFERROR(__xludf.DUMMYFUNCTION("GOOGLETRANSLATE(K181, ""th"", ""en"")
"),"Adjusting your strategy will help you regain your winning chances.")</f>
        <v>Adjusting your strategy will help you regain your winning chances.</v>
      </c>
      <c r="G181" s="6">
        <v>180.0</v>
      </c>
      <c r="H181" s="7" t="s">
        <v>2706</v>
      </c>
      <c r="I181" s="7" t="s">
        <v>2750</v>
      </c>
      <c r="J181" s="7" t="s">
        <v>2580</v>
      </c>
      <c r="K181" s="7" t="s">
        <v>2751</v>
      </c>
    </row>
    <row r="182" ht="14.25" customHeight="1">
      <c r="A182" s="4">
        <v>181.0</v>
      </c>
      <c r="B182" s="5" t="str">
        <f>IFERROR(__xludf.DUMMYFUNCTION("GOOGLETRANSLATE(H182, ""th"", ""en"")
"),"You find that your team is starting to have conflicts with each other during a match. What do you do?")</f>
        <v>You find that your team is starting to have conflicts with each other during a match. What do you do?</v>
      </c>
      <c r="C182" s="5" t="str">
        <f>IFERROR(__xludf.DUMMYFUNCTION("GOOGLETRANSLATE(I182, ""th"", ""en"")
"),"A) Try to understand and create harmony; B) Avoid talking about it; C) Adjust your strategy accordingly; D) Stop playing.")</f>
        <v>A) Try to understand and create harmony; B) Avoid talking about it; C) Adjust your strategy accordingly; D) Stop playing.</v>
      </c>
      <c r="D182" s="5" t="str">
        <f>IFERROR(__xludf.DUMMYFUNCTION("GOOGLETRANSLATE(J182, ""th"", ""en"")
"),"A) Try to improve understanding and create unity.")</f>
        <v>A) Try to improve understanding and create unity.</v>
      </c>
      <c r="E182" s="5" t="str">
        <f>IFERROR(__xludf.DUMMYFUNCTION("GOOGLETRANSLATE(K182, ""th"", ""en"")
"),"Helping teams understand each other reduces conflict and increases efficiency.")</f>
        <v>Helping teams understand each other reduces conflict and increases efficiency.</v>
      </c>
      <c r="G182" s="6">
        <v>181.0</v>
      </c>
      <c r="H182" s="7" t="s">
        <v>2752</v>
      </c>
      <c r="I182" s="7" t="s">
        <v>2753</v>
      </c>
      <c r="J182" s="7" t="s">
        <v>2754</v>
      </c>
      <c r="K182" s="7" t="s">
        <v>2755</v>
      </c>
    </row>
    <row r="183" ht="14.25" customHeight="1">
      <c r="A183" s="4">
        <v>182.0</v>
      </c>
      <c r="B183" s="5" t="str">
        <f>IFERROR(__xludf.DUMMYFUNCTION("GOOGLETRANSLATE(H183, ""th"", ""en"")
"),"You feel your competitors are changing their strategies in unexpected directions. What should you do?")</f>
        <v>You feel your competitors are changing their strategies in unexpected directions. What should you do?</v>
      </c>
      <c r="C183" s="5" t="str">
        <f>IFERROR(__xludf.DUMMYFUNCTION("GOOGLETRANSLATE(I183, ""th"", ""en"")
"),"A) Adjust your strategy to counter; B) Avoid attacking; C) Wait until your opponent makes a mistake; D) Stop playing.")</f>
        <v>A) Adjust your strategy to counter; B) Avoid attacking; C) Wait until your opponent makes a mistake; D) Stop playing.</v>
      </c>
      <c r="D183" s="5" t="str">
        <f>IFERROR(__xludf.DUMMYFUNCTION("GOOGLETRANSLATE(J183, ""th"", ""en"")
"),"A) Adjust your strategy to counter it.")</f>
        <v>A) Adjust your strategy to counter it.</v>
      </c>
      <c r="E183" s="5" t="str">
        <f>IFERROR(__xludf.DUMMYFUNCTION("GOOGLETRANSLATE(K183, ""th"", ""en"")
"),"Adjusting your strategy to counter this will help you stay ahead of your competitors.")</f>
        <v>Adjusting your strategy to counter this will help you stay ahead of your competitors.</v>
      </c>
      <c r="G183" s="6">
        <v>182.0</v>
      </c>
      <c r="H183" s="7" t="s">
        <v>2756</v>
      </c>
      <c r="I183" s="7" t="s">
        <v>2757</v>
      </c>
      <c r="J183" s="7" t="s">
        <v>1483</v>
      </c>
      <c r="K183" s="7" t="s">
        <v>2758</v>
      </c>
    </row>
    <row r="184" ht="14.25" customHeight="1">
      <c r="A184" s="4">
        <v>183.0</v>
      </c>
      <c r="B184" s="5" t="str">
        <f>IFERROR(__xludf.DUMMYFUNCTION("GOOGLETRANSLATE(H184, ""th"", ""en"")
"),"You find your competitors using techniques you've never seen before. What do you do?")</f>
        <v>You find your competitors using techniques you've never seen before. What do you do?</v>
      </c>
      <c r="C184" s="5" t="str">
        <f>IFERROR(__xludf.DUMMYFUNCTION("GOOGLETRANSLATE(I184, ""th"", ""en"")
"),"A) Learn new techniques and adapt accordingly; B) Avoid attacks; C) Wait until you find a weakness; D) Stop playing.")</f>
        <v>A) Learn new techniques and adapt accordingly; B) Avoid attacks; C) Wait until you find a weakness; D) Stop playing.</v>
      </c>
      <c r="D184" s="5" t="str">
        <f>IFERROR(__xludf.DUMMYFUNCTION("GOOGLETRANSLATE(J184, ""th"", ""en"")
"),"A) Learn new techniques and adapt accordingly.")</f>
        <v>A) Learn new techniques and adapt accordingly.</v>
      </c>
      <c r="E184" s="5" t="str">
        <f>IFERROR(__xludf.DUMMYFUNCTION("GOOGLETRANSLATE(K184, ""th"", ""en"")
"),"Learning new strategies and techniques will help you cope.")</f>
        <v>Learning new strategies and techniques will help you cope.</v>
      </c>
      <c r="G184" s="6">
        <v>183.0</v>
      </c>
      <c r="H184" s="7" t="s">
        <v>2759</v>
      </c>
      <c r="I184" s="7" t="s">
        <v>2760</v>
      </c>
      <c r="J184" s="7" t="s">
        <v>2626</v>
      </c>
      <c r="K184" s="7" t="s">
        <v>2761</v>
      </c>
    </row>
    <row r="185" ht="14.25" customHeight="1">
      <c r="A185" s="4">
        <v>184.0</v>
      </c>
      <c r="B185" s="5" t="str">
        <f>IFERROR(__xludf.DUMMYFUNCTION("GOOGLETRANSLATE(H185, ""th"", ""en"")
"),"You find that your teammates are starting to feel fatigued and are not able to play as well as before. What do you do?")</f>
        <v>You find that your teammates are starting to feel fatigued and are not able to play as well as before. What do you do?</v>
      </c>
      <c r="C185" s="5" t="str">
        <f>IFERROR(__xludf.DUMMYFUNCTION("GOOGLETRANSLATE(I185, ""th"", ""en"")
"),"A) Let your teammates rest and support the team; B) Adjust your strategy accordingly; C) Avoid talking about it; D) Stop playing.")</f>
        <v>A) Let your teammates rest and support the team; B) Adjust your strategy accordingly; C) Avoid talking about it; D) Stop playing.</v>
      </c>
      <c r="D185" s="5" t="str">
        <f>IFERROR(__xludf.DUMMYFUNCTION("GOOGLETRANSLATE(J185, ""th"", ""en"")
"),"A) Let your teammates rest and support the team.")</f>
        <v>A) Let your teammates rest and support the team.</v>
      </c>
      <c r="E185" s="5" t="str">
        <f>IFERROR(__xludf.DUMMYFUNCTION("GOOGLETRANSLATE(K185, ""th"", ""en"")
"),"Giving teammates a break and supporting the team will help the team come back stronger.")</f>
        <v>Giving teammates a break and supporting the team will help the team come back stronger.</v>
      </c>
      <c r="G185" s="6">
        <v>184.0</v>
      </c>
      <c r="H185" s="7" t="s">
        <v>2762</v>
      </c>
      <c r="I185" s="7" t="s">
        <v>2763</v>
      </c>
      <c r="J185" s="7" t="s">
        <v>2764</v>
      </c>
      <c r="K185" s="7" t="s">
        <v>2765</v>
      </c>
    </row>
    <row r="186" ht="14.25" customHeight="1">
      <c r="A186" s="4">
        <v>185.0</v>
      </c>
      <c r="B186" s="5" t="str">
        <f>IFERROR(__xludf.DUMMYFUNCTION("GOOGLETRANSLATE(H186, ""th"", ""en"")
"),"You start to feel that the pressure of competition is affecting your performance. What do you do?")</f>
        <v>You start to feel that the pressure of competition is affecting your performance. What do you do?</v>
      </c>
      <c r="C186" s="5" t="str">
        <f>IFERROR(__xludf.DUMMYFUNCTION("GOOGLETRANSLATE(I186, ""th"", ""en"")
"),"A) Try to relax and refocus; B) Avoid attacks; C) Try to score as many points as possible; D) Stop playing.")</f>
        <v>A) Try to relax and refocus; B) Avoid attacks; C) Try to score as many points as possible; D) Stop playing.</v>
      </c>
      <c r="D186" s="5" t="str">
        <f>IFERROR(__xludf.DUMMYFUNCTION("GOOGLETRANSLATE(J186, ""th"", ""en"")
"),"A) Try to relax and refocus.")</f>
        <v>A) Try to relax and refocus.</v>
      </c>
      <c r="E186" s="5" t="str">
        <f>IFERROR(__xludf.DUMMYFUNCTION("GOOGLETRANSLATE(K186, ""th"", ""en"")
"),"Relaxation and concentration will help reduce stress and improve your performance.")</f>
        <v>Relaxation and concentration will help reduce stress and improve your performance.</v>
      </c>
      <c r="G186" s="6">
        <v>185.0</v>
      </c>
      <c r="H186" s="7" t="s">
        <v>2766</v>
      </c>
      <c r="I186" s="7" t="s">
        <v>2767</v>
      </c>
      <c r="J186" s="7" t="s">
        <v>2768</v>
      </c>
      <c r="K186" s="7" t="s">
        <v>2769</v>
      </c>
    </row>
    <row r="187" ht="14.25" customHeight="1">
      <c r="A187" s="4">
        <v>186.0</v>
      </c>
      <c r="B187" s="5" t="str">
        <f>IFERROR(__xludf.DUMMYFUNCTION("GOOGLETRANSLATE(H187, ""th"", ""en"")
"),"You feel your opponent's technique is improving, what will you do?")</f>
        <v>You feel your opponent's technique is improving, what will you do?</v>
      </c>
      <c r="C187" s="5" t="str">
        <f>IFERROR(__xludf.DUMMYFUNCTION("GOOGLETRANSLATE(I187, ""th"", ""en"")
"),"A) Study your opponent's techniques and adjust your strategy; B) Avoid confrontation; C) Continue using your own techniques; D) Stop playing.")</f>
        <v>A) Study your opponent's techniques and adjust your strategy; B) Avoid confrontation; C) Continue using your own techniques; D) Stop playing.</v>
      </c>
      <c r="D187" s="5" t="str">
        <f>IFERROR(__xludf.DUMMYFUNCTION("GOOGLETRANSLATE(J187, ""th"", ""en"")
"),"A) Study your competitors' techniques and adjust your strategy.")</f>
        <v>A) Study your competitors' techniques and adjust your strategy.</v>
      </c>
      <c r="E187" s="5" t="str">
        <f>IFERROR(__xludf.DUMMYFUNCTION("GOOGLETRANSLATE(K187, ""th"", ""en"")
"),"Studying your opponent's techniques will help you counter them.")</f>
        <v>Studying your opponent's techniques will help you counter them.</v>
      </c>
      <c r="G187" s="6">
        <v>186.0</v>
      </c>
      <c r="H187" s="7" t="s">
        <v>2770</v>
      </c>
      <c r="I187" s="7" t="s">
        <v>2771</v>
      </c>
      <c r="J187" s="7" t="s">
        <v>2772</v>
      </c>
      <c r="K187" s="7" t="s">
        <v>2773</v>
      </c>
    </row>
    <row r="188" ht="14.25" customHeight="1">
      <c r="A188" s="4">
        <v>187.0</v>
      </c>
      <c r="B188" s="5" t="str">
        <f>IFERROR(__xludf.DUMMYFUNCTION("GOOGLETRANSLATE(H188, ""th"", ""en"")
"),"You find your opponent is starting to use heavier attacks, what do you do?")</f>
        <v>You find your opponent is starting to use heavier attacks, what do you do?</v>
      </c>
      <c r="C188" s="5" t="str">
        <f>IFERROR(__xludf.DUMMYFUNCTION("GOOGLETRANSLATE(I188, ""th"", ""en"")
"),"A) Improve your defensive strategy; B) Avoid attacks; C) Try to score faster; D) Stop playing.")</f>
        <v>A) Improve your defensive strategy; B) Avoid attacks; C) Try to score faster; D) Stop playing.</v>
      </c>
      <c r="D188" s="5" t="str">
        <f>IFERROR(__xludf.DUMMYFUNCTION("GOOGLETRANSLATE(J188, ""th"", ""en"")
"),"A) Improve defense strategies.")</f>
        <v>A) Improve defense strategies.</v>
      </c>
      <c r="E188" s="5" t="str">
        <f>IFERROR(__xludf.DUMMYFUNCTION("GOOGLETRANSLATE(K188, ""th"", ""en"")
"),"Adjusting your defense strategy will help reduce your risk of attack by your competitors.")</f>
        <v>Adjusting your defense strategy will help reduce your risk of attack by your competitors.</v>
      </c>
      <c r="G188" s="6">
        <v>187.0</v>
      </c>
      <c r="H188" s="7" t="s">
        <v>2390</v>
      </c>
      <c r="I188" s="7" t="s">
        <v>2774</v>
      </c>
      <c r="J188" s="7" t="s">
        <v>2775</v>
      </c>
      <c r="K188" s="7" t="s">
        <v>2776</v>
      </c>
    </row>
    <row r="189" ht="14.25" customHeight="1">
      <c r="A189" s="4">
        <v>188.0</v>
      </c>
      <c r="B189" s="5" t="str">
        <f>IFERROR(__xludf.DUMMYFUNCTION("GOOGLETRANSLATE(H189, ""th"", ""en"")
"),"You feel your confidence starting to drop during the competition, what should you do?")</f>
        <v>You feel your confidence starting to drop during the competition, what should you do?</v>
      </c>
      <c r="C189" s="5" t="str">
        <f>IFERROR(__xludf.DUMMYFUNCTION("GOOGLETRANSLATE(I189, ""th"", ""en"")
"),"A) Try to rebuild your confidence and focus; B) Avoid attacks; C) Admit defeat; D) Stop playing.")</f>
        <v>A) Try to rebuild your confidence and focus; B) Avoid attacks; C) Admit defeat; D) Stop playing.</v>
      </c>
      <c r="D189" s="5" t="str">
        <f>IFERROR(__xludf.DUMMYFUNCTION("GOOGLETRANSLATE(J189, ""th"", ""en"")
"),"A) Try to build new confidence and focus.")</f>
        <v>A) Try to build new confidence and focus.</v>
      </c>
      <c r="E189" s="5" t="str">
        <f>IFERROR(__xludf.DUMMYFUNCTION("GOOGLETRANSLATE(K189, ""th"", ""en"")
"),"Building confidence and staying focused will help you come back to playing better.")</f>
        <v>Building confidence and staying focused will help you come back to playing better.</v>
      </c>
      <c r="G189" s="6">
        <v>188.0</v>
      </c>
      <c r="H189" s="7" t="s">
        <v>2777</v>
      </c>
      <c r="I189" s="7" t="s">
        <v>2778</v>
      </c>
      <c r="J189" s="7" t="s">
        <v>2779</v>
      </c>
      <c r="K189" s="7" t="s">
        <v>2780</v>
      </c>
    </row>
    <row r="190" ht="14.25" customHeight="1">
      <c r="A190" s="4">
        <v>189.0</v>
      </c>
      <c r="B190" s="5" t="str">
        <f>IFERROR(__xludf.DUMMYFUNCTION("GOOGLETRANSLATE(H190, ""th"", ""en"")
"),"You find that your team is losing interest in the game, what do you do?")</f>
        <v>You find that your team is losing interest in the game, what do you do?</v>
      </c>
      <c r="C190" s="5" t="str">
        <f>IFERROR(__xludf.DUMMYFUNCTION("GOOGLETRANSLATE(I190, ""th"", ""en"")
"),"A) Reinvigorate the team to regain focus and determination; B) Avoid talking about it; C) Adjust the strategy accordingly; D) Stop playing.")</f>
        <v>A) Reinvigorate the team to regain focus and determination; B) Avoid talking about it; C) Adjust the strategy accordingly; D) Stop playing.</v>
      </c>
      <c r="D190" s="5" t="str">
        <f>IFERROR(__xludf.DUMMYFUNCTION("GOOGLETRANSLATE(J190, ""th"", ""en"")
"),"A) Stimulate the team to regain focus and determination.")</f>
        <v>A) Stimulate the team to regain focus and determination.</v>
      </c>
      <c r="E190" s="5" t="str">
        <f>IFERROR(__xludf.DUMMYFUNCTION("GOOGLETRANSLATE(K190, ""th"", ""en"")
"),"Team motivation will increase commitment and focus in playing.")</f>
        <v>Team motivation will increase commitment and focus in playing.</v>
      </c>
      <c r="G190" s="6">
        <v>189.0</v>
      </c>
      <c r="H190" s="7" t="s">
        <v>2781</v>
      </c>
      <c r="I190" s="7" t="s">
        <v>2782</v>
      </c>
      <c r="J190" s="7" t="s">
        <v>2783</v>
      </c>
      <c r="K190" s="7" t="s">
        <v>2784</v>
      </c>
    </row>
    <row r="191" ht="14.25" customHeight="1">
      <c r="A191" s="4">
        <v>190.0</v>
      </c>
      <c r="B191" s="5" t="str">
        <f>IFERROR(__xludf.DUMMYFUNCTION("GOOGLETRANSLATE(H191, ""th"", ""en"")
"),"You find that your competitors are starting to attack you more aggressively, what do you do?")</f>
        <v>You find that your competitors are starting to attack you more aggressively, what do you do?</v>
      </c>
      <c r="C191" s="5" t="str">
        <f>IFERROR(__xludf.DUMMYFUNCTION("GOOGLETRANSLATE(I191, ""th"", ""en"")
"),"A) Adjust your defense and counter-attack; B) Avoid the attack; C) Continue using the same technique; D) Stop playing.")</f>
        <v>A) Adjust your defense and counter-attack; B) Avoid the attack; C) Continue using the same technique; D) Stop playing.</v>
      </c>
      <c r="D191" s="5" t="str">
        <f>IFERROR(__xludf.DUMMYFUNCTION("GOOGLETRANSLATE(J191, ""th"", ""en"")
"),"A) Adjust defense and counter attack.")</f>
        <v>A) Adjust defense and counter attack.</v>
      </c>
      <c r="E191" s="5" t="str">
        <f>IFERROR(__xludf.DUMMYFUNCTION("GOOGLETRANSLATE(K191, ""th"", ""en"")
"),"Adjusting your defense and attack strategies will help you deal with a severe attack.")</f>
        <v>Adjusting your defense and attack strategies will help you deal with a severe attack.</v>
      </c>
      <c r="G191" s="6">
        <v>190.0</v>
      </c>
      <c r="H191" s="7" t="s">
        <v>2785</v>
      </c>
      <c r="I191" s="7" t="s">
        <v>2786</v>
      </c>
      <c r="J191" s="7" t="s">
        <v>2787</v>
      </c>
      <c r="K191" s="7" t="s">
        <v>2788</v>
      </c>
    </row>
    <row r="192" ht="14.25" customHeight="1">
      <c r="A192" s="4">
        <v>191.0</v>
      </c>
      <c r="B192" s="5" t="str">
        <f>IFERROR(__xludf.DUMMYFUNCTION("GOOGLETRANSLATE(H192, ""th"", ""en"")
"),"You find yourself starting to feel stressed from competition, what do you do?")</f>
        <v>You find yourself starting to feel stressed from competition, what do you do?</v>
      </c>
      <c r="C192" s="5" t="str">
        <f>IFERROR(__xludf.DUMMYFUNCTION("GOOGLETRANSLATE(I192, ""th"", ""en"")
"),"A) Take a break and relax; B) Keep playing; C) Ask your coach for advice; D) Give up.")</f>
        <v>A) Take a break and relax; B) Keep playing; C) Ask your coach for advice; D) Give up.</v>
      </c>
      <c r="D192" s="5" t="str">
        <f>IFERROR(__xludf.DUMMYFUNCTION("GOOGLETRANSLATE(J192, ""th"", ""en"")
"),"A) Take a break and relax.")</f>
        <v>A) Take a break and relax.</v>
      </c>
      <c r="E192" s="5" t="str">
        <f>IFERROR(__xludf.DUMMYFUNCTION("GOOGLETRANSLATE(K192, ""th"", ""en"")
"),"Taking breaks and relaxing will reduce stress and allow you to refocus on your game.")</f>
        <v>Taking breaks and relaxing will reduce stress and allow you to refocus on your game.</v>
      </c>
      <c r="G192" s="6">
        <v>191.0</v>
      </c>
      <c r="H192" s="7" t="s">
        <v>2789</v>
      </c>
      <c r="I192" s="7" t="s">
        <v>2790</v>
      </c>
      <c r="J192" s="7" t="s">
        <v>2791</v>
      </c>
      <c r="K192" s="7" t="s">
        <v>2792</v>
      </c>
    </row>
    <row r="193" ht="14.25" customHeight="1">
      <c r="A193" s="4">
        <v>192.0</v>
      </c>
      <c r="B193" s="5" t="str">
        <f>IFERROR(__xludf.DUMMYFUNCTION("GOOGLETRANSLATE(H193, ""th"", ""en"")
"),"You feel like your competitors are playing catch-up, what do you do?")</f>
        <v>You feel like your competitors are playing catch-up, what do you do?</v>
      </c>
      <c r="C193" s="5" t="str">
        <f>IFERROR(__xludf.DUMMYFUNCTION("GOOGLETRANSLATE(I193, ""th"", ""en"")
"),"A) Change strategy and stance; B) Use the same technique; C) Avoid attacks; D) Stop playing.")</f>
        <v>A) Change strategy and stance; B) Use the same technique; C) Avoid attacks; D) Stop playing.</v>
      </c>
      <c r="D193" s="5" t="str">
        <f>IFERROR(__xludf.DUMMYFUNCTION("GOOGLETRANSLATE(J193, ""th"", ""en"")
"),"A) Change strategy and attitude.")</f>
        <v>A) Change strategy and attitude.</v>
      </c>
      <c r="E193" s="5" t="str">
        <f>IFERROR(__xludf.DUMMYFUNCTION("GOOGLETRANSLATE(K193, ""th"", ""en"")
"),"Changing your strategy can help you turn the situation around.")</f>
        <v>Changing your strategy can help you turn the situation around.</v>
      </c>
      <c r="G193" s="6">
        <v>192.0</v>
      </c>
      <c r="H193" s="7" t="s">
        <v>2793</v>
      </c>
      <c r="I193" s="7" t="s">
        <v>2794</v>
      </c>
      <c r="J193" s="7" t="s">
        <v>2795</v>
      </c>
      <c r="K193" s="7" t="s">
        <v>2796</v>
      </c>
    </row>
    <row r="194" ht="14.25" customHeight="1">
      <c r="A194" s="4">
        <v>193.0</v>
      </c>
      <c r="B194" s="5" t="str">
        <f>IFERROR(__xludf.DUMMYFUNCTION("GOOGLETRANSLATE(H194, ""th"", ""en"")
"),"You feel like your team is starting to lose steam in the second half of the game. What do you do?")</f>
        <v>You feel like your team is starting to lose steam in the second half of the game. What do you do?</v>
      </c>
      <c r="C194" s="5" t="str">
        <f>IFERROR(__xludf.DUMMYFUNCTION("GOOGLETRANSLATE(I194, ""th"", ""en"")
"),"A) Motivate the team and energize everyone; B) Avoid talking about it; C) Adjust your strategy accordingly; D) Stop playing.")</f>
        <v>A) Motivate the team and energize everyone; B) Avoid talking about it; C) Adjust your strategy accordingly; D) Stop playing.</v>
      </c>
      <c r="D194" s="5" t="str">
        <f>IFERROR(__xludf.DUMMYFUNCTION("GOOGLETRANSLATE(J194, ""th"", ""en"")
"),"A) Motivate the team and energize everyone.")</f>
        <v>A) Motivate the team and energize everyone.</v>
      </c>
      <c r="E194" s="5" t="str">
        <f>IFERROR(__xludf.DUMMYFUNCTION("GOOGLETRANSLATE(K194, ""th"", ""en"")
"),"Team motivation increases energy and commitment to play.")</f>
        <v>Team motivation increases energy and commitment to play.</v>
      </c>
      <c r="G194" s="6">
        <v>193.0</v>
      </c>
      <c r="H194" s="7" t="s">
        <v>2797</v>
      </c>
      <c r="I194" s="7" t="s">
        <v>2798</v>
      </c>
      <c r="J194" s="7" t="s">
        <v>2799</v>
      </c>
      <c r="K194" s="7" t="s">
        <v>2800</v>
      </c>
    </row>
    <row r="195" ht="14.25" customHeight="1">
      <c r="A195" s="4">
        <v>194.0</v>
      </c>
      <c r="B195" s="5" t="str">
        <f>IFERROR(__xludf.DUMMYFUNCTION("GOOGLETRANSLATE(H195, ""th"", ""en"")
"),"You find your opponent is starting to play better, what do you do?")</f>
        <v>You find your opponent is starting to play better, what do you do?</v>
      </c>
      <c r="C195" s="5" t="str">
        <f>IFERROR(__xludf.DUMMYFUNCTION("GOOGLETRANSLATE(I195, ""th"", ""en"")
"),"A) Adjust your strategy and be more cautious; B) Avoid attacks; C) Wait and see; D) Stop playing.")</f>
        <v>A) Adjust your strategy and be more cautious; B) Avoid attacks; C) Wait and see; D) Stop playing.</v>
      </c>
      <c r="D195" s="5" t="str">
        <f>IFERROR(__xludf.DUMMYFUNCTION("GOOGLETRANSLATE(J195, ""th"", ""en"")
"),"A) Adjust strategies and increase caution.")</f>
        <v>A) Adjust strategies and increase caution.</v>
      </c>
      <c r="E195" s="5" t="str">
        <f>IFERROR(__xludf.DUMMYFUNCTION("GOOGLETRANSLATE(K195, ""th"", ""en"")
"),"Adjusting your strategy will help you deal with better opponents.")</f>
        <v>Adjusting your strategy will help you deal with better opponents.</v>
      </c>
      <c r="G195" s="6">
        <v>194.0</v>
      </c>
      <c r="H195" s="7" t="s">
        <v>2646</v>
      </c>
      <c r="I195" s="7" t="s">
        <v>2801</v>
      </c>
      <c r="J195" s="7" t="s">
        <v>2802</v>
      </c>
      <c r="K195" s="7" t="s">
        <v>2803</v>
      </c>
    </row>
    <row r="196" ht="14.25" customHeight="1">
      <c r="A196" s="4">
        <v>195.0</v>
      </c>
      <c r="B196" s="5" t="str">
        <f>IFERROR(__xludf.DUMMYFUNCTION("GOOGLETRANSLATE(H196, ""th"", ""en"")
"),"You find yourself with a chance to score but feel anxious. What do you do?")</f>
        <v>You find yourself with a chance to score but feel anxious. What do you do?</v>
      </c>
      <c r="C196" s="5" t="str">
        <f>IFERROR(__xludf.DUMMYFUNCTION("GOOGLETRANSLATE(I196, ""th"", ""en"")
"),"A) Try to score and believe in your own abilities; B) Avoid attacks; C) Wait until you are confident; D) Stop playing.")</f>
        <v>A) Try to score and believe in your own abilities; B) Avoid attacks; C) Wait until you are confident; D) Stop playing.</v>
      </c>
      <c r="D196" s="5" t="str">
        <f>IFERROR(__xludf.DUMMYFUNCTION("GOOGLETRANSLATE(J196, ""th"", ""en"")
"),"A) Try to score and believe in your own abilities.")</f>
        <v>A) Try to score and believe in your own abilities.</v>
      </c>
      <c r="E196" s="5" t="str">
        <f>IFERROR(__xludf.DUMMYFUNCTION("GOOGLETRANSLATE(K196, ""th"", ""en"")
"),"Confidence in yourself will give you a better chance of scoring.")</f>
        <v>Confidence in yourself will give you a better chance of scoring.</v>
      </c>
      <c r="G196" s="6">
        <v>195.0</v>
      </c>
      <c r="H196" s="7" t="s">
        <v>2804</v>
      </c>
      <c r="I196" s="7" t="s">
        <v>2805</v>
      </c>
      <c r="J196" s="7" t="s">
        <v>2806</v>
      </c>
      <c r="K196" s="7" t="s">
        <v>2807</v>
      </c>
    </row>
    <row r="197" ht="14.25" customHeight="1">
      <c r="A197" s="4">
        <v>196.0</v>
      </c>
      <c r="B197" s="5" t="str">
        <f>IFERROR(__xludf.DUMMYFUNCTION("GOOGLETRANSLATE(H197, ""th"", ""en"")
"),"You start to feel like communication with your team is unclear. What should you do?")</f>
        <v>You start to feel like communication with your team is unclear. What should you do?</v>
      </c>
      <c r="C197" s="5" t="str">
        <f>IFERROR(__xludf.DUMMYFUNCTION("GOOGLETRANSLATE(I197, ""th"", ""en"")
"),"A) Talk to the team to improve communication; B) Avoid bringing it up; C) Adjust your strategy accordingly; D) Stop playing.")</f>
        <v>A) Talk to the team to improve communication; B) Avoid bringing it up; C) Adjust your strategy accordingly; D) Stop playing.</v>
      </c>
      <c r="D197" s="5" t="str">
        <f>IFERROR(__xludf.DUMMYFUNCTION("GOOGLETRANSLATE(J197, ""th"", ""en"")
"),"A) Talk with the team to improve communication.")</f>
        <v>A) Talk with the team to improve communication.</v>
      </c>
      <c r="E197" s="5" t="str">
        <f>IFERROR(__xludf.DUMMYFUNCTION("GOOGLETRANSLATE(K197, ""th"", ""en"")
"),"Good communication helps the team play effectively.")</f>
        <v>Good communication helps the team play effectively.</v>
      </c>
      <c r="G197" s="6">
        <v>196.0</v>
      </c>
      <c r="H197" s="7" t="s">
        <v>2808</v>
      </c>
      <c r="I197" s="7" t="s">
        <v>2809</v>
      </c>
      <c r="J197" s="7" t="s">
        <v>2810</v>
      </c>
      <c r="K197" s="7" t="s">
        <v>2811</v>
      </c>
    </row>
    <row r="198" ht="14.25" customHeight="1">
      <c r="A198" s="4">
        <v>197.0</v>
      </c>
      <c r="B198" s="5" t="str">
        <f>IFERROR(__xludf.DUMMYFUNCTION("GOOGLETRANSLATE(H198, ""th"", ""en"")
"),"You feel like you're losing focus due to pressure. What should you do?")</f>
        <v>You feel like you're losing focus due to pressure. What should you do?</v>
      </c>
      <c r="C198" s="5" t="str">
        <f>IFERROR(__xludf.DUMMYFUNCTION("GOOGLETRANSLATE(I198, ""th"", ""en"")
"),"A) Take a break and refocus; B) Try to continue playing; C) Wait and see; D) Stop playing.")</f>
        <v>A) Take a break and refocus; B) Try to continue playing; C) Wait and see; D) Stop playing.</v>
      </c>
      <c r="D198" s="5" t="str">
        <f>IFERROR(__xludf.DUMMYFUNCTION("GOOGLETRANSLATE(J198, ""th"", ""en"")
"),"A) Take a break and refocus.")</f>
        <v>A) Take a break and refocus.</v>
      </c>
      <c r="E198" s="5" t="str">
        <f>IFERROR(__xludf.DUMMYFUNCTION("GOOGLETRANSLATE(K198, ""th"", ""en"")
"),"Relaxing and focusing will help you come back to playing better.")</f>
        <v>Relaxing and focusing will help you come back to playing better.</v>
      </c>
      <c r="G198" s="6">
        <v>197.0</v>
      </c>
      <c r="H198" s="7" t="s">
        <v>2812</v>
      </c>
      <c r="I198" s="7" t="s">
        <v>2813</v>
      </c>
      <c r="J198" s="7" t="s">
        <v>2814</v>
      </c>
      <c r="K198" s="7" t="s">
        <v>2815</v>
      </c>
    </row>
    <row r="199" ht="14.25" customHeight="1">
      <c r="A199" s="4">
        <v>198.0</v>
      </c>
      <c r="B199" s="5" t="str">
        <f>IFERROR(__xludf.DUMMYFUNCTION("GOOGLETRANSLATE(H199, ""th"", ""en"")
"),"You find that your teammates are starting to feel tired, what do you do?")</f>
        <v>You find that your teammates are starting to feel tired, what do you do?</v>
      </c>
      <c r="C199" s="5" t="str">
        <f>IFERROR(__xludf.DUMMYFUNCTION("GOOGLETRANSLATE(I199, ""th"", ""en"")
"),"A) Encourage your teammates to get back into the game; B) Avoid talking about it; C) Adjust your strategy accordingly; D) Stop playing.")</f>
        <v>A) Encourage your teammates to get back into the game; B) Avoid talking about it; C) Adjust your strategy accordingly; D) Stop playing.</v>
      </c>
      <c r="D199" s="5" t="str">
        <f>IFERROR(__xludf.DUMMYFUNCTION("GOOGLETRANSLATE(J199, ""th"", ""en"")
"),"A) Encourage teammates to get back into the game.")</f>
        <v>A) Encourage teammates to get back into the game.</v>
      </c>
      <c r="E199" s="5" t="str">
        <f>IFERROR(__xludf.DUMMYFUNCTION("GOOGLETRANSLATE(K199, ""th"", ""en"")
"),"Team motivation will boost your teammates' energy and confidence.")</f>
        <v>Team motivation will boost your teammates' energy and confidence.</v>
      </c>
      <c r="G199" s="6">
        <v>198.0</v>
      </c>
      <c r="H199" s="7" t="s">
        <v>2816</v>
      </c>
      <c r="I199" s="7" t="s">
        <v>2817</v>
      </c>
      <c r="J199" s="7" t="s">
        <v>2818</v>
      </c>
      <c r="K199" s="7" t="s">
        <v>2819</v>
      </c>
    </row>
    <row r="200" ht="14.25" customHeight="1">
      <c r="A200" s="4">
        <v>199.0</v>
      </c>
      <c r="B200" s="5" t="str">
        <f>IFERROR(__xludf.DUMMYFUNCTION("GOOGLETRANSLATE(H200, ""th"", ""en"")
"),"You feel like your opponent is getting stronger in the second half, what will you do?")</f>
        <v>You feel like your opponent is getting stronger in the second half, what will you do?</v>
      </c>
      <c r="C200" s="5" t="str">
        <f>IFERROR(__xludf.DUMMYFUNCTION("GOOGLETRANSLATE(I200, ""th"", ""en"")
"),"A) Adjust your strategy to deal with your opponent's strength; B) Avoid attacks; C) Wait until your opponent makes a mistake; D) Stop playing.")</f>
        <v>A) Adjust your strategy to deal with your opponent's strength; B) Avoid attacks; C) Wait until your opponent makes a mistake; D) Stop playing.</v>
      </c>
      <c r="D200" s="5" t="str">
        <f>IFERROR(__xludf.DUMMYFUNCTION("GOOGLETRANSLATE(J200, ""th"", ""en"")
"),"A) Adjust strategies to cope with the strength of competitors.")</f>
        <v>A) Adjust strategies to cope with the strength of competitors.</v>
      </c>
      <c r="E200" s="5" t="str">
        <f>IFERROR(__xludf.DUMMYFUNCTION("GOOGLETRANSLATE(K200, ""th"", ""en"")
"),"Adjusting your strategy will help you deal with stronger competitors.")</f>
        <v>Adjusting your strategy will help you deal with stronger competitors.</v>
      </c>
      <c r="G200" s="6">
        <v>199.0</v>
      </c>
      <c r="H200" s="7" t="s">
        <v>2820</v>
      </c>
      <c r="I200" s="7" t="s">
        <v>2821</v>
      </c>
      <c r="J200" s="7" t="s">
        <v>2822</v>
      </c>
      <c r="K200" s="7" t="s">
        <v>2823</v>
      </c>
    </row>
    <row r="201" ht="14.25" customHeight="1">
      <c r="A201" s="4">
        <v>200.0</v>
      </c>
      <c r="B201" s="5" t="str">
        <f>IFERROR(__xludf.DUMMYFUNCTION("GOOGLETRANSLATE(H201, ""th"", ""en"")
"),"You feel like your team is losing focus during a match, what should you do?")</f>
        <v>You feel like your team is losing focus during a match, what should you do?</v>
      </c>
      <c r="C201" s="5" t="str">
        <f>IFERROR(__xludf.DUMMYFUNCTION("GOOGLETRANSLATE(I201, ""th"", ""en"")
"),"A) Motivate the team to focus and refocus; B) Avoid talking about it; C) Adjust your strategy accordingly; D) Stop playing.")</f>
        <v>A) Motivate the team to focus and refocus; B) Avoid talking about it; C) Adjust your strategy accordingly; D) Stop playing.</v>
      </c>
      <c r="D201" s="5" t="str">
        <f>IFERROR(__xludf.DUMMYFUNCTION("GOOGLETRANSLATE(J201, ""th"", ""en"")
"),"A) Encourage the team to focus and refocus.")</f>
        <v>A) Encourage the team to focus and refocus.</v>
      </c>
      <c r="E201" s="5" t="str">
        <f>IFERROR(__xludf.DUMMYFUNCTION("GOOGLETRANSLATE(K201, ""th"", ""en"")
"),"Encouraging the team to focus will increase their commitment to the competition.")</f>
        <v>Encouraging the team to focus will increase their commitment to the competition.</v>
      </c>
      <c r="G201" s="6">
        <v>200.0</v>
      </c>
      <c r="H201" s="7" t="s">
        <v>2824</v>
      </c>
      <c r="I201" s="7" t="s">
        <v>2825</v>
      </c>
      <c r="J201" s="7" t="s">
        <v>2826</v>
      </c>
      <c r="K201" s="7" t="s">
        <v>2827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>
      <c r="A208" s="8" t="s">
        <v>690</v>
      </c>
    </row>
    <row r="209" ht="14.25" customHeight="1">
      <c r="A209" s="9" t="s">
        <v>1</v>
      </c>
      <c r="B209" s="9" t="s">
        <v>691</v>
      </c>
      <c r="C209" s="9" t="s">
        <v>692</v>
      </c>
      <c r="D209" s="9" t="s">
        <v>693</v>
      </c>
      <c r="E209" s="9" t="s">
        <v>694</v>
      </c>
      <c r="F209" s="9" t="s">
        <v>695</v>
      </c>
      <c r="G209" s="9" t="s">
        <v>696</v>
      </c>
      <c r="H209" s="9" t="s">
        <v>697</v>
      </c>
      <c r="I209" s="9" t="s">
        <v>698</v>
      </c>
      <c r="J209" s="9" t="s">
        <v>699</v>
      </c>
      <c r="K209" s="9" t="s">
        <v>700</v>
      </c>
      <c r="L209" s="9"/>
      <c r="M209" s="9" t="s">
        <v>701</v>
      </c>
      <c r="N209" s="9" t="s">
        <v>702</v>
      </c>
    </row>
    <row r="210" ht="14.25" customHeight="1">
      <c r="A210" s="10" t="s">
        <v>2828</v>
      </c>
      <c r="B210" s="12">
        <v>1.0</v>
      </c>
      <c r="C210" s="11"/>
      <c r="D210" s="10" t="s">
        <v>2829</v>
      </c>
      <c r="E210" s="11"/>
      <c r="F210" s="10" t="s">
        <v>2830</v>
      </c>
      <c r="G210" s="11"/>
      <c r="H210" s="10" t="s">
        <v>707</v>
      </c>
      <c r="I210" s="11"/>
      <c r="J210" s="10" t="s">
        <v>706</v>
      </c>
      <c r="K210" s="11"/>
      <c r="L210" s="10"/>
      <c r="M210" s="10" t="s">
        <v>2829</v>
      </c>
      <c r="N210" s="10" t="s">
        <v>707</v>
      </c>
    </row>
    <row r="211" ht="14.25" customHeight="1">
      <c r="A211" s="10" t="s">
        <v>2831</v>
      </c>
      <c r="B211" s="12">
        <v>1.0</v>
      </c>
      <c r="C211" s="11"/>
      <c r="D211" s="10" t="s">
        <v>2829</v>
      </c>
      <c r="E211" s="11"/>
      <c r="F211" s="10" t="s">
        <v>2830</v>
      </c>
      <c r="G211" s="11"/>
      <c r="H211" s="10" t="s">
        <v>706</v>
      </c>
      <c r="I211" s="11"/>
      <c r="J211" s="10" t="s">
        <v>707</v>
      </c>
      <c r="K211" s="11"/>
      <c r="L211" s="10"/>
      <c r="M211" s="10" t="s">
        <v>2829</v>
      </c>
      <c r="N211" s="11"/>
    </row>
    <row r="212" ht="14.25" customHeight="1">
      <c r="A212" s="10" t="s">
        <v>2832</v>
      </c>
      <c r="B212" s="12">
        <v>1.0</v>
      </c>
      <c r="C212" s="11"/>
      <c r="D212" s="10" t="s">
        <v>2829</v>
      </c>
      <c r="E212" s="11"/>
      <c r="F212" s="10" t="s">
        <v>2830</v>
      </c>
      <c r="G212" s="11"/>
      <c r="H212" s="10" t="s">
        <v>706</v>
      </c>
      <c r="I212" s="11"/>
      <c r="J212" s="10" t="s">
        <v>707</v>
      </c>
      <c r="K212" s="11"/>
      <c r="L212" s="10"/>
      <c r="M212" s="10" t="s">
        <v>2830</v>
      </c>
      <c r="N212" s="10" t="s">
        <v>707</v>
      </c>
    </row>
    <row r="213" ht="14.25" customHeight="1">
      <c r="A213" s="10" t="s">
        <v>2833</v>
      </c>
      <c r="B213" s="12">
        <v>1.0</v>
      </c>
      <c r="C213" s="11"/>
      <c r="D213" s="10" t="s">
        <v>2834</v>
      </c>
      <c r="E213" s="11"/>
      <c r="F213" s="10" t="s">
        <v>2835</v>
      </c>
      <c r="G213" s="11"/>
      <c r="H213" s="10" t="s">
        <v>2836</v>
      </c>
      <c r="I213" s="11"/>
      <c r="J213" s="10" t="s">
        <v>707</v>
      </c>
      <c r="K213" s="11"/>
      <c r="L213" s="10"/>
      <c r="M213" s="10" t="s">
        <v>2836</v>
      </c>
    </row>
    <row r="214" ht="14.25" customHeight="1">
      <c r="A214" s="10" t="s">
        <v>2837</v>
      </c>
      <c r="B214" s="12">
        <v>0.0</v>
      </c>
      <c r="C214" s="11"/>
      <c r="D214" s="10" t="s">
        <v>2834</v>
      </c>
      <c r="E214" s="11"/>
      <c r="F214" s="10" t="s">
        <v>2835</v>
      </c>
      <c r="G214" s="11"/>
      <c r="H214" s="10" t="s">
        <v>2838</v>
      </c>
      <c r="I214" s="11"/>
      <c r="J214" s="10" t="s">
        <v>707</v>
      </c>
      <c r="K214" s="11"/>
      <c r="L214" s="10"/>
      <c r="M214" s="10" t="s">
        <v>2835</v>
      </c>
      <c r="N214" s="11"/>
    </row>
    <row r="215" ht="14.25" customHeight="1">
      <c r="A215" s="10" t="s">
        <v>2839</v>
      </c>
      <c r="B215" s="12">
        <v>0.0</v>
      </c>
      <c r="C215" s="11"/>
      <c r="D215" s="10" t="s">
        <v>2829</v>
      </c>
      <c r="E215" s="11"/>
      <c r="F215" s="10" t="s">
        <v>2830</v>
      </c>
      <c r="G215" s="11"/>
      <c r="H215" s="10" t="s">
        <v>707</v>
      </c>
      <c r="I215" s="11"/>
      <c r="J215" s="10" t="s">
        <v>706</v>
      </c>
      <c r="K215" s="11"/>
      <c r="L215" s="10"/>
      <c r="M215" s="10" t="s">
        <v>2829</v>
      </c>
      <c r="N215" s="11"/>
    </row>
    <row r="216" ht="14.25" customHeight="1">
      <c r="A216" s="10" t="s">
        <v>2840</v>
      </c>
      <c r="B216" s="12">
        <v>1.0</v>
      </c>
      <c r="C216" s="11"/>
      <c r="D216" s="10" t="s">
        <v>2841</v>
      </c>
      <c r="E216" s="11"/>
      <c r="F216" s="10" t="s">
        <v>2842</v>
      </c>
      <c r="G216" s="11"/>
      <c r="H216" s="10" t="s">
        <v>2843</v>
      </c>
      <c r="I216" s="11"/>
      <c r="J216" s="10" t="s">
        <v>2844</v>
      </c>
      <c r="K216" s="11"/>
      <c r="L216" s="10"/>
      <c r="M216" s="10" t="s">
        <v>2842</v>
      </c>
      <c r="N216" s="11"/>
    </row>
    <row r="217" ht="14.25" customHeight="1">
      <c r="A217" s="10" t="s">
        <v>2845</v>
      </c>
      <c r="B217" s="12">
        <v>0.0</v>
      </c>
      <c r="C217" s="11"/>
      <c r="D217" s="10" t="s">
        <v>2829</v>
      </c>
      <c r="E217" s="11"/>
      <c r="F217" s="10" t="s">
        <v>2830</v>
      </c>
      <c r="G217" s="11"/>
      <c r="H217" s="10" t="s">
        <v>706</v>
      </c>
      <c r="I217" s="11"/>
      <c r="J217" s="10" t="s">
        <v>707</v>
      </c>
      <c r="K217" s="11"/>
      <c r="L217" s="10"/>
      <c r="M217" s="10" t="s">
        <v>706</v>
      </c>
      <c r="N217" s="11"/>
    </row>
    <row r="218" ht="14.25" customHeight="1">
      <c r="A218" s="10" t="s">
        <v>2846</v>
      </c>
      <c r="B218" s="12">
        <v>0.0</v>
      </c>
      <c r="C218" s="11"/>
      <c r="D218" s="10" t="s">
        <v>2829</v>
      </c>
      <c r="E218" s="11"/>
      <c r="F218" s="10" t="s">
        <v>2830</v>
      </c>
      <c r="G218" s="11"/>
      <c r="H218" s="10" t="s">
        <v>706</v>
      </c>
      <c r="I218" s="11"/>
      <c r="J218" s="10" t="s">
        <v>707</v>
      </c>
      <c r="K218" s="11"/>
      <c r="L218" s="10"/>
      <c r="M218" s="10" t="s">
        <v>2829</v>
      </c>
      <c r="N218" s="10" t="s">
        <v>707</v>
      </c>
    </row>
    <row r="219" ht="14.25" customHeight="1">
      <c r="A219" s="10" t="s">
        <v>2847</v>
      </c>
      <c r="B219" s="12">
        <v>1.0</v>
      </c>
      <c r="C219" s="11"/>
      <c r="D219" s="10" t="s">
        <v>2841</v>
      </c>
      <c r="E219" s="11"/>
      <c r="F219" s="10" t="s">
        <v>2842</v>
      </c>
      <c r="G219" s="11"/>
      <c r="H219" s="10" t="s">
        <v>2843</v>
      </c>
      <c r="I219" s="11"/>
      <c r="J219" s="10" t="s">
        <v>2844</v>
      </c>
      <c r="K219" s="11"/>
      <c r="L219" s="10"/>
      <c r="M219" s="10" t="s">
        <v>2842</v>
      </c>
      <c r="N219" s="11"/>
    </row>
    <row r="220" ht="14.25" customHeight="1">
      <c r="A220" s="10" t="s">
        <v>2848</v>
      </c>
      <c r="B220" s="12">
        <v>1.0</v>
      </c>
      <c r="C220" s="11"/>
      <c r="D220" s="10" t="s">
        <v>2829</v>
      </c>
      <c r="E220" s="11"/>
      <c r="F220" s="10" t="s">
        <v>2830</v>
      </c>
      <c r="G220" s="11"/>
      <c r="H220" s="10" t="s">
        <v>706</v>
      </c>
      <c r="I220" s="11"/>
      <c r="J220" s="10" t="s">
        <v>707</v>
      </c>
      <c r="K220" s="11"/>
      <c r="L220" s="10"/>
      <c r="M220" s="10" t="s">
        <v>2830</v>
      </c>
      <c r="N220" s="11"/>
    </row>
    <row r="221" ht="14.25" customHeight="1">
      <c r="A221" s="10" t="s">
        <v>2849</v>
      </c>
      <c r="B221" s="12">
        <v>1.0</v>
      </c>
      <c r="C221" s="11"/>
      <c r="D221" s="10" t="s">
        <v>2829</v>
      </c>
      <c r="E221" s="11"/>
      <c r="F221" s="10" t="s">
        <v>2830</v>
      </c>
      <c r="G221" s="11"/>
      <c r="H221" s="10" t="s">
        <v>707</v>
      </c>
      <c r="I221" s="11"/>
      <c r="J221" s="10" t="s">
        <v>706</v>
      </c>
      <c r="K221" s="11"/>
      <c r="L221" s="10"/>
      <c r="M221" s="10" t="s">
        <v>2830</v>
      </c>
      <c r="N221" s="10" t="s">
        <v>707</v>
      </c>
    </row>
    <row r="222" ht="14.25" customHeight="1">
      <c r="A222" s="10" t="s">
        <v>2850</v>
      </c>
      <c r="B222" s="12">
        <v>1.0</v>
      </c>
      <c r="C222" s="11"/>
      <c r="D222" s="10" t="s">
        <v>2851</v>
      </c>
      <c r="E222" s="11"/>
      <c r="F222" s="10" t="s">
        <v>2852</v>
      </c>
      <c r="G222" s="11"/>
      <c r="H222" s="10" t="s">
        <v>2853</v>
      </c>
      <c r="I222" s="11"/>
      <c r="J222" s="10" t="s">
        <v>707</v>
      </c>
      <c r="K222" s="11"/>
      <c r="L222" s="10"/>
      <c r="M222" s="10" t="s">
        <v>2851</v>
      </c>
      <c r="N222" s="11"/>
    </row>
    <row r="223" ht="14.25" customHeight="1">
      <c r="A223" s="10" t="s">
        <v>2854</v>
      </c>
      <c r="B223" s="12">
        <v>1.0</v>
      </c>
      <c r="C223" s="11"/>
      <c r="D223" s="10" t="s">
        <v>2834</v>
      </c>
      <c r="E223" s="11"/>
      <c r="F223" s="10" t="s">
        <v>2835</v>
      </c>
      <c r="G223" s="11"/>
      <c r="H223" s="10" t="s">
        <v>2852</v>
      </c>
      <c r="I223" s="11"/>
      <c r="J223" s="10" t="s">
        <v>707</v>
      </c>
      <c r="K223" s="11"/>
      <c r="L223" s="10"/>
      <c r="M223" s="10" t="s">
        <v>2834</v>
      </c>
      <c r="N223" s="10" t="s">
        <v>707</v>
      </c>
    </row>
    <row r="224" ht="14.25" customHeight="1">
      <c r="A224" s="10" t="s">
        <v>2855</v>
      </c>
      <c r="B224" s="12">
        <v>1.0</v>
      </c>
      <c r="C224" s="11"/>
      <c r="D224" s="10" t="s">
        <v>2829</v>
      </c>
      <c r="E224" s="11"/>
      <c r="F224" s="10" t="s">
        <v>2830</v>
      </c>
      <c r="G224" s="11"/>
      <c r="H224" s="10" t="s">
        <v>706</v>
      </c>
      <c r="I224" s="11"/>
      <c r="J224" s="10" t="s">
        <v>707</v>
      </c>
      <c r="K224" s="11"/>
      <c r="L224" s="10"/>
      <c r="M224" s="10" t="s">
        <v>2830</v>
      </c>
      <c r="N224" s="10" t="s">
        <v>707</v>
      </c>
    </row>
    <row r="225" ht="14.25" customHeight="1">
      <c r="A225" s="10" t="s">
        <v>2856</v>
      </c>
      <c r="B225" s="12">
        <v>1.0</v>
      </c>
      <c r="C225" s="11"/>
      <c r="D225" s="10" t="s">
        <v>2829</v>
      </c>
      <c r="E225" s="11"/>
      <c r="F225" s="10" t="s">
        <v>2830</v>
      </c>
      <c r="G225" s="11"/>
      <c r="H225" s="10" t="s">
        <v>706</v>
      </c>
      <c r="I225" s="11"/>
      <c r="J225" s="10" t="s">
        <v>707</v>
      </c>
      <c r="K225" s="11"/>
      <c r="L225" s="10"/>
      <c r="M225" s="10" t="s">
        <v>2830</v>
      </c>
      <c r="N225" s="10" t="s">
        <v>2829</v>
      </c>
    </row>
    <row r="226" ht="14.25" customHeight="1">
      <c r="A226" s="10" t="s">
        <v>2857</v>
      </c>
      <c r="B226" s="12">
        <v>1.0</v>
      </c>
      <c r="C226" s="11"/>
      <c r="D226" s="10" t="s">
        <v>2844</v>
      </c>
      <c r="E226" s="11"/>
      <c r="F226" s="10" t="s">
        <v>2841</v>
      </c>
      <c r="G226" s="11"/>
      <c r="H226" s="10" t="s">
        <v>2842</v>
      </c>
      <c r="I226" s="11"/>
      <c r="J226" s="10" t="s">
        <v>2843</v>
      </c>
      <c r="K226" s="11"/>
      <c r="L226" s="10"/>
      <c r="M226" s="10" t="s">
        <v>2842</v>
      </c>
      <c r="N226" s="11"/>
    </row>
    <row r="227" ht="14.25" customHeight="1">
      <c r="A227" s="10" t="s">
        <v>2858</v>
      </c>
      <c r="B227" s="12">
        <v>1.0</v>
      </c>
      <c r="C227" s="11"/>
      <c r="D227" s="10" t="s">
        <v>2859</v>
      </c>
      <c r="E227" s="11"/>
      <c r="F227" s="10" t="s">
        <v>2860</v>
      </c>
      <c r="G227" s="11"/>
      <c r="H227" s="10" t="s">
        <v>2838</v>
      </c>
      <c r="I227" s="11"/>
      <c r="J227" s="10" t="s">
        <v>707</v>
      </c>
      <c r="K227" s="11"/>
      <c r="L227" s="10"/>
      <c r="M227" s="10" t="s">
        <v>2860</v>
      </c>
      <c r="N227" s="10" t="s">
        <v>707</v>
      </c>
    </row>
    <row r="228" ht="14.25" customHeight="1">
      <c r="A228" s="10" t="s">
        <v>2861</v>
      </c>
      <c r="B228" s="12">
        <v>1.0</v>
      </c>
      <c r="C228" s="11"/>
      <c r="D228" s="10" t="s">
        <v>2834</v>
      </c>
      <c r="E228" s="11"/>
      <c r="F228" s="10" t="s">
        <v>2835</v>
      </c>
      <c r="G228" s="11"/>
      <c r="H228" s="10" t="s">
        <v>2838</v>
      </c>
      <c r="I228" s="11"/>
      <c r="J228" s="10" t="s">
        <v>707</v>
      </c>
      <c r="K228" s="11"/>
      <c r="L228" s="10"/>
      <c r="M228" s="10" t="s">
        <v>2834</v>
      </c>
      <c r="N228" s="11"/>
    </row>
    <row r="229" ht="14.25" customHeight="1">
      <c r="A229" s="10" t="s">
        <v>2862</v>
      </c>
      <c r="B229" s="12">
        <v>1.0</v>
      </c>
      <c r="C229" s="11"/>
      <c r="D229" s="10" t="s">
        <v>2863</v>
      </c>
      <c r="E229" s="11"/>
      <c r="F229" s="10" t="s">
        <v>2834</v>
      </c>
      <c r="G229" s="11"/>
      <c r="H229" s="10" t="s">
        <v>2864</v>
      </c>
      <c r="I229" s="11"/>
      <c r="J229" s="10" t="s">
        <v>2865</v>
      </c>
      <c r="K229" s="11"/>
      <c r="L229" s="10"/>
      <c r="M229" s="10" t="s">
        <v>2865</v>
      </c>
      <c r="N229" s="11"/>
    </row>
    <row r="230" ht="14.25" customHeight="1">
      <c r="A230" s="10" t="s">
        <v>2866</v>
      </c>
      <c r="B230" s="12">
        <v>1.0</v>
      </c>
      <c r="C230" s="11"/>
      <c r="D230" s="10" t="s">
        <v>2842</v>
      </c>
      <c r="E230" s="11"/>
      <c r="F230" s="10" t="s">
        <v>2841</v>
      </c>
      <c r="G230" s="11"/>
      <c r="H230" s="10" t="s">
        <v>2844</v>
      </c>
      <c r="I230" s="11"/>
      <c r="J230" s="10" t="s">
        <v>2843</v>
      </c>
      <c r="K230" s="11"/>
      <c r="L230" s="10"/>
      <c r="M230" s="10" t="s">
        <v>2842</v>
      </c>
      <c r="N230" s="11"/>
    </row>
    <row r="231" ht="14.25" customHeight="1">
      <c r="A231" s="10" t="s">
        <v>2867</v>
      </c>
      <c r="B231" s="12">
        <v>1.0</v>
      </c>
      <c r="C231" s="11"/>
      <c r="D231" s="10" t="s">
        <v>2865</v>
      </c>
      <c r="E231" s="11"/>
      <c r="F231" s="10" t="s">
        <v>2835</v>
      </c>
      <c r="G231" s="11"/>
      <c r="H231" s="10" t="s">
        <v>2851</v>
      </c>
      <c r="I231" s="11"/>
      <c r="J231" s="10" t="s">
        <v>707</v>
      </c>
      <c r="K231" s="11"/>
      <c r="L231" s="10"/>
      <c r="M231" s="10" t="s">
        <v>2865</v>
      </c>
      <c r="N231" s="11"/>
    </row>
    <row r="232" ht="14.25" customHeight="1">
      <c r="A232" s="10" t="s">
        <v>2868</v>
      </c>
      <c r="B232" s="12">
        <v>0.0</v>
      </c>
      <c r="C232" s="11"/>
      <c r="D232" s="10" t="s">
        <v>2829</v>
      </c>
      <c r="E232" s="11"/>
      <c r="F232" s="10" t="s">
        <v>2830</v>
      </c>
      <c r="G232" s="11"/>
      <c r="H232" s="10" t="s">
        <v>706</v>
      </c>
      <c r="I232" s="11"/>
      <c r="J232" s="10" t="s">
        <v>707</v>
      </c>
      <c r="K232" s="11"/>
      <c r="L232" s="10"/>
      <c r="M232" s="10" t="s">
        <v>2829</v>
      </c>
      <c r="N232" s="11"/>
    </row>
    <row r="233" ht="14.25" customHeight="1">
      <c r="A233" s="10" t="s">
        <v>2869</v>
      </c>
      <c r="B233" s="12">
        <v>1.0</v>
      </c>
      <c r="C233" s="11"/>
      <c r="D233" s="10" t="s">
        <v>2829</v>
      </c>
      <c r="E233" s="11"/>
      <c r="F233" s="10" t="s">
        <v>2830</v>
      </c>
      <c r="G233" s="11"/>
      <c r="H233" s="10" t="s">
        <v>706</v>
      </c>
      <c r="I233" s="11"/>
      <c r="J233" s="10" t="s">
        <v>707</v>
      </c>
      <c r="K233" s="11"/>
      <c r="L233" s="10"/>
      <c r="M233" s="10" t="s">
        <v>2830</v>
      </c>
      <c r="N233" s="11"/>
    </row>
    <row r="234" ht="14.25" customHeight="1">
      <c r="A234" s="10" t="s">
        <v>2870</v>
      </c>
      <c r="B234" s="12">
        <v>1.0</v>
      </c>
      <c r="C234" s="11"/>
      <c r="D234" s="10" t="s">
        <v>2865</v>
      </c>
      <c r="E234" s="11"/>
      <c r="F234" s="10" t="s">
        <v>2871</v>
      </c>
      <c r="G234" s="11"/>
      <c r="H234" s="10" t="s">
        <v>2872</v>
      </c>
      <c r="I234" s="11"/>
      <c r="J234" s="10" t="s">
        <v>2834</v>
      </c>
      <c r="K234" s="11"/>
      <c r="L234" s="10"/>
      <c r="M234" s="10" t="s">
        <v>2865</v>
      </c>
      <c r="N234" s="11"/>
    </row>
    <row r="235" ht="14.25" customHeight="1">
      <c r="A235" s="10" t="s">
        <v>2873</v>
      </c>
      <c r="B235" s="12">
        <v>1.0</v>
      </c>
      <c r="C235" s="11"/>
      <c r="D235" s="10" t="s">
        <v>2829</v>
      </c>
      <c r="E235" s="11"/>
      <c r="F235" s="10" t="s">
        <v>2830</v>
      </c>
      <c r="G235" s="11"/>
      <c r="H235" s="10" t="s">
        <v>706</v>
      </c>
      <c r="I235" s="11"/>
      <c r="J235" s="10" t="s">
        <v>707</v>
      </c>
      <c r="K235" s="11"/>
      <c r="L235" s="10"/>
      <c r="M235" s="10" t="s">
        <v>2829</v>
      </c>
      <c r="N235" s="11"/>
    </row>
    <row r="236" ht="14.25" customHeight="1">
      <c r="A236" s="10" t="s">
        <v>2854</v>
      </c>
      <c r="B236" s="12">
        <v>1.0</v>
      </c>
      <c r="C236" s="11"/>
      <c r="D236" s="10" t="s">
        <v>2834</v>
      </c>
      <c r="E236" s="11"/>
      <c r="F236" s="10" t="s">
        <v>2835</v>
      </c>
      <c r="G236" s="11"/>
      <c r="H236" s="10" t="s">
        <v>2852</v>
      </c>
      <c r="I236" s="11"/>
      <c r="J236" s="10" t="s">
        <v>707</v>
      </c>
      <c r="K236" s="11"/>
      <c r="L236" s="10"/>
      <c r="M236" s="10" t="s">
        <v>2834</v>
      </c>
      <c r="N236" s="10" t="s">
        <v>707</v>
      </c>
    </row>
    <row r="237" ht="14.25" customHeight="1">
      <c r="A237" s="10" t="s">
        <v>2874</v>
      </c>
      <c r="B237" s="12">
        <v>1.0</v>
      </c>
      <c r="C237" s="11"/>
      <c r="D237" s="10" t="s">
        <v>2836</v>
      </c>
      <c r="E237" s="10" t="s">
        <v>2875</v>
      </c>
      <c r="F237" s="10" t="s">
        <v>2838</v>
      </c>
      <c r="G237" s="11"/>
      <c r="H237" s="10" t="s">
        <v>2876</v>
      </c>
      <c r="I237" s="11"/>
      <c r="J237" s="10" t="s">
        <v>707</v>
      </c>
      <c r="K237" s="11"/>
      <c r="L237" s="10"/>
      <c r="M237" s="10" t="s">
        <v>2836</v>
      </c>
      <c r="N237" s="10" t="s">
        <v>2875</v>
      </c>
    </row>
    <row r="238" ht="14.25" customHeight="1">
      <c r="A238" s="10" t="s">
        <v>2877</v>
      </c>
      <c r="B238" s="12">
        <v>1.0</v>
      </c>
      <c r="C238" s="11"/>
      <c r="D238" s="10" t="s">
        <v>2834</v>
      </c>
      <c r="E238" s="11"/>
      <c r="F238" s="10" t="s">
        <v>2835</v>
      </c>
      <c r="G238" s="11"/>
      <c r="H238" s="10" t="s">
        <v>2851</v>
      </c>
      <c r="I238" s="11"/>
      <c r="J238" s="10" t="s">
        <v>707</v>
      </c>
      <c r="K238" s="11"/>
      <c r="L238" s="10"/>
      <c r="M238" s="10" t="s">
        <v>2834</v>
      </c>
      <c r="N238" s="10" t="s">
        <v>707</v>
      </c>
    </row>
    <row r="239" ht="14.25" customHeight="1">
      <c r="A239" s="10" t="s">
        <v>2878</v>
      </c>
      <c r="B239" s="12">
        <v>1.0</v>
      </c>
      <c r="C239" s="11"/>
      <c r="D239" s="10" t="s">
        <v>2829</v>
      </c>
      <c r="E239" s="11"/>
      <c r="F239" s="10" t="s">
        <v>2830</v>
      </c>
      <c r="G239" s="11"/>
      <c r="H239" s="10" t="s">
        <v>706</v>
      </c>
      <c r="I239" s="11"/>
      <c r="J239" s="10" t="s">
        <v>707</v>
      </c>
      <c r="K239" s="11"/>
      <c r="L239" s="10"/>
      <c r="M239" s="10" t="s">
        <v>2830</v>
      </c>
      <c r="N239" s="11"/>
    </row>
    <row r="240" ht="14.25" customHeight="1">
      <c r="A240" s="10" t="s">
        <v>2879</v>
      </c>
      <c r="B240" s="12">
        <v>0.0</v>
      </c>
      <c r="C240" s="11"/>
      <c r="D240" s="10" t="s">
        <v>2880</v>
      </c>
      <c r="E240" s="11"/>
      <c r="F240" s="10" t="s">
        <v>2859</v>
      </c>
      <c r="G240" s="11"/>
      <c r="H240" s="10" t="s">
        <v>2838</v>
      </c>
      <c r="I240" s="11"/>
      <c r="J240" s="10" t="s">
        <v>707</v>
      </c>
      <c r="K240" s="11"/>
      <c r="L240" s="10"/>
      <c r="M240" s="10" t="s">
        <v>2859</v>
      </c>
    </row>
    <row r="241" ht="14.25" customHeight="1">
      <c r="A241" s="10" t="s">
        <v>2881</v>
      </c>
      <c r="B241" s="12">
        <v>0.0</v>
      </c>
      <c r="C241" s="11"/>
      <c r="D241" s="10" t="s">
        <v>2876</v>
      </c>
      <c r="E241" s="11"/>
      <c r="F241" s="10" t="s">
        <v>2852</v>
      </c>
      <c r="G241" s="11"/>
      <c r="H241" s="10" t="s">
        <v>2882</v>
      </c>
      <c r="I241" s="11"/>
      <c r="J241" s="10" t="s">
        <v>707</v>
      </c>
      <c r="K241" s="11"/>
      <c r="L241" s="10"/>
      <c r="M241" s="10" t="s">
        <v>2882</v>
      </c>
    </row>
    <row r="242" ht="14.25" customHeight="1">
      <c r="A242" s="10" t="s">
        <v>2883</v>
      </c>
      <c r="B242" s="12">
        <v>1.0</v>
      </c>
      <c r="C242" s="11"/>
      <c r="D242" s="10" t="s">
        <v>2829</v>
      </c>
      <c r="E242" s="11"/>
      <c r="F242" s="10" t="s">
        <v>2830</v>
      </c>
      <c r="G242" s="11"/>
      <c r="H242" s="10" t="s">
        <v>706</v>
      </c>
      <c r="I242" s="11"/>
      <c r="J242" s="10" t="s">
        <v>707</v>
      </c>
      <c r="K242" s="11"/>
      <c r="L242" s="10"/>
      <c r="M242" s="10" t="s">
        <v>2830</v>
      </c>
      <c r="N242" s="10" t="s">
        <v>2829</v>
      </c>
    </row>
    <row r="243" ht="14.25" customHeight="1">
      <c r="A243" s="10" t="s">
        <v>2884</v>
      </c>
      <c r="B243" s="12">
        <v>1.0</v>
      </c>
      <c r="C243" s="11"/>
      <c r="D243" s="10" t="s">
        <v>2829</v>
      </c>
      <c r="E243" s="11"/>
      <c r="F243" s="10" t="s">
        <v>2830</v>
      </c>
      <c r="G243" s="11"/>
      <c r="H243" s="10" t="s">
        <v>706</v>
      </c>
      <c r="I243" s="11"/>
      <c r="J243" s="10" t="s">
        <v>707</v>
      </c>
      <c r="K243" s="11"/>
      <c r="L243" s="10"/>
      <c r="M243" s="10" t="s">
        <v>2830</v>
      </c>
      <c r="N243" s="11"/>
    </row>
    <row r="244" ht="14.25" customHeight="1">
      <c r="A244" s="10" t="s">
        <v>2885</v>
      </c>
      <c r="B244" s="12">
        <v>1.0</v>
      </c>
      <c r="C244" s="11"/>
      <c r="D244" s="10" t="s">
        <v>2834</v>
      </c>
      <c r="E244" s="11"/>
      <c r="F244" s="10" t="s">
        <v>2835</v>
      </c>
      <c r="G244" s="11"/>
      <c r="H244" s="10" t="s">
        <v>2852</v>
      </c>
      <c r="I244" s="11"/>
      <c r="J244" s="10" t="s">
        <v>707</v>
      </c>
      <c r="K244" s="11"/>
      <c r="L244" s="10"/>
      <c r="M244" s="10" t="s">
        <v>2834</v>
      </c>
      <c r="N244" s="10" t="s">
        <v>707</v>
      </c>
    </row>
    <row r="245" ht="14.25" customHeight="1">
      <c r="A245" s="10" t="s">
        <v>2886</v>
      </c>
      <c r="B245" s="12">
        <v>0.0</v>
      </c>
      <c r="C245" s="11"/>
      <c r="D245" s="10" t="s">
        <v>2829</v>
      </c>
      <c r="E245" s="11"/>
      <c r="F245" s="10" t="s">
        <v>2830</v>
      </c>
      <c r="G245" s="11"/>
      <c r="H245" s="10" t="s">
        <v>706</v>
      </c>
      <c r="I245" s="11"/>
      <c r="J245" s="10" t="s">
        <v>707</v>
      </c>
      <c r="K245" s="11"/>
      <c r="L245" s="10"/>
      <c r="M245" s="10" t="s">
        <v>2830</v>
      </c>
      <c r="N245" s="11"/>
    </row>
    <row r="246" ht="14.25" customHeight="1">
      <c r="A246" s="10" t="s">
        <v>2887</v>
      </c>
      <c r="B246" s="12">
        <v>0.0</v>
      </c>
      <c r="C246" s="11"/>
      <c r="D246" s="10" t="s">
        <v>2829</v>
      </c>
      <c r="E246" s="11"/>
      <c r="F246" s="10" t="s">
        <v>2830</v>
      </c>
      <c r="G246" s="11"/>
      <c r="H246" s="10" t="s">
        <v>706</v>
      </c>
      <c r="I246" s="11"/>
      <c r="J246" s="10" t="s">
        <v>707</v>
      </c>
      <c r="K246" s="11"/>
      <c r="L246" s="10"/>
      <c r="M246" s="10" t="s">
        <v>706</v>
      </c>
      <c r="N246" s="11"/>
    </row>
    <row r="247" ht="14.25" customHeight="1">
      <c r="A247" s="10" t="s">
        <v>2888</v>
      </c>
      <c r="B247" s="12">
        <v>1.0</v>
      </c>
      <c r="C247" s="11"/>
      <c r="D247" s="10" t="s">
        <v>2829</v>
      </c>
      <c r="E247" s="11"/>
      <c r="F247" s="10" t="s">
        <v>2830</v>
      </c>
      <c r="G247" s="11"/>
      <c r="H247" s="10" t="s">
        <v>706</v>
      </c>
      <c r="I247" s="11"/>
      <c r="J247" s="10" t="s">
        <v>707</v>
      </c>
      <c r="K247" s="11"/>
      <c r="L247" s="10"/>
      <c r="M247" s="10" t="s">
        <v>2830</v>
      </c>
      <c r="N247" s="11"/>
    </row>
    <row r="248" ht="14.25" customHeight="1">
      <c r="A248" s="10" t="s">
        <v>2889</v>
      </c>
      <c r="B248" s="12">
        <v>1.0</v>
      </c>
      <c r="C248" s="11"/>
      <c r="D248" s="10" t="s">
        <v>2844</v>
      </c>
      <c r="E248" s="11"/>
      <c r="F248" s="10" t="s">
        <v>2841</v>
      </c>
      <c r="G248" s="11"/>
      <c r="H248" s="10" t="s">
        <v>2842</v>
      </c>
      <c r="I248" s="11"/>
      <c r="J248" s="10" t="s">
        <v>2843</v>
      </c>
      <c r="K248" s="11"/>
      <c r="L248" s="10"/>
      <c r="M248" s="10" t="s">
        <v>2841</v>
      </c>
      <c r="N248" s="11"/>
    </row>
    <row r="249" ht="14.25" customHeight="1">
      <c r="A249" s="10" t="s">
        <v>2890</v>
      </c>
      <c r="B249" s="12">
        <v>1.0</v>
      </c>
      <c r="C249" s="11"/>
      <c r="D249" s="10" t="s">
        <v>2829</v>
      </c>
      <c r="E249" s="11"/>
      <c r="F249" s="10" t="s">
        <v>2830</v>
      </c>
      <c r="G249" s="11"/>
      <c r="H249" s="10" t="s">
        <v>706</v>
      </c>
      <c r="I249" s="11"/>
      <c r="J249" s="10" t="s">
        <v>707</v>
      </c>
      <c r="K249" s="11"/>
      <c r="L249" s="10"/>
      <c r="M249" s="10" t="s">
        <v>2830</v>
      </c>
      <c r="N249" s="11"/>
    </row>
    <row r="250" ht="14.25" customHeight="1">
      <c r="A250" s="10" t="s">
        <v>2891</v>
      </c>
      <c r="B250" s="12">
        <v>1.0</v>
      </c>
      <c r="C250" s="11"/>
      <c r="D250" s="10" t="s">
        <v>2829</v>
      </c>
      <c r="E250" s="11"/>
      <c r="F250" s="10" t="s">
        <v>2830</v>
      </c>
      <c r="G250" s="11"/>
      <c r="H250" s="10" t="s">
        <v>706</v>
      </c>
      <c r="I250" s="11"/>
      <c r="J250" s="10" t="s">
        <v>707</v>
      </c>
      <c r="K250" s="11"/>
      <c r="L250" s="10"/>
      <c r="M250" s="10" t="s">
        <v>2829</v>
      </c>
      <c r="N250" s="11"/>
    </row>
    <row r="251" ht="14.25" customHeight="1">
      <c r="A251" s="10" t="s">
        <v>2892</v>
      </c>
      <c r="B251" s="12">
        <v>0.0</v>
      </c>
      <c r="C251" s="11"/>
      <c r="D251" s="10" t="s">
        <v>2859</v>
      </c>
      <c r="E251" s="11"/>
      <c r="F251" s="10" t="s">
        <v>2852</v>
      </c>
      <c r="G251" s="11"/>
      <c r="H251" s="10" t="s">
        <v>2893</v>
      </c>
      <c r="I251" s="11"/>
      <c r="J251" s="10" t="s">
        <v>707</v>
      </c>
      <c r="K251" s="11"/>
      <c r="L251" s="10"/>
      <c r="M251" s="10" t="s">
        <v>2893</v>
      </c>
      <c r="N251" s="11"/>
    </row>
    <row r="252" ht="14.25" customHeight="1">
      <c r="A252" s="10" t="s">
        <v>2894</v>
      </c>
      <c r="B252" s="12">
        <v>1.0</v>
      </c>
      <c r="C252" s="11"/>
      <c r="D252" s="10" t="s">
        <v>2844</v>
      </c>
      <c r="E252" s="11"/>
      <c r="F252" s="10" t="s">
        <v>2841</v>
      </c>
      <c r="G252" s="11"/>
      <c r="H252" s="10" t="s">
        <v>2842</v>
      </c>
      <c r="I252" s="11"/>
      <c r="J252" s="10" t="s">
        <v>2843</v>
      </c>
      <c r="K252" s="11"/>
      <c r="L252" s="10"/>
      <c r="M252" s="10" t="s">
        <v>2842</v>
      </c>
      <c r="N252" s="11"/>
    </row>
    <row r="253" ht="14.25" customHeight="1">
      <c r="A253" s="10" t="s">
        <v>2895</v>
      </c>
      <c r="B253" s="12">
        <v>0.0</v>
      </c>
      <c r="C253" s="11"/>
      <c r="D253" s="10" t="s">
        <v>2834</v>
      </c>
      <c r="E253" s="11"/>
      <c r="F253" s="10" t="s">
        <v>2835</v>
      </c>
      <c r="G253" s="11"/>
      <c r="H253" s="10" t="s">
        <v>2852</v>
      </c>
      <c r="I253" s="11"/>
      <c r="J253" s="10" t="s">
        <v>707</v>
      </c>
      <c r="K253" s="11"/>
      <c r="L253" s="10"/>
      <c r="M253" s="10" t="s">
        <v>2834</v>
      </c>
      <c r="N253" s="11"/>
    </row>
    <row r="254" ht="14.25" customHeight="1">
      <c r="A254" s="10" t="s">
        <v>2896</v>
      </c>
      <c r="B254" s="12">
        <v>1.0</v>
      </c>
      <c r="C254" s="11"/>
      <c r="D254" s="10" t="s">
        <v>2834</v>
      </c>
      <c r="E254" s="11"/>
      <c r="F254" s="10" t="s">
        <v>2835</v>
      </c>
      <c r="G254" s="11"/>
      <c r="H254" s="10" t="s">
        <v>2851</v>
      </c>
      <c r="I254" s="11"/>
      <c r="J254" s="10" t="s">
        <v>707</v>
      </c>
      <c r="K254" s="10" t="s">
        <v>2897</v>
      </c>
      <c r="L254" s="10"/>
      <c r="M254" s="10" t="s">
        <v>2835</v>
      </c>
      <c r="N254" s="10" t="s">
        <v>2897</v>
      </c>
    </row>
    <row r="255" ht="14.25" customHeight="1">
      <c r="A255" s="10" t="s">
        <v>2898</v>
      </c>
      <c r="B255" s="12">
        <v>0.0</v>
      </c>
      <c r="C255" s="11"/>
      <c r="D255" s="10" t="s">
        <v>2829</v>
      </c>
      <c r="E255" s="11"/>
      <c r="F255" s="10" t="s">
        <v>2830</v>
      </c>
      <c r="G255" s="11"/>
      <c r="H255" s="10" t="s">
        <v>706</v>
      </c>
      <c r="I255" s="11"/>
      <c r="J255" s="10" t="s">
        <v>707</v>
      </c>
      <c r="K255" s="11"/>
      <c r="L255" s="10"/>
      <c r="M255" s="10" t="s">
        <v>2830</v>
      </c>
      <c r="N255" s="11"/>
    </row>
    <row r="256" ht="14.25" customHeight="1">
      <c r="A256" s="10" t="s">
        <v>2899</v>
      </c>
      <c r="B256" s="12">
        <v>0.0</v>
      </c>
      <c r="C256" s="11"/>
      <c r="D256" s="10" t="s">
        <v>2852</v>
      </c>
      <c r="E256" s="11"/>
      <c r="F256" s="10" t="s">
        <v>2900</v>
      </c>
      <c r="G256" s="11"/>
      <c r="H256" s="10" t="s">
        <v>2853</v>
      </c>
      <c r="I256" s="11"/>
      <c r="J256" s="10" t="s">
        <v>707</v>
      </c>
      <c r="K256" s="11"/>
      <c r="L256" s="10"/>
      <c r="M256" s="10" t="s">
        <v>2852</v>
      </c>
      <c r="N256" s="11"/>
    </row>
    <row r="257" ht="14.25" customHeight="1">
      <c r="A257" s="10" t="s">
        <v>2901</v>
      </c>
      <c r="B257" s="12">
        <v>1.0</v>
      </c>
      <c r="C257" s="11"/>
      <c r="D257" s="10" t="s">
        <v>2829</v>
      </c>
      <c r="E257" s="11"/>
      <c r="F257" s="10" t="s">
        <v>2830</v>
      </c>
      <c r="G257" s="11"/>
      <c r="H257" s="10" t="s">
        <v>706</v>
      </c>
      <c r="I257" s="11"/>
      <c r="J257" s="10" t="s">
        <v>707</v>
      </c>
      <c r="K257" s="11"/>
      <c r="L257" s="10"/>
      <c r="M257" s="10" t="s">
        <v>2829</v>
      </c>
      <c r="N257" s="11"/>
    </row>
    <row r="258" ht="14.25" customHeight="1">
      <c r="A258" s="10" t="s">
        <v>2902</v>
      </c>
      <c r="B258" s="12">
        <v>0.0</v>
      </c>
      <c r="C258" s="11"/>
      <c r="D258" s="10" t="s">
        <v>2834</v>
      </c>
      <c r="E258" s="11"/>
      <c r="F258" s="10" t="s">
        <v>2835</v>
      </c>
      <c r="G258" s="11"/>
      <c r="H258" s="10" t="s">
        <v>2851</v>
      </c>
      <c r="I258" s="11"/>
      <c r="J258" s="10" t="s">
        <v>707</v>
      </c>
      <c r="K258" s="11"/>
      <c r="L258" s="10"/>
      <c r="M258" s="10" t="s">
        <v>2834</v>
      </c>
      <c r="N258" s="11"/>
    </row>
    <row r="259" ht="14.25" customHeight="1">
      <c r="A259" s="10" t="s">
        <v>2903</v>
      </c>
      <c r="B259" s="12">
        <v>1.0</v>
      </c>
      <c r="C259" s="11"/>
      <c r="D259" s="10" t="s">
        <v>2834</v>
      </c>
      <c r="E259" s="11"/>
      <c r="F259" s="10" t="s">
        <v>2835</v>
      </c>
      <c r="G259" s="11"/>
      <c r="H259" s="10" t="s">
        <v>2838</v>
      </c>
      <c r="I259" s="11"/>
      <c r="J259" s="10" t="s">
        <v>707</v>
      </c>
      <c r="K259" s="11"/>
      <c r="L259" s="10"/>
      <c r="M259" s="10" t="s">
        <v>2834</v>
      </c>
      <c r="N259" s="10" t="s">
        <v>707</v>
      </c>
    </row>
    <row r="260" ht="14.25" customHeight="1">
      <c r="A260" s="10" t="s">
        <v>2904</v>
      </c>
      <c r="B260" s="12">
        <v>1.0</v>
      </c>
      <c r="C260" s="11"/>
      <c r="D260" s="10" t="s">
        <v>2836</v>
      </c>
      <c r="E260" s="11"/>
      <c r="F260" s="10" t="s">
        <v>2838</v>
      </c>
      <c r="G260" s="11"/>
      <c r="H260" s="10" t="s">
        <v>2852</v>
      </c>
      <c r="I260" s="11"/>
      <c r="J260" s="10" t="s">
        <v>707</v>
      </c>
      <c r="K260" s="11"/>
      <c r="L260" s="10"/>
      <c r="M260" s="10" t="s">
        <v>2836</v>
      </c>
    </row>
    <row r="261" ht="14.25" customHeight="1">
      <c r="A261" s="10" t="s">
        <v>2905</v>
      </c>
      <c r="B261" s="12">
        <v>1.0</v>
      </c>
      <c r="C261" s="11"/>
      <c r="D261" s="10" t="s">
        <v>2829</v>
      </c>
      <c r="E261" s="11"/>
      <c r="F261" s="10" t="s">
        <v>2830</v>
      </c>
      <c r="G261" s="11"/>
      <c r="H261" s="10" t="s">
        <v>706</v>
      </c>
      <c r="I261" s="11"/>
      <c r="J261" s="10" t="s">
        <v>707</v>
      </c>
      <c r="K261" s="11"/>
      <c r="L261" s="10"/>
      <c r="M261" s="10" t="s">
        <v>2830</v>
      </c>
      <c r="N261" s="11"/>
    </row>
    <row r="262" ht="14.25" customHeight="1">
      <c r="A262" s="10" t="s">
        <v>2906</v>
      </c>
      <c r="B262" s="12">
        <v>1.0</v>
      </c>
      <c r="C262" s="11"/>
      <c r="D262" s="10" t="s">
        <v>2834</v>
      </c>
      <c r="E262" s="11"/>
      <c r="F262" s="10" t="s">
        <v>2864</v>
      </c>
      <c r="G262" s="11"/>
      <c r="H262" s="10" t="s">
        <v>2865</v>
      </c>
      <c r="I262" s="11"/>
      <c r="J262" s="10" t="s">
        <v>2907</v>
      </c>
      <c r="K262" s="11"/>
      <c r="L262" s="10"/>
      <c r="M262" s="10" t="s">
        <v>2834</v>
      </c>
      <c r="N262" s="10" t="s">
        <v>2907</v>
      </c>
    </row>
    <row r="263" ht="14.25" customHeight="1">
      <c r="A263" s="10" t="s">
        <v>2908</v>
      </c>
      <c r="B263" s="12">
        <v>0.0</v>
      </c>
      <c r="C263" s="11"/>
      <c r="D263" s="10" t="s">
        <v>2829</v>
      </c>
      <c r="E263" s="11"/>
      <c r="F263" s="10" t="s">
        <v>2830</v>
      </c>
      <c r="G263" s="11"/>
      <c r="H263" s="10" t="s">
        <v>706</v>
      </c>
      <c r="I263" s="11"/>
      <c r="J263" s="10" t="s">
        <v>707</v>
      </c>
      <c r="K263" s="11"/>
      <c r="L263" s="10"/>
      <c r="M263" s="10" t="s">
        <v>706</v>
      </c>
      <c r="N263" s="11"/>
    </row>
    <row r="264" ht="14.25" customHeight="1">
      <c r="A264" s="10" t="s">
        <v>2909</v>
      </c>
      <c r="B264" s="12">
        <v>0.0</v>
      </c>
      <c r="C264" s="11"/>
      <c r="D264" s="10" t="s">
        <v>2852</v>
      </c>
      <c r="E264" s="11"/>
      <c r="F264" s="10" t="s">
        <v>2910</v>
      </c>
      <c r="G264" s="11"/>
      <c r="H264" s="10" t="s">
        <v>2853</v>
      </c>
      <c r="I264" s="11"/>
      <c r="J264" s="10" t="s">
        <v>707</v>
      </c>
      <c r="K264" s="11"/>
      <c r="L264" s="10"/>
      <c r="M264" s="10" t="s">
        <v>2910</v>
      </c>
      <c r="N264" s="11"/>
    </row>
    <row r="265" ht="14.25" customHeight="1">
      <c r="A265" s="10" t="s">
        <v>2911</v>
      </c>
      <c r="B265" s="12">
        <v>1.0</v>
      </c>
      <c r="C265" s="11"/>
      <c r="D265" s="10" t="s">
        <v>2912</v>
      </c>
      <c r="E265" s="11"/>
      <c r="F265" s="10" t="s">
        <v>2913</v>
      </c>
      <c r="G265" s="11"/>
      <c r="H265" s="10" t="s">
        <v>2851</v>
      </c>
      <c r="I265" s="11"/>
      <c r="J265" s="10" t="s">
        <v>707</v>
      </c>
      <c r="K265" s="11"/>
      <c r="L265" s="10"/>
      <c r="M265" s="10" t="s">
        <v>2912</v>
      </c>
      <c r="N265" s="11"/>
    </row>
    <row r="266" ht="14.25" customHeight="1">
      <c r="A266" s="10" t="s">
        <v>2914</v>
      </c>
      <c r="B266" s="12">
        <v>1.0</v>
      </c>
      <c r="C266" s="11"/>
      <c r="D266" s="10" t="s">
        <v>2842</v>
      </c>
      <c r="E266" s="11"/>
      <c r="F266" s="10" t="s">
        <v>2844</v>
      </c>
      <c r="G266" s="11"/>
      <c r="H266" s="10" t="s">
        <v>2841</v>
      </c>
      <c r="I266" s="11"/>
      <c r="J266" s="10" t="s">
        <v>2843</v>
      </c>
      <c r="K266" s="11"/>
      <c r="L266" s="10"/>
      <c r="M266" s="10" t="s">
        <v>2842</v>
      </c>
      <c r="N266" s="11"/>
    </row>
    <row r="267" ht="14.25" customHeight="1">
      <c r="A267" s="10" t="s">
        <v>2915</v>
      </c>
      <c r="B267" s="12">
        <v>1.0</v>
      </c>
      <c r="C267" s="11"/>
      <c r="D267" s="10" t="s">
        <v>2834</v>
      </c>
      <c r="E267" s="11"/>
      <c r="F267" s="10" t="s">
        <v>2835</v>
      </c>
      <c r="G267" s="11"/>
      <c r="H267" s="10" t="s">
        <v>2852</v>
      </c>
      <c r="I267" s="11"/>
      <c r="J267" s="10" t="s">
        <v>707</v>
      </c>
      <c r="K267" s="11"/>
      <c r="L267" s="10"/>
      <c r="M267" s="10" t="s">
        <v>2835</v>
      </c>
      <c r="N267" s="11"/>
    </row>
    <row r="268" ht="14.25" customHeight="1">
      <c r="A268" s="10" t="s">
        <v>2916</v>
      </c>
      <c r="B268" s="12">
        <v>1.0</v>
      </c>
      <c r="C268" s="11"/>
      <c r="D268" s="10" t="s">
        <v>2865</v>
      </c>
      <c r="E268" s="11"/>
      <c r="F268" s="10" t="s">
        <v>2835</v>
      </c>
      <c r="G268" s="11"/>
      <c r="H268" s="10" t="s">
        <v>2851</v>
      </c>
      <c r="I268" s="11"/>
      <c r="J268" s="10" t="s">
        <v>707</v>
      </c>
      <c r="K268" s="11"/>
      <c r="L268" s="10"/>
      <c r="M268" s="10" t="s">
        <v>2865</v>
      </c>
      <c r="N268" s="11"/>
    </row>
    <row r="269" ht="14.25" customHeight="1">
      <c r="A269" s="10" t="s">
        <v>2917</v>
      </c>
      <c r="B269" s="12">
        <v>1.0</v>
      </c>
      <c r="C269" s="11"/>
      <c r="D269" s="10" t="s">
        <v>2829</v>
      </c>
      <c r="E269" s="11"/>
      <c r="F269" s="10" t="s">
        <v>2830</v>
      </c>
      <c r="G269" s="11"/>
      <c r="H269" s="10" t="s">
        <v>706</v>
      </c>
      <c r="I269" s="11"/>
      <c r="J269" s="10" t="s">
        <v>707</v>
      </c>
      <c r="K269" s="11"/>
      <c r="L269" s="10"/>
      <c r="M269" s="10" t="s">
        <v>2830</v>
      </c>
      <c r="N269" s="11"/>
    </row>
    <row r="270" ht="14.25" customHeight="1">
      <c r="A270" s="10" t="s">
        <v>2918</v>
      </c>
      <c r="B270" s="12">
        <v>1.0</v>
      </c>
      <c r="C270" s="11"/>
      <c r="D270" s="10" t="s">
        <v>2852</v>
      </c>
      <c r="E270" s="11"/>
      <c r="F270" s="10" t="s">
        <v>2900</v>
      </c>
      <c r="G270" s="11"/>
      <c r="H270" s="10" t="s">
        <v>2851</v>
      </c>
      <c r="I270" s="11"/>
      <c r="J270" s="10" t="s">
        <v>707</v>
      </c>
      <c r="K270" s="11"/>
      <c r="L270" s="10"/>
      <c r="M270" s="10" t="s">
        <v>2900</v>
      </c>
    </row>
    <row r="271" ht="14.25" customHeight="1">
      <c r="A271" s="10" t="s">
        <v>2919</v>
      </c>
      <c r="B271" s="12">
        <v>0.0</v>
      </c>
      <c r="C271" s="11"/>
      <c r="D271" s="10" t="s">
        <v>2836</v>
      </c>
      <c r="E271" s="11"/>
      <c r="F271" s="10" t="s">
        <v>2900</v>
      </c>
      <c r="G271" s="11"/>
      <c r="H271" s="10" t="s">
        <v>2851</v>
      </c>
      <c r="I271" s="11"/>
      <c r="J271" s="10" t="s">
        <v>707</v>
      </c>
      <c r="K271" s="11"/>
      <c r="L271" s="10"/>
      <c r="M271" s="10" t="s">
        <v>2836</v>
      </c>
    </row>
    <row r="272" ht="14.25" customHeight="1">
      <c r="A272" s="10" t="s">
        <v>2920</v>
      </c>
      <c r="B272" s="12">
        <v>0.0</v>
      </c>
      <c r="C272" s="11"/>
      <c r="D272" s="10" t="s">
        <v>2829</v>
      </c>
      <c r="E272" s="11"/>
      <c r="F272" s="10" t="s">
        <v>2830</v>
      </c>
      <c r="G272" s="11"/>
      <c r="H272" s="10" t="s">
        <v>706</v>
      </c>
      <c r="I272" s="11"/>
      <c r="J272" s="10" t="s">
        <v>707</v>
      </c>
      <c r="K272" s="11"/>
      <c r="L272" s="10"/>
      <c r="M272" s="10" t="s">
        <v>2830</v>
      </c>
      <c r="N272" s="11"/>
    </row>
    <row r="273" ht="14.25" customHeight="1">
      <c r="A273" s="10" t="s">
        <v>2921</v>
      </c>
      <c r="B273" s="12">
        <v>1.0</v>
      </c>
      <c r="C273" s="11"/>
      <c r="D273" s="10" t="s">
        <v>2836</v>
      </c>
      <c r="E273" s="11"/>
      <c r="F273" s="10" t="s">
        <v>2851</v>
      </c>
      <c r="G273" s="11"/>
      <c r="H273" s="10" t="s">
        <v>2838</v>
      </c>
      <c r="I273" s="11"/>
      <c r="J273" s="10" t="s">
        <v>707</v>
      </c>
      <c r="K273" s="11"/>
      <c r="L273" s="10"/>
      <c r="M273" s="10" t="s">
        <v>2836</v>
      </c>
    </row>
    <row r="274" ht="14.25" customHeight="1">
      <c r="A274" s="10" t="s">
        <v>2922</v>
      </c>
      <c r="B274" s="12">
        <v>0.0</v>
      </c>
      <c r="C274" s="11"/>
      <c r="D274" s="10" t="s">
        <v>2829</v>
      </c>
      <c r="E274" s="11"/>
      <c r="F274" s="10" t="s">
        <v>2830</v>
      </c>
      <c r="G274" s="11"/>
      <c r="H274" s="10" t="s">
        <v>706</v>
      </c>
      <c r="I274" s="11"/>
      <c r="J274" s="10" t="s">
        <v>707</v>
      </c>
      <c r="K274" s="11"/>
      <c r="L274" s="10"/>
      <c r="M274" s="10" t="s">
        <v>706</v>
      </c>
      <c r="N274" s="11"/>
    </row>
    <row r="275" ht="14.25" customHeight="1">
      <c r="A275" s="10" t="s">
        <v>2923</v>
      </c>
      <c r="B275" s="12">
        <v>1.0</v>
      </c>
      <c r="C275" s="11"/>
      <c r="D275" s="10" t="s">
        <v>2865</v>
      </c>
      <c r="E275" s="11"/>
      <c r="F275" s="10" t="s">
        <v>2834</v>
      </c>
      <c r="G275" s="11"/>
      <c r="H275" s="10" t="s">
        <v>2872</v>
      </c>
      <c r="I275" s="11"/>
      <c r="J275" s="10" t="s">
        <v>2871</v>
      </c>
      <c r="K275" s="11"/>
      <c r="L275" s="10"/>
      <c r="M275" s="10" t="s">
        <v>2865</v>
      </c>
      <c r="N275" s="11"/>
    </row>
    <row r="276" ht="14.25" customHeight="1">
      <c r="A276" s="10" t="s">
        <v>2924</v>
      </c>
      <c r="B276" s="12">
        <v>0.0</v>
      </c>
      <c r="C276" s="11"/>
      <c r="D276" s="10" t="s">
        <v>2925</v>
      </c>
      <c r="F276" s="10" t="s">
        <v>2900</v>
      </c>
      <c r="G276" s="11"/>
      <c r="H276" s="10" t="s">
        <v>2838</v>
      </c>
      <c r="I276" s="11"/>
      <c r="J276" s="10" t="s">
        <v>707</v>
      </c>
      <c r="K276" s="11"/>
      <c r="L276" s="10"/>
      <c r="M276" s="10" t="s">
        <v>2900</v>
      </c>
    </row>
    <row r="277" ht="14.25" customHeight="1">
      <c r="A277" s="10" t="s">
        <v>2926</v>
      </c>
      <c r="B277" s="12">
        <v>1.0</v>
      </c>
      <c r="C277" s="11"/>
      <c r="D277" s="10" t="s">
        <v>2842</v>
      </c>
      <c r="E277" s="11"/>
      <c r="F277" s="10" t="s">
        <v>2844</v>
      </c>
      <c r="G277" s="11"/>
      <c r="H277" s="10" t="s">
        <v>2841</v>
      </c>
      <c r="I277" s="11"/>
      <c r="J277" s="10" t="s">
        <v>2843</v>
      </c>
      <c r="K277" s="11"/>
      <c r="L277" s="10"/>
      <c r="M277" s="10" t="s">
        <v>2842</v>
      </c>
      <c r="N277" s="11"/>
    </row>
    <row r="278" ht="14.25" customHeight="1">
      <c r="A278" s="10" t="s">
        <v>2927</v>
      </c>
      <c r="B278" s="12">
        <v>1.0</v>
      </c>
      <c r="C278" s="11"/>
      <c r="D278" s="10" t="s">
        <v>2829</v>
      </c>
      <c r="E278" s="11"/>
      <c r="F278" s="10" t="s">
        <v>2830</v>
      </c>
      <c r="G278" s="11"/>
      <c r="H278" s="10" t="s">
        <v>706</v>
      </c>
      <c r="I278" s="11"/>
      <c r="J278" s="10" t="s">
        <v>707</v>
      </c>
      <c r="K278" s="11"/>
      <c r="L278" s="10"/>
      <c r="M278" s="10" t="s">
        <v>2829</v>
      </c>
      <c r="N278" s="11"/>
    </row>
    <row r="279" ht="14.25" customHeight="1">
      <c r="A279" s="10" t="s">
        <v>2928</v>
      </c>
      <c r="B279" s="12">
        <v>0.0</v>
      </c>
      <c r="C279" s="11"/>
      <c r="D279" s="10" t="s">
        <v>2829</v>
      </c>
      <c r="E279" s="11"/>
      <c r="F279" s="10" t="s">
        <v>2830</v>
      </c>
      <c r="G279" s="11"/>
      <c r="H279" s="10" t="s">
        <v>706</v>
      </c>
      <c r="I279" s="11"/>
      <c r="J279" s="10" t="s">
        <v>707</v>
      </c>
      <c r="K279" s="11"/>
      <c r="L279" s="10"/>
      <c r="M279" s="10" t="s">
        <v>2829</v>
      </c>
      <c r="N279" s="11"/>
    </row>
    <row r="280" ht="14.25" customHeight="1">
      <c r="A280" s="10" t="s">
        <v>2929</v>
      </c>
      <c r="B280" s="12">
        <v>0.0</v>
      </c>
      <c r="C280" s="11"/>
      <c r="D280" s="10" t="s">
        <v>2852</v>
      </c>
      <c r="E280" s="11"/>
      <c r="F280" s="10" t="s">
        <v>2900</v>
      </c>
      <c r="G280" s="11"/>
      <c r="H280" s="10" t="s">
        <v>2851</v>
      </c>
      <c r="I280" s="11"/>
      <c r="J280" s="10" t="s">
        <v>707</v>
      </c>
      <c r="K280" s="11"/>
      <c r="L280" s="10"/>
      <c r="M280" s="10" t="s">
        <v>2852</v>
      </c>
      <c r="N280" s="11"/>
    </row>
    <row r="281" ht="14.25" customHeight="1">
      <c r="A281" s="10" t="s">
        <v>2930</v>
      </c>
      <c r="B281" s="12">
        <v>1.0</v>
      </c>
      <c r="C281" s="11"/>
      <c r="D281" s="10" t="s">
        <v>2829</v>
      </c>
      <c r="E281" s="11"/>
      <c r="F281" s="10" t="s">
        <v>2830</v>
      </c>
      <c r="G281" s="11"/>
      <c r="H281" s="10" t="s">
        <v>706</v>
      </c>
      <c r="I281" s="11"/>
      <c r="J281" s="10" t="s">
        <v>707</v>
      </c>
      <c r="K281" s="11"/>
      <c r="L281" s="10"/>
      <c r="M281" s="10" t="s">
        <v>2830</v>
      </c>
      <c r="N281" s="11"/>
    </row>
    <row r="282" ht="14.25" customHeight="1">
      <c r="A282" s="10" t="s">
        <v>2931</v>
      </c>
      <c r="B282" s="12">
        <v>1.0</v>
      </c>
      <c r="C282" s="11"/>
      <c r="D282" s="10" t="s">
        <v>2834</v>
      </c>
      <c r="E282" s="11"/>
      <c r="F282" s="10" t="s">
        <v>2864</v>
      </c>
      <c r="G282" s="11"/>
      <c r="H282" s="10" t="s">
        <v>2865</v>
      </c>
      <c r="I282" s="11"/>
      <c r="J282" s="10" t="s">
        <v>2907</v>
      </c>
      <c r="K282" s="11"/>
      <c r="L282" s="10"/>
      <c r="M282" s="10" t="s">
        <v>2834</v>
      </c>
      <c r="N282" s="10" t="s">
        <v>2907</v>
      </c>
    </row>
    <row r="283" ht="14.25" customHeight="1">
      <c r="A283" s="10" t="s">
        <v>2932</v>
      </c>
      <c r="B283" s="12">
        <v>0.0</v>
      </c>
      <c r="C283" s="11"/>
      <c r="D283" s="10" t="s">
        <v>2829</v>
      </c>
      <c r="E283" s="11"/>
      <c r="F283" s="10" t="s">
        <v>2830</v>
      </c>
      <c r="G283" s="11"/>
      <c r="H283" s="10" t="s">
        <v>706</v>
      </c>
      <c r="I283" s="11"/>
      <c r="J283" s="10" t="s">
        <v>707</v>
      </c>
      <c r="K283" s="11"/>
      <c r="L283" s="10"/>
      <c r="M283" s="10" t="s">
        <v>706</v>
      </c>
      <c r="N283" s="11"/>
    </row>
    <row r="284" ht="14.25" customHeight="1">
      <c r="A284" s="10" t="s">
        <v>2933</v>
      </c>
      <c r="B284" s="12">
        <v>1.0</v>
      </c>
      <c r="C284" s="11"/>
      <c r="D284" s="10" t="s">
        <v>2829</v>
      </c>
      <c r="E284" s="11"/>
      <c r="F284" s="10" t="s">
        <v>2830</v>
      </c>
      <c r="G284" s="11"/>
      <c r="H284" s="10" t="s">
        <v>706</v>
      </c>
      <c r="I284" s="11"/>
      <c r="J284" s="10" t="s">
        <v>707</v>
      </c>
      <c r="K284" s="11"/>
      <c r="L284" s="10"/>
      <c r="M284" s="10" t="s">
        <v>2830</v>
      </c>
      <c r="N284" s="10" t="s">
        <v>2829</v>
      </c>
    </row>
    <row r="285" ht="14.25" customHeight="1">
      <c r="A285" s="10" t="s">
        <v>2934</v>
      </c>
      <c r="B285" s="12">
        <v>1.0</v>
      </c>
      <c r="C285" s="11"/>
      <c r="D285" s="10" t="s">
        <v>2844</v>
      </c>
      <c r="E285" s="11"/>
      <c r="F285" s="10" t="s">
        <v>2841</v>
      </c>
      <c r="G285" s="11"/>
      <c r="H285" s="10" t="s">
        <v>2842</v>
      </c>
      <c r="I285" s="11"/>
      <c r="J285" s="10" t="s">
        <v>2843</v>
      </c>
      <c r="K285" s="11"/>
      <c r="L285" s="10"/>
      <c r="M285" s="10" t="s">
        <v>2842</v>
      </c>
      <c r="N285" s="11"/>
    </row>
    <row r="286" ht="14.25" customHeight="1">
      <c r="A286" s="10" t="s">
        <v>2935</v>
      </c>
      <c r="B286" s="12">
        <v>0.0</v>
      </c>
      <c r="C286" s="11"/>
      <c r="D286" s="10" t="s">
        <v>2829</v>
      </c>
      <c r="E286" s="11"/>
      <c r="F286" s="10" t="s">
        <v>2830</v>
      </c>
      <c r="G286" s="11"/>
      <c r="H286" s="10" t="s">
        <v>706</v>
      </c>
      <c r="I286" s="11"/>
      <c r="J286" s="10" t="s">
        <v>707</v>
      </c>
      <c r="K286" s="11"/>
      <c r="L286" s="10"/>
      <c r="M286" s="10" t="s">
        <v>706</v>
      </c>
      <c r="N286" s="11"/>
    </row>
    <row r="287" ht="14.25" customHeight="1">
      <c r="A287" s="10" t="s">
        <v>2914</v>
      </c>
      <c r="B287" s="12">
        <v>1.0</v>
      </c>
      <c r="C287" s="11"/>
      <c r="D287" s="10" t="s">
        <v>2844</v>
      </c>
      <c r="E287" s="11"/>
      <c r="F287" s="10" t="s">
        <v>2842</v>
      </c>
      <c r="G287" s="11"/>
      <c r="H287" s="10" t="s">
        <v>2841</v>
      </c>
      <c r="I287" s="11"/>
      <c r="J287" s="10" t="s">
        <v>2843</v>
      </c>
      <c r="K287" s="11"/>
      <c r="L287" s="10"/>
      <c r="M287" s="10" t="s">
        <v>2842</v>
      </c>
      <c r="N287" s="11"/>
    </row>
    <row r="288" ht="14.25" customHeight="1">
      <c r="A288" s="10" t="s">
        <v>2936</v>
      </c>
      <c r="B288" s="12">
        <v>1.0</v>
      </c>
      <c r="C288" s="11"/>
      <c r="D288" s="10" t="s">
        <v>2836</v>
      </c>
      <c r="E288" s="11"/>
      <c r="F288" s="10" t="s">
        <v>2851</v>
      </c>
      <c r="G288" s="11"/>
      <c r="H288" s="10" t="s">
        <v>2852</v>
      </c>
      <c r="I288" s="11"/>
      <c r="J288" s="10" t="s">
        <v>707</v>
      </c>
      <c r="K288" s="11"/>
      <c r="L288" s="10"/>
      <c r="M288" s="10" t="s">
        <v>2836</v>
      </c>
    </row>
    <row r="289" ht="14.25" customHeight="1">
      <c r="A289" s="10" t="s">
        <v>2937</v>
      </c>
      <c r="B289" s="12">
        <v>1.0</v>
      </c>
      <c r="C289" s="11"/>
      <c r="D289" s="10" t="s">
        <v>2829</v>
      </c>
      <c r="E289" s="11"/>
      <c r="F289" s="10" t="s">
        <v>2830</v>
      </c>
      <c r="G289" s="11"/>
      <c r="H289" s="10" t="s">
        <v>706</v>
      </c>
      <c r="I289" s="11"/>
      <c r="J289" s="10" t="s">
        <v>707</v>
      </c>
      <c r="K289" s="11"/>
      <c r="L289" s="10"/>
      <c r="M289" s="10" t="s">
        <v>2830</v>
      </c>
      <c r="N289" s="11"/>
    </row>
    <row r="290" ht="14.25" customHeight="1">
      <c r="A290" s="10" t="s">
        <v>2938</v>
      </c>
      <c r="B290" s="12">
        <v>0.0</v>
      </c>
      <c r="C290" s="11"/>
      <c r="D290" s="10" t="s">
        <v>2829</v>
      </c>
      <c r="E290" s="11"/>
      <c r="F290" s="10" t="s">
        <v>2830</v>
      </c>
      <c r="G290" s="11"/>
      <c r="H290" s="10" t="s">
        <v>706</v>
      </c>
      <c r="I290" s="11"/>
      <c r="J290" s="10" t="s">
        <v>707</v>
      </c>
      <c r="K290" s="11"/>
      <c r="L290" s="10"/>
      <c r="M290" s="10" t="s">
        <v>2830</v>
      </c>
      <c r="N290" s="11"/>
    </row>
    <row r="291" ht="14.25" customHeight="1">
      <c r="A291" s="10" t="s">
        <v>2939</v>
      </c>
      <c r="B291" s="12">
        <v>1.0</v>
      </c>
      <c r="C291" s="11"/>
      <c r="D291" s="10" t="s">
        <v>2834</v>
      </c>
      <c r="E291" s="11"/>
      <c r="F291" s="10" t="s">
        <v>2835</v>
      </c>
      <c r="G291" s="11"/>
      <c r="H291" s="10" t="s">
        <v>2851</v>
      </c>
      <c r="I291" s="11"/>
      <c r="J291" s="10" t="s">
        <v>707</v>
      </c>
      <c r="K291" s="11"/>
      <c r="L291" s="10"/>
      <c r="M291" s="10" t="s">
        <v>2834</v>
      </c>
      <c r="N291" s="11"/>
    </row>
    <row r="292" ht="14.25" customHeight="1">
      <c r="A292" s="10" t="s">
        <v>2940</v>
      </c>
      <c r="B292" s="12">
        <v>1.0</v>
      </c>
      <c r="C292" s="11"/>
      <c r="D292" s="10" t="s">
        <v>2841</v>
      </c>
      <c r="E292" s="11"/>
      <c r="F292" s="10" t="s">
        <v>2844</v>
      </c>
      <c r="G292" s="11"/>
      <c r="H292" s="10" t="s">
        <v>2842</v>
      </c>
      <c r="I292" s="11"/>
      <c r="J292" s="10" t="s">
        <v>2843</v>
      </c>
      <c r="K292" s="11"/>
      <c r="L292" s="10"/>
      <c r="M292" s="10" t="s">
        <v>2841</v>
      </c>
      <c r="N292" s="11"/>
    </row>
    <row r="293" ht="14.25" customHeight="1">
      <c r="A293" s="10" t="s">
        <v>2941</v>
      </c>
      <c r="B293" s="12">
        <v>1.0</v>
      </c>
      <c r="C293" s="11"/>
      <c r="D293" s="10" t="s">
        <v>2851</v>
      </c>
      <c r="E293" s="11"/>
      <c r="F293" s="10" t="s">
        <v>2852</v>
      </c>
      <c r="G293" s="11"/>
      <c r="H293" s="10" t="s">
        <v>707</v>
      </c>
      <c r="I293" s="11"/>
      <c r="J293" s="10" t="e">
        <v>#VALUE!</v>
      </c>
      <c r="K293" s="11"/>
      <c r="L293" s="10"/>
      <c r="M293" s="10" t="s">
        <v>2851</v>
      </c>
      <c r="N293" s="11"/>
    </row>
    <row r="294" ht="14.25" customHeight="1">
      <c r="A294" s="10" t="s">
        <v>2942</v>
      </c>
      <c r="B294" s="12">
        <v>1.0</v>
      </c>
      <c r="C294" s="11"/>
      <c r="D294" s="10" t="s">
        <v>2829</v>
      </c>
      <c r="E294" s="11"/>
      <c r="F294" s="10" t="s">
        <v>2830</v>
      </c>
      <c r="G294" s="11"/>
      <c r="H294" s="10" t="s">
        <v>706</v>
      </c>
      <c r="I294" s="11"/>
      <c r="J294" s="10" t="s">
        <v>707</v>
      </c>
      <c r="K294" s="11"/>
      <c r="L294" s="10"/>
      <c r="M294" s="10" t="s">
        <v>2829</v>
      </c>
      <c r="N294" s="10" t="s">
        <v>2943</v>
      </c>
    </row>
    <row r="295" ht="14.25" customHeight="1">
      <c r="A295" s="10" t="s">
        <v>2944</v>
      </c>
      <c r="B295" s="12">
        <v>1.0</v>
      </c>
      <c r="C295" s="11"/>
      <c r="D295" s="10" t="s">
        <v>2834</v>
      </c>
      <c r="E295" s="11"/>
      <c r="F295" s="10" t="s">
        <v>2835</v>
      </c>
      <c r="G295" s="11"/>
      <c r="H295" s="10" t="s">
        <v>2851</v>
      </c>
      <c r="I295" s="11"/>
      <c r="J295" s="10" t="s">
        <v>707</v>
      </c>
      <c r="K295" s="11"/>
      <c r="L295" s="10"/>
      <c r="M295" s="10" t="s">
        <v>2834</v>
      </c>
      <c r="N295" s="11"/>
    </row>
    <row r="296" ht="14.25" customHeight="1">
      <c r="A296" s="10" t="s">
        <v>2945</v>
      </c>
      <c r="B296" s="12">
        <v>1.0</v>
      </c>
      <c r="C296" s="11"/>
      <c r="D296" s="10" t="s">
        <v>2834</v>
      </c>
      <c r="E296" s="10" t="s">
        <v>2946</v>
      </c>
      <c r="F296" s="10" t="s">
        <v>2835</v>
      </c>
      <c r="G296" s="11"/>
      <c r="H296" s="10" t="s">
        <v>2851</v>
      </c>
      <c r="I296" s="11"/>
      <c r="J296" s="10" t="s">
        <v>707</v>
      </c>
      <c r="K296" s="11"/>
      <c r="L296" s="10"/>
      <c r="M296" s="10" t="s">
        <v>2835</v>
      </c>
      <c r="N296" s="10" t="s">
        <v>2946</v>
      </c>
    </row>
    <row r="297" ht="14.25" customHeight="1">
      <c r="A297" s="10" t="s">
        <v>2947</v>
      </c>
      <c r="B297" s="12">
        <v>1.0</v>
      </c>
      <c r="C297" s="11"/>
      <c r="D297" s="10" t="s">
        <v>2836</v>
      </c>
      <c r="E297" s="11"/>
      <c r="F297" s="10" t="s">
        <v>2851</v>
      </c>
      <c r="G297" s="11"/>
      <c r="H297" s="10" t="s">
        <v>2852</v>
      </c>
      <c r="I297" s="11"/>
      <c r="J297" s="10" t="s">
        <v>707</v>
      </c>
      <c r="K297" s="11"/>
      <c r="L297" s="10"/>
      <c r="M297" s="10" t="s">
        <v>2836</v>
      </c>
    </row>
    <row r="298" ht="14.25" customHeight="1">
      <c r="A298" s="10" t="s">
        <v>2948</v>
      </c>
      <c r="B298" s="12">
        <v>1.0</v>
      </c>
      <c r="C298" s="11"/>
      <c r="D298" s="10" t="s">
        <v>2829</v>
      </c>
      <c r="E298" s="11"/>
      <c r="F298" s="10" t="s">
        <v>2830</v>
      </c>
      <c r="G298" s="11"/>
      <c r="H298" s="10" t="s">
        <v>706</v>
      </c>
      <c r="I298" s="11"/>
      <c r="J298" s="10" t="s">
        <v>707</v>
      </c>
      <c r="K298" s="11"/>
      <c r="L298" s="10"/>
      <c r="M298" s="10" t="s">
        <v>2829</v>
      </c>
      <c r="N298" s="11"/>
    </row>
    <row r="299" ht="14.25" customHeight="1">
      <c r="A299" s="10" t="s">
        <v>2949</v>
      </c>
      <c r="B299" s="12">
        <v>1.0</v>
      </c>
      <c r="C299" s="11"/>
      <c r="D299" s="10" t="s">
        <v>2851</v>
      </c>
      <c r="E299" s="11"/>
      <c r="F299" s="10" t="s">
        <v>2852</v>
      </c>
      <c r="G299" s="11"/>
      <c r="H299" s="10" t="s">
        <v>2838</v>
      </c>
      <c r="I299" s="11"/>
      <c r="J299" s="10" t="s">
        <v>707</v>
      </c>
      <c r="K299" s="11"/>
      <c r="L299" s="10"/>
      <c r="M299" s="10" t="s">
        <v>2851</v>
      </c>
      <c r="N299" s="11"/>
    </row>
    <row r="300" ht="14.25" customHeight="1">
      <c r="A300" s="10" t="s">
        <v>2950</v>
      </c>
      <c r="B300" s="12">
        <v>1.0</v>
      </c>
      <c r="C300" s="11"/>
      <c r="D300" s="10" t="s">
        <v>2865</v>
      </c>
      <c r="E300" s="11"/>
      <c r="F300" s="10" t="s">
        <v>2835</v>
      </c>
      <c r="G300" s="11"/>
      <c r="H300" s="10" t="s">
        <v>2851</v>
      </c>
      <c r="I300" s="11"/>
      <c r="J300" s="10" t="s">
        <v>707</v>
      </c>
      <c r="K300" s="11"/>
      <c r="L300" s="10"/>
      <c r="M300" s="10" t="s">
        <v>2865</v>
      </c>
      <c r="N300" s="11"/>
    </row>
    <row r="301" ht="14.25" customHeight="1">
      <c r="A301" s="10" t="s">
        <v>2951</v>
      </c>
      <c r="B301" s="12">
        <v>1.0</v>
      </c>
      <c r="C301" s="11"/>
      <c r="D301" s="10" t="s">
        <v>2829</v>
      </c>
      <c r="E301" s="11"/>
      <c r="F301" s="10" t="s">
        <v>2830</v>
      </c>
      <c r="G301" s="11"/>
      <c r="H301" s="10" t="s">
        <v>706</v>
      </c>
      <c r="I301" s="11"/>
      <c r="J301" s="10" t="s">
        <v>707</v>
      </c>
      <c r="K301" s="11"/>
      <c r="L301" s="10"/>
      <c r="M301" s="10" t="s">
        <v>2830</v>
      </c>
      <c r="N301" s="11"/>
    </row>
    <row r="302" ht="14.25" customHeight="1">
      <c r="A302" s="10" t="s">
        <v>2952</v>
      </c>
      <c r="B302" s="12">
        <v>1.0</v>
      </c>
      <c r="C302" s="11"/>
      <c r="D302" s="10" t="s">
        <v>2836</v>
      </c>
      <c r="E302" s="11"/>
      <c r="F302" s="10" t="s">
        <v>2900</v>
      </c>
      <c r="G302" s="11"/>
      <c r="H302" s="10" t="s">
        <v>2851</v>
      </c>
      <c r="I302" s="11"/>
      <c r="J302" s="10" t="s">
        <v>707</v>
      </c>
      <c r="K302" s="11"/>
      <c r="L302" s="10"/>
      <c r="M302" s="10" t="s">
        <v>2836</v>
      </c>
    </row>
    <row r="303" ht="14.25" customHeight="1">
      <c r="A303" s="10" t="s">
        <v>2953</v>
      </c>
      <c r="B303" s="12">
        <v>1.0</v>
      </c>
      <c r="C303" s="11"/>
      <c r="D303" s="10" t="s">
        <v>2836</v>
      </c>
      <c r="E303" s="11"/>
      <c r="F303" s="10" t="s">
        <v>2838</v>
      </c>
      <c r="G303" s="11"/>
      <c r="H303" s="10" t="s">
        <v>2876</v>
      </c>
      <c r="I303" s="11"/>
      <c r="J303" s="10" t="s">
        <v>707</v>
      </c>
      <c r="K303" s="11"/>
      <c r="L303" s="10"/>
      <c r="M303" s="10" t="s">
        <v>2836</v>
      </c>
    </row>
    <row r="304" ht="14.25" customHeight="1">
      <c r="A304" s="10" t="s">
        <v>2954</v>
      </c>
      <c r="B304" s="12">
        <v>1.0</v>
      </c>
      <c r="C304" s="11"/>
      <c r="D304" s="10" t="s">
        <v>2829</v>
      </c>
      <c r="E304" s="11"/>
      <c r="F304" s="10" t="s">
        <v>2830</v>
      </c>
      <c r="G304" s="11"/>
      <c r="H304" s="10" t="s">
        <v>706</v>
      </c>
      <c r="I304" s="11"/>
      <c r="J304" s="10" t="s">
        <v>707</v>
      </c>
      <c r="K304" s="11"/>
      <c r="L304" s="10"/>
      <c r="M304" s="10" t="s">
        <v>2830</v>
      </c>
      <c r="N304" s="11"/>
    </row>
    <row r="305" ht="14.25" customHeight="1">
      <c r="A305" s="10" t="s">
        <v>2955</v>
      </c>
      <c r="B305" s="12">
        <v>1.0</v>
      </c>
      <c r="C305" s="11"/>
      <c r="D305" s="10" t="s">
        <v>2829</v>
      </c>
      <c r="E305" s="11"/>
      <c r="F305" s="10" t="s">
        <v>2830</v>
      </c>
      <c r="G305" s="11"/>
      <c r="H305" s="10" t="s">
        <v>706</v>
      </c>
      <c r="I305" s="11"/>
      <c r="J305" s="10" t="s">
        <v>707</v>
      </c>
      <c r="K305" s="11"/>
      <c r="L305" s="10"/>
      <c r="M305" s="10" t="s">
        <v>2829</v>
      </c>
      <c r="N305" s="11"/>
    </row>
    <row r="306" ht="14.25" customHeight="1">
      <c r="A306" s="10" t="s">
        <v>2956</v>
      </c>
      <c r="B306" s="12">
        <v>0.0</v>
      </c>
      <c r="C306" s="11"/>
      <c r="D306" s="10" t="s">
        <v>2852</v>
      </c>
      <c r="E306" s="11"/>
      <c r="F306" s="10" t="s">
        <v>2900</v>
      </c>
      <c r="G306" s="11"/>
      <c r="H306" s="10" t="s">
        <v>2838</v>
      </c>
      <c r="I306" s="11"/>
      <c r="J306" s="10" t="s">
        <v>707</v>
      </c>
      <c r="K306" s="11"/>
      <c r="L306" s="10"/>
      <c r="M306" s="10" t="s">
        <v>2852</v>
      </c>
      <c r="N306" s="11"/>
    </row>
    <row r="307" ht="14.25" customHeight="1">
      <c r="A307" s="10" t="s">
        <v>2957</v>
      </c>
      <c r="B307" s="12">
        <v>0.0</v>
      </c>
      <c r="C307" s="11"/>
      <c r="D307" s="10" t="s">
        <v>2829</v>
      </c>
      <c r="E307" s="11"/>
      <c r="F307" s="10" t="s">
        <v>2830</v>
      </c>
      <c r="G307" s="11"/>
      <c r="H307" s="10" t="s">
        <v>706</v>
      </c>
      <c r="I307" s="11"/>
      <c r="J307" s="10" t="s">
        <v>707</v>
      </c>
      <c r="K307" s="11"/>
      <c r="L307" s="10"/>
      <c r="M307" s="10" t="s">
        <v>2829</v>
      </c>
      <c r="N307" s="11"/>
    </row>
    <row r="308" ht="14.25" customHeight="1">
      <c r="A308" s="10" t="s">
        <v>2958</v>
      </c>
      <c r="B308" s="12">
        <v>1.0</v>
      </c>
      <c r="C308" s="11"/>
      <c r="D308" s="10" t="s">
        <v>2834</v>
      </c>
      <c r="E308" s="11"/>
      <c r="F308" s="10" t="s">
        <v>2835</v>
      </c>
      <c r="G308" s="11"/>
      <c r="H308" s="10" t="s">
        <v>2851</v>
      </c>
      <c r="I308" s="11"/>
      <c r="J308" s="10" t="s">
        <v>707</v>
      </c>
      <c r="K308" s="11"/>
      <c r="L308" s="10"/>
      <c r="M308" s="10" t="s">
        <v>2834</v>
      </c>
      <c r="N308" s="10" t="s">
        <v>707</v>
      </c>
    </row>
    <row r="309" ht="14.25" customHeight="1">
      <c r="A309" s="10" t="s">
        <v>2959</v>
      </c>
      <c r="B309" s="12">
        <v>1.0</v>
      </c>
      <c r="C309" s="11"/>
      <c r="D309" s="10" t="s">
        <v>2829</v>
      </c>
      <c r="E309" s="11"/>
      <c r="F309" s="10" t="s">
        <v>2830</v>
      </c>
      <c r="G309" s="11"/>
      <c r="H309" s="10" t="s">
        <v>706</v>
      </c>
      <c r="I309" s="11"/>
      <c r="J309" s="10" t="s">
        <v>707</v>
      </c>
      <c r="K309" s="11"/>
      <c r="L309" s="10"/>
      <c r="M309" s="10" t="s">
        <v>2829</v>
      </c>
      <c r="N309" s="11"/>
    </row>
    <row r="310" ht="14.25" customHeight="1">
      <c r="A310" s="10" t="s">
        <v>2960</v>
      </c>
      <c r="B310" s="12">
        <v>1.0</v>
      </c>
      <c r="C310" s="11"/>
      <c r="D310" s="10" t="s">
        <v>2829</v>
      </c>
      <c r="E310" s="11"/>
      <c r="F310" s="10" t="s">
        <v>2830</v>
      </c>
      <c r="G310" s="11"/>
      <c r="H310" s="10" t="s">
        <v>706</v>
      </c>
      <c r="I310" s="11"/>
      <c r="J310" s="10" t="s">
        <v>707</v>
      </c>
      <c r="K310" s="11"/>
      <c r="L310" s="10"/>
      <c r="M310" s="10" t="s">
        <v>2830</v>
      </c>
      <c r="N310" s="10" t="s">
        <v>2829</v>
      </c>
    </row>
    <row r="311" ht="14.25" customHeight="1">
      <c r="A311" s="10" t="s">
        <v>2961</v>
      </c>
      <c r="B311" s="12">
        <v>1.0</v>
      </c>
      <c r="C311" s="11"/>
      <c r="D311" s="10" t="s">
        <v>2829</v>
      </c>
      <c r="E311" s="11"/>
      <c r="F311" s="10" t="s">
        <v>2830</v>
      </c>
      <c r="G311" s="11"/>
      <c r="H311" s="10" t="s">
        <v>706</v>
      </c>
      <c r="I311" s="11"/>
      <c r="J311" s="10" t="s">
        <v>707</v>
      </c>
      <c r="K311" s="11"/>
      <c r="L311" s="10"/>
      <c r="M311" s="10" t="s">
        <v>2830</v>
      </c>
      <c r="N311" s="11"/>
    </row>
    <row r="312" ht="14.25" customHeight="1">
      <c r="A312" s="10" t="s">
        <v>2962</v>
      </c>
      <c r="B312" s="12">
        <v>1.0</v>
      </c>
      <c r="C312" s="11"/>
      <c r="D312" s="10" t="s">
        <v>2829</v>
      </c>
      <c r="E312" s="11"/>
      <c r="F312" s="10" t="s">
        <v>2830</v>
      </c>
      <c r="G312" s="11"/>
      <c r="H312" s="10" t="s">
        <v>706</v>
      </c>
      <c r="I312" s="11"/>
      <c r="J312" s="10" t="s">
        <v>707</v>
      </c>
      <c r="K312" s="11"/>
      <c r="L312" s="10"/>
      <c r="M312" s="10" t="s">
        <v>2830</v>
      </c>
      <c r="N312" s="11"/>
    </row>
    <row r="313" ht="14.25" customHeight="1">
      <c r="A313" s="10" t="s">
        <v>2963</v>
      </c>
      <c r="B313" s="12">
        <v>1.0</v>
      </c>
      <c r="C313" s="11"/>
      <c r="D313" s="10" t="s">
        <v>2834</v>
      </c>
      <c r="E313" s="11"/>
      <c r="F313" s="10" t="s">
        <v>2835</v>
      </c>
      <c r="G313" s="11"/>
      <c r="H313" s="10" t="s">
        <v>2851</v>
      </c>
      <c r="I313" s="11"/>
      <c r="J313" s="10" t="s">
        <v>707</v>
      </c>
      <c r="K313" s="11"/>
      <c r="L313" s="10"/>
      <c r="M313" s="10" t="s">
        <v>2835</v>
      </c>
      <c r="N313" s="10" t="s">
        <v>707</v>
      </c>
    </row>
    <row r="314" ht="14.25" customHeight="1">
      <c r="A314" s="10" t="s">
        <v>2964</v>
      </c>
      <c r="B314" s="12">
        <v>1.0</v>
      </c>
      <c r="C314" s="11"/>
      <c r="D314" s="10" t="s">
        <v>2829</v>
      </c>
      <c r="E314" s="11"/>
      <c r="F314" s="10" t="s">
        <v>2830</v>
      </c>
      <c r="G314" s="11"/>
      <c r="H314" s="10" t="s">
        <v>706</v>
      </c>
      <c r="I314" s="11"/>
      <c r="J314" s="10" t="s">
        <v>707</v>
      </c>
      <c r="K314" s="11"/>
      <c r="L314" s="10"/>
      <c r="M314" s="10" t="s">
        <v>2829</v>
      </c>
      <c r="N314" s="11"/>
    </row>
    <row r="315" ht="14.25" customHeight="1">
      <c r="A315" s="10" t="s">
        <v>2965</v>
      </c>
      <c r="B315" s="12">
        <v>0.0</v>
      </c>
      <c r="C315" s="11"/>
      <c r="D315" s="10" t="s">
        <v>2829</v>
      </c>
      <c r="E315" s="11"/>
      <c r="F315" s="10" t="s">
        <v>2830</v>
      </c>
      <c r="G315" s="11"/>
      <c r="H315" s="10" t="s">
        <v>706</v>
      </c>
      <c r="I315" s="11"/>
      <c r="J315" s="10" t="s">
        <v>707</v>
      </c>
      <c r="K315" s="11"/>
      <c r="L315" s="10"/>
      <c r="M315" s="10" t="s">
        <v>2829</v>
      </c>
      <c r="N315" s="11"/>
    </row>
    <row r="316" ht="14.25" customHeight="1">
      <c r="A316" s="10" t="s">
        <v>2966</v>
      </c>
      <c r="B316" s="12">
        <v>1.0</v>
      </c>
      <c r="C316" s="11"/>
      <c r="D316" s="10" t="s">
        <v>2865</v>
      </c>
      <c r="E316" s="11"/>
      <c r="F316" s="10" t="s">
        <v>2871</v>
      </c>
      <c r="G316" s="11"/>
      <c r="H316" s="10" t="s">
        <v>2864</v>
      </c>
      <c r="I316" s="11"/>
      <c r="J316" s="10" t="s">
        <v>2834</v>
      </c>
      <c r="K316" s="11"/>
      <c r="L316" s="10"/>
      <c r="M316" s="10" t="s">
        <v>2865</v>
      </c>
      <c r="N316" s="11"/>
    </row>
    <row r="317" ht="14.25" customHeight="1">
      <c r="A317" s="10" t="s">
        <v>2967</v>
      </c>
      <c r="B317" s="12">
        <v>0.0</v>
      </c>
      <c r="C317" s="11"/>
      <c r="D317" s="10" t="s">
        <v>2829</v>
      </c>
      <c r="E317" s="11"/>
      <c r="F317" s="10" t="s">
        <v>2830</v>
      </c>
      <c r="G317" s="11"/>
      <c r="H317" s="10" t="s">
        <v>706</v>
      </c>
      <c r="I317" s="11"/>
      <c r="J317" s="10" t="s">
        <v>707</v>
      </c>
      <c r="K317" s="11"/>
      <c r="L317" s="10"/>
      <c r="M317" s="10" t="s">
        <v>706</v>
      </c>
      <c r="N317" s="11"/>
    </row>
    <row r="318" ht="14.25" customHeight="1">
      <c r="A318" s="10" t="s">
        <v>2937</v>
      </c>
      <c r="B318" s="12">
        <v>1.0</v>
      </c>
      <c r="C318" s="11"/>
      <c r="D318" s="10" t="s">
        <v>2829</v>
      </c>
      <c r="E318" s="11"/>
      <c r="F318" s="10" t="s">
        <v>2830</v>
      </c>
      <c r="G318" s="11"/>
      <c r="H318" s="10" t="s">
        <v>706</v>
      </c>
      <c r="I318" s="11"/>
      <c r="J318" s="10" t="s">
        <v>707</v>
      </c>
      <c r="K318" s="11"/>
      <c r="L318" s="10"/>
      <c r="M318" s="10" t="s">
        <v>2830</v>
      </c>
      <c r="N318" s="11"/>
    </row>
    <row r="319" ht="14.25" customHeight="1">
      <c r="A319" s="10" t="s">
        <v>2968</v>
      </c>
      <c r="B319" s="12">
        <v>0.0</v>
      </c>
      <c r="C319" s="11"/>
      <c r="D319" s="10" t="s">
        <v>2851</v>
      </c>
      <c r="E319" s="11"/>
      <c r="F319" s="10" t="s">
        <v>2852</v>
      </c>
      <c r="G319" s="11"/>
      <c r="H319" s="10" t="s">
        <v>2836</v>
      </c>
      <c r="I319" s="11"/>
      <c r="J319" s="10" t="s">
        <v>707</v>
      </c>
      <c r="K319" s="11"/>
      <c r="L319" s="10"/>
      <c r="M319" s="10" t="s">
        <v>2836</v>
      </c>
    </row>
    <row r="320" ht="14.25" customHeight="1">
      <c r="A320" s="10" t="s">
        <v>2969</v>
      </c>
      <c r="B320" s="12">
        <v>1.0</v>
      </c>
      <c r="C320" s="11"/>
      <c r="D320" s="10" t="s">
        <v>2829</v>
      </c>
      <c r="E320" s="11"/>
      <c r="F320" s="10" t="s">
        <v>2830</v>
      </c>
      <c r="G320" s="11"/>
      <c r="H320" s="10" t="s">
        <v>706</v>
      </c>
      <c r="I320" s="11"/>
      <c r="J320" s="10" t="s">
        <v>707</v>
      </c>
      <c r="K320" s="11"/>
      <c r="L320" s="10"/>
      <c r="M320" s="10" t="s">
        <v>2829</v>
      </c>
      <c r="N320" s="10" t="s">
        <v>2943</v>
      </c>
    </row>
    <row r="321" ht="14.25" customHeight="1">
      <c r="A321" s="10" t="s">
        <v>2970</v>
      </c>
      <c r="B321" s="12">
        <v>1.0</v>
      </c>
      <c r="C321" s="11"/>
      <c r="D321" s="10" t="s">
        <v>2829</v>
      </c>
      <c r="E321" s="11"/>
      <c r="F321" s="10" t="s">
        <v>2830</v>
      </c>
      <c r="G321" s="11"/>
      <c r="H321" s="10" t="s">
        <v>706</v>
      </c>
      <c r="I321" s="11"/>
      <c r="J321" s="10" t="s">
        <v>707</v>
      </c>
      <c r="K321" s="11"/>
      <c r="L321" s="10"/>
      <c r="M321" s="10" t="s">
        <v>2830</v>
      </c>
      <c r="N321" s="11"/>
    </row>
    <row r="322" ht="14.25" customHeight="1">
      <c r="A322" s="10" t="s">
        <v>2971</v>
      </c>
      <c r="B322" s="12">
        <v>1.0</v>
      </c>
      <c r="C322" s="11"/>
      <c r="D322" s="10" t="s">
        <v>2829</v>
      </c>
      <c r="E322" s="11"/>
      <c r="F322" s="10" t="s">
        <v>2830</v>
      </c>
      <c r="G322" s="11"/>
      <c r="H322" s="10" t="s">
        <v>706</v>
      </c>
      <c r="I322" s="11"/>
      <c r="J322" s="10" t="s">
        <v>707</v>
      </c>
      <c r="K322" s="11"/>
      <c r="L322" s="10"/>
      <c r="M322" s="10" t="s">
        <v>706</v>
      </c>
      <c r="N322" s="11"/>
    </row>
    <row r="323" ht="14.25" customHeight="1">
      <c r="A323" s="10" t="s">
        <v>2972</v>
      </c>
      <c r="B323" s="12">
        <v>1.0</v>
      </c>
      <c r="C323" s="11"/>
      <c r="D323" s="10" t="s">
        <v>2829</v>
      </c>
      <c r="E323" s="11"/>
      <c r="F323" s="10" t="s">
        <v>2830</v>
      </c>
      <c r="G323" s="11"/>
      <c r="H323" s="10" t="s">
        <v>706</v>
      </c>
      <c r="I323" s="11"/>
      <c r="J323" s="10" t="s">
        <v>707</v>
      </c>
      <c r="K323" s="11"/>
      <c r="L323" s="10"/>
      <c r="M323" s="10" t="s">
        <v>2830</v>
      </c>
      <c r="N323" s="11"/>
    </row>
    <row r="324" ht="14.25" customHeight="1">
      <c r="A324" s="10" t="s">
        <v>2973</v>
      </c>
      <c r="B324" s="12">
        <v>1.0</v>
      </c>
      <c r="C324" s="11"/>
      <c r="D324" s="10" t="s">
        <v>2829</v>
      </c>
      <c r="E324" s="11"/>
      <c r="F324" s="10" t="s">
        <v>2830</v>
      </c>
      <c r="G324" s="11"/>
      <c r="H324" s="10" t="s">
        <v>706</v>
      </c>
      <c r="I324" s="11"/>
      <c r="J324" s="10" t="s">
        <v>707</v>
      </c>
      <c r="K324" s="11"/>
      <c r="L324" s="10"/>
      <c r="M324" s="10" t="s">
        <v>2829</v>
      </c>
      <c r="N324" s="11"/>
    </row>
    <row r="325" ht="14.25" customHeight="1">
      <c r="A325" s="10" t="s">
        <v>2974</v>
      </c>
      <c r="B325" s="12">
        <v>1.0</v>
      </c>
      <c r="C325" s="11"/>
      <c r="D325" s="10" t="s">
        <v>2829</v>
      </c>
      <c r="E325" s="11"/>
      <c r="F325" s="10" t="s">
        <v>2830</v>
      </c>
      <c r="G325" s="11"/>
      <c r="H325" s="10" t="s">
        <v>706</v>
      </c>
      <c r="I325" s="11"/>
      <c r="J325" s="10" t="s">
        <v>707</v>
      </c>
      <c r="K325" s="11"/>
      <c r="L325" s="10"/>
      <c r="M325" s="10" t="s">
        <v>706</v>
      </c>
      <c r="N325" s="10" t="s">
        <v>2943</v>
      </c>
    </row>
    <row r="326" ht="14.25" customHeight="1">
      <c r="A326" s="10" t="s">
        <v>2975</v>
      </c>
      <c r="B326" s="12">
        <v>0.0</v>
      </c>
      <c r="C326" s="11"/>
      <c r="D326" s="10" t="s">
        <v>2829</v>
      </c>
      <c r="E326" s="11"/>
      <c r="F326" s="10" t="s">
        <v>2830</v>
      </c>
      <c r="G326" s="11"/>
      <c r="H326" s="10" t="s">
        <v>706</v>
      </c>
      <c r="I326" s="11"/>
      <c r="J326" s="10" t="s">
        <v>707</v>
      </c>
      <c r="K326" s="11"/>
      <c r="L326" s="10"/>
      <c r="M326" s="10" t="s">
        <v>2829</v>
      </c>
      <c r="N326" s="11"/>
    </row>
    <row r="327" ht="14.25" customHeight="1">
      <c r="A327" s="10" t="s">
        <v>2976</v>
      </c>
      <c r="B327" s="12">
        <v>1.0</v>
      </c>
      <c r="C327" s="11"/>
      <c r="D327" s="10" t="s">
        <v>2852</v>
      </c>
      <c r="E327" s="11"/>
      <c r="F327" s="10" t="s">
        <v>2900</v>
      </c>
      <c r="G327" s="11"/>
      <c r="H327" s="10" t="s">
        <v>2851</v>
      </c>
      <c r="I327" s="11"/>
      <c r="J327" s="10" t="s">
        <v>707</v>
      </c>
      <c r="K327" s="11"/>
      <c r="L327" s="10"/>
      <c r="M327" s="10" t="s">
        <v>2852</v>
      </c>
      <c r="N327" s="10" t="s">
        <v>707</v>
      </c>
    </row>
    <row r="328" ht="14.25" customHeight="1">
      <c r="A328" s="10" t="s">
        <v>2977</v>
      </c>
      <c r="B328" s="12">
        <v>1.0</v>
      </c>
      <c r="C328" s="11"/>
      <c r="D328" s="10" t="s">
        <v>2852</v>
      </c>
      <c r="E328" s="11"/>
      <c r="F328" s="10" t="s">
        <v>2900</v>
      </c>
      <c r="G328" s="11"/>
      <c r="H328" s="10" t="s">
        <v>2851</v>
      </c>
      <c r="I328" s="11"/>
      <c r="J328" s="10" t="s">
        <v>2836</v>
      </c>
      <c r="L328" s="10"/>
      <c r="M328" s="10" t="s">
        <v>2836</v>
      </c>
    </row>
    <row r="329" ht="14.25" customHeight="1">
      <c r="A329" s="10" t="s">
        <v>2978</v>
      </c>
      <c r="B329" s="12">
        <v>1.0</v>
      </c>
      <c r="C329" s="11"/>
      <c r="D329" s="10" t="s">
        <v>2829</v>
      </c>
      <c r="E329" s="11"/>
      <c r="F329" s="10" t="s">
        <v>2830</v>
      </c>
      <c r="G329" s="11"/>
      <c r="H329" s="10" t="s">
        <v>706</v>
      </c>
      <c r="I329" s="11"/>
      <c r="J329" s="10" t="s">
        <v>707</v>
      </c>
      <c r="K329" s="11"/>
      <c r="L329" s="10"/>
      <c r="M329" s="10" t="s">
        <v>2830</v>
      </c>
      <c r="N329" s="11"/>
    </row>
    <row r="330" ht="14.25" customHeight="1">
      <c r="A330" s="10" t="s">
        <v>2979</v>
      </c>
      <c r="B330" s="12">
        <v>0.0</v>
      </c>
      <c r="C330" s="11"/>
      <c r="D330" s="10" t="s">
        <v>2829</v>
      </c>
      <c r="E330" s="11"/>
      <c r="F330" s="10" t="s">
        <v>2830</v>
      </c>
      <c r="G330" s="11"/>
      <c r="H330" s="10" t="s">
        <v>706</v>
      </c>
      <c r="I330" s="11"/>
      <c r="J330" s="10" t="s">
        <v>707</v>
      </c>
      <c r="K330" s="11"/>
      <c r="L330" s="10"/>
      <c r="M330" s="10" t="s">
        <v>2829</v>
      </c>
      <c r="N330" s="11"/>
    </row>
    <row r="331" ht="14.25" customHeight="1">
      <c r="A331" s="10" t="s">
        <v>2980</v>
      </c>
      <c r="B331" s="12">
        <v>1.0</v>
      </c>
      <c r="C331" s="11"/>
      <c r="D331" s="10" t="s">
        <v>2834</v>
      </c>
      <c r="E331" s="10" t="s">
        <v>2981</v>
      </c>
      <c r="F331" s="10" t="s">
        <v>2835</v>
      </c>
      <c r="G331" s="10" t="s">
        <v>2982</v>
      </c>
      <c r="H331" s="10" t="s">
        <v>2851</v>
      </c>
      <c r="I331" s="10" t="s">
        <v>2983</v>
      </c>
      <c r="J331" s="10" t="s">
        <v>707</v>
      </c>
      <c r="K331" s="11"/>
      <c r="L331" s="10"/>
      <c r="M331" s="10" t="s">
        <v>2834</v>
      </c>
      <c r="N331" s="10" t="s">
        <v>2981</v>
      </c>
    </row>
    <row r="332" ht="14.25" customHeight="1">
      <c r="A332" s="10" t="s">
        <v>2866</v>
      </c>
      <c r="B332" s="12">
        <v>1.0</v>
      </c>
      <c r="C332" s="11"/>
      <c r="D332" s="10" t="s">
        <v>2842</v>
      </c>
      <c r="E332" s="11"/>
      <c r="F332" s="10" t="s">
        <v>2844</v>
      </c>
      <c r="G332" s="11"/>
      <c r="H332" s="10" t="s">
        <v>2841</v>
      </c>
      <c r="I332" s="11"/>
      <c r="J332" s="10" t="s">
        <v>2843</v>
      </c>
      <c r="K332" s="11"/>
      <c r="L332" s="10"/>
      <c r="M332" s="10" t="s">
        <v>2842</v>
      </c>
      <c r="N332" s="11"/>
    </row>
    <row r="333" ht="14.25" customHeight="1">
      <c r="A333" s="10" t="s">
        <v>2984</v>
      </c>
      <c r="B333" s="12">
        <v>1.0</v>
      </c>
      <c r="C333" s="11"/>
      <c r="D333" s="10" t="s">
        <v>2829</v>
      </c>
      <c r="E333" s="11"/>
      <c r="F333" s="10" t="s">
        <v>2830</v>
      </c>
      <c r="G333" s="11"/>
      <c r="H333" s="10" t="s">
        <v>706</v>
      </c>
      <c r="I333" s="11"/>
      <c r="J333" s="10" t="s">
        <v>707</v>
      </c>
      <c r="K333" s="11"/>
      <c r="L333" s="10"/>
      <c r="M333" s="10" t="s">
        <v>2830</v>
      </c>
      <c r="N333" s="11"/>
    </row>
    <row r="334" ht="14.25" customHeight="1">
      <c r="A334" s="10" t="s">
        <v>2985</v>
      </c>
      <c r="B334" s="12">
        <v>1.0</v>
      </c>
      <c r="C334" s="11"/>
      <c r="D334" s="10" t="s">
        <v>2829</v>
      </c>
      <c r="E334" s="11"/>
      <c r="F334" s="10" t="s">
        <v>2830</v>
      </c>
      <c r="G334" s="11"/>
      <c r="H334" s="10" t="s">
        <v>706</v>
      </c>
      <c r="I334" s="11"/>
      <c r="J334" s="10" t="s">
        <v>707</v>
      </c>
      <c r="K334" s="11"/>
      <c r="L334" s="10"/>
      <c r="M334" s="10" t="s">
        <v>2829</v>
      </c>
      <c r="N334" s="11"/>
    </row>
    <row r="335" ht="14.25" customHeight="1">
      <c r="A335" s="10" t="s">
        <v>2948</v>
      </c>
      <c r="B335" s="12">
        <v>1.0</v>
      </c>
      <c r="C335" s="11"/>
      <c r="D335" s="10" t="s">
        <v>2829</v>
      </c>
      <c r="E335" s="11"/>
      <c r="F335" s="10" t="s">
        <v>2830</v>
      </c>
      <c r="G335" s="11"/>
      <c r="H335" s="10" t="s">
        <v>706</v>
      </c>
      <c r="I335" s="11"/>
      <c r="J335" s="10" t="s">
        <v>707</v>
      </c>
      <c r="K335" s="11"/>
      <c r="L335" s="10"/>
      <c r="M335" s="10" t="s">
        <v>2829</v>
      </c>
      <c r="N335" s="11"/>
    </row>
    <row r="336" ht="14.25" customHeight="1">
      <c r="A336" s="10" t="s">
        <v>2986</v>
      </c>
      <c r="B336" s="12">
        <v>0.0</v>
      </c>
      <c r="C336" s="11"/>
      <c r="D336" s="10" t="s">
        <v>2834</v>
      </c>
      <c r="E336" s="11"/>
      <c r="F336" s="10" t="s">
        <v>2835</v>
      </c>
      <c r="G336" s="11"/>
      <c r="H336" s="10" t="s">
        <v>2851</v>
      </c>
      <c r="I336" s="11"/>
      <c r="J336" s="10" t="s">
        <v>707</v>
      </c>
      <c r="K336" s="11"/>
      <c r="L336" s="10"/>
      <c r="M336" s="10" t="s">
        <v>2834</v>
      </c>
      <c r="N336" s="11"/>
    </row>
    <row r="337" ht="14.25" customHeight="1">
      <c r="A337" s="10" t="s">
        <v>2987</v>
      </c>
      <c r="B337" s="12">
        <v>1.0</v>
      </c>
      <c r="C337" s="11"/>
      <c r="D337" s="10" t="s">
        <v>2834</v>
      </c>
      <c r="E337" s="11"/>
      <c r="F337" s="10" t="s">
        <v>2864</v>
      </c>
      <c r="G337" s="11"/>
      <c r="H337" s="10" t="s">
        <v>2871</v>
      </c>
      <c r="I337" s="11"/>
      <c r="J337" s="10" t="s">
        <v>2865</v>
      </c>
      <c r="K337" s="11"/>
      <c r="L337" s="10"/>
      <c r="M337" s="10" t="s">
        <v>2865</v>
      </c>
      <c r="N337" s="11"/>
    </row>
    <row r="338" ht="14.25" customHeight="1">
      <c r="A338" s="10" t="s">
        <v>2988</v>
      </c>
      <c r="B338" s="12">
        <v>0.0</v>
      </c>
      <c r="C338" s="11"/>
      <c r="D338" s="10" t="s">
        <v>2829</v>
      </c>
      <c r="E338" s="11"/>
      <c r="F338" s="10" t="s">
        <v>2830</v>
      </c>
      <c r="G338" s="11"/>
      <c r="H338" s="10" t="s">
        <v>706</v>
      </c>
      <c r="I338" s="11"/>
      <c r="J338" s="10" t="s">
        <v>707</v>
      </c>
      <c r="K338" s="11"/>
      <c r="L338" s="10"/>
      <c r="M338" s="10" t="s">
        <v>706</v>
      </c>
      <c r="N338" s="11"/>
    </row>
    <row r="339" ht="14.25" customHeight="1">
      <c r="A339" s="10" t="s">
        <v>2989</v>
      </c>
      <c r="B339" s="12">
        <v>0.0</v>
      </c>
      <c r="C339" s="11"/>
      <c r="D339" s="10" t="s">
        <v>2851</v>
      </c>
      <c r="E339" s="11"/>
      <c r="F339" s="10" t="s">
        <v>2852</v>
      </c>
      <c r="G339" s="11"/>
      <c r="H339" s="10" t="s">
        <v>2836</v>
      </c>
      <c r="I339" s="11"/>
      <c r="J339" s="10" t="s">
        <v>707</v>
      </c>
      <c r="K339" s="11"/>
      <c r="L339" s="10"/>
      <c r="M339" s="10" t="s">
        <v>2836</v>
      </c>
    </row>
    <row r="340" ht="14.25" customHeight="1">
      <c r="A340" s="10" t="s">
        <v>2990</v>
      </c>
      <c r="B340" s="12">
        <v>1.0</v>
      </c>
      <c r="C340" s="11"/>
      <c r="D340" s="10" t="s">
        <v>2829</v>
      </c>
      <c r="E340" s="11"/>
      <c r="F340" s="10" t="s">
        <v>2830</v>
      </c>
      <c r="G340" s="11"/>
      <c r="H340" s="10" t="s">
        <v>706</v>
      </c>
      <c r="I340" s="11"/>
      <c r="J340" s="10" t="s">
        <v>707</v>
      </c>
      <c r="K340" s="11"/>
      <c r="L340" s="10"/>
      <c r="M340" s="10" t="s">
        <v>2830</v>
      </c>
      <c r="N340" s="11"/>
    </row>
    <row r="341" ht="14.25" customHeight="1">
      <c r="A341" s="10" t="s">
        <v>2991</v>
      </c>
      <c r="B341" s="12">
        <v>0.0</v>
      </c>
      <c r="C341" s="11"/>
      <c r="D341" s="10" t="s">
        <v>2829</v>
      </c>
      <c r="E341" s="11"/>
      <c r="F341" s="10" t="s">
        <v>2830</v>
      </c>
      <c r="G341" s="11"/>
      <c r="H341" s="10" t="s">
        <v>706</v>
      </c>
      <c r="I341" s="11"/>
      <c r="J341" s="10" t="s">
        <v>707</v>
      </c>
      <c r="K341" s="11"/>
      <c r="L341" s="10"/>
      <c r="M341" s="10" t="s">
        <v>706</v>
      </c>
      <c r="N341" s="11"/>
    </row>
    <row r="342" ht="14.25" customHeight="1">
      <c r="A342" s="10" t="s">
        <v>2992</v>
      </c>
      <c r="B342" s="12">
        <v>1.0</v>
      </c>
      <c r="C342" s="11"/>
      <c r="D342" s="10" t="s">
        <v>2829</v>
      </c>
      <c r="E342" s="11"/>
      <c r="F342" s="10" t="s">
        <v>2830</v>
      </c>
      <c r="G342" s="11"/>
      <c r="H342" s="10" t="s">
        <v>706</v>
      </c>
      <c r="I342" s="11"/>
      <c r="J342" s="10" t="s">
        <v>707</v>
      </c>
      <c r="K342" s="11"/>
      <c r="L342" s="10"/>
      <c r="M342" s="10" t="s">
        <v>2830</v>
      </c>
      <c r="N342" s="11"/>
    </row>
    <row r="343" ht="14.25" customHeight="1">
      <c r="A343" s="10" t="s">
        <v>2993</v>
      </c>
      <c r="B343" s="12">
        <v>1.0</v>
      </c>
      <c r="C343" s="11"/>
      <c r="D343" s="10" t="s">
        <v>2829</v>
      </c>
      <c r="E343" s="11"/>
      <c r="F343" s="10" t="s">
        <v>2830</v>
      </c>
      <c r="G343" s="11"/>
      <c r="H343" s="10" t="s">
        <v>706</v>
      </c>
      <c r="I343" s="11"/>
      <c r="J343" s="10" t="s">
        <v>707</v>
      </c>
      <c r="K343" s="11"/>
      <c r="L343" s="10"/>
      <c r="M343" s="10" t="s">
        <v>2829</v>
      </c>
      <c r="N343" s="10" t="s">
        <v>707</v>
      </c>
    </row>
    <row r="344" ht="14.25" customHeight="1">
      <c r="A344" s="10" t="s">
        <v>2994</v>
      </c>
      <c r="B344" s="12">
        <v>1.0</v>
      </c>
      <c r="C344" s="11"/>
      <c r="D344" s="10" t="s">
        <v>2829</v>
      </c>
      <c r="E344" s="11"/>
      <c r="F344" s="10" t="s">
        <v>2830</v>
      </c>
      <c r="G344" s="11"/>
      <c r="H344" s="10" t="s">
        <v>706</v>
      </c>
      <c r="I344" s="11"/>
      <c r="J344" s="10" t="s">
        <v>707</v>
      </c>
      <c r="K344" s="11"/>
      <c r="L344" s="10"/>
      <c r="M344" s="10" t="s">
        <v>2829</v>
      </c>
      <c r="N344" s="11"/>
    </row>
    <row r="345" ht="14.25" customHeight="1">
      <c r="A345" s="10" t="s">
        <v>2995</v>
      </c>
      <c r="B345" s="12">
        <v>1.0</v>
      </c>
      <c r="C345" s="11"/>
      <c r="D345" s="10" t="s">
        <v>2829</v>
      </c>
      <c r="E345" s="11"/>
      <c r="F345" s="10" t="s">
        <v>2830</v>
      </c>
      <c r="G345" s="11"/>
      <c r="H345" s="10" t="s">
        <v>706</v>
      </c>
      <c r="I345" s="11"/>
      <c r="J345" s="10" t="s">
        <v>707</v>
      </c>
      <c r="K345" s="11"/>
      <c r="L345" s="10"/>
      <c r="M345" s="10" t="s">
        <v>2829</v>
      </c>
      <c r="N345" s="11"/>
    </row>
    <row r="346" ht="14.25" customHeight="1">
      <c r="A346" s="10" t="s">
        <v>2996</v>
      </c>
      <c r="B346" s="12">
        <v>1.0</v>
      </c>
      <c r="C346" s="11"/>
      <c r="D346" s="10" t="s">
        <v>2829</v>
      </c>
      <c r="E346" s="11"/>
      <c r="F346" s="10" t="s">
        <v>2830</v>
      </c>
      <c r="G346" s="11"/>
      <c r="H346" s="10" t="s">
        <v>706</v>
      </c>
      <c r="I346" s="11"/>
      <c r="J346" s="10" t="s">
        <v>707</v>
      </c>
      <c r="K346" s="11"/>
      <c r="L346" s="10"/>
      <c r="M346" s="10" t="s">
        <v>2830</v>
      </c>
      <c r="N346" s="11"/>
    </row>
    <row r="347" ht="14.25" customHeight="1">
      <c r="A347" s="10" t="s">
        <v>2997</v>
      </c>
      <c r="B347" s="12">
        <v>1.0</v>
      </c>
      <c r="C347" s="11"/>
      <c r="D347" s="10" t="s">
        <v>2829</v>
      </c>
      <c r="E347" s="11"/>
      <c r="F347" s="10" t="s">
        <v>2830</v>
      </c>
      <c r="G347" s="11"/>
      <c r="H347" s="10" t="s">
        <v>706</v>
      </c>
      <c r="I347" s="11"/>
      <c r="J347" s="10" t="s">
        <v>707</v>
      </c>
      <c r="K347" s="11"/>
      <c r="L347" s="10"/>
      <c r="M347" s="10" t="s">
        <v>2829</v>
      </c>
      <c r="N347" s="10" t="s">
        <v>2830</v>
      </c>
    </row>
    <row r="348" ht="14.25" customHeight="1">
      <c r="A348" s="10" t="s">
        <v>2998</v>
      </c>
      <c r="B348" s="12">
        <v>1.0</v>
      </c>
      <c r="C348" s="11"/>
      <c r="D348" s="10" t="s">
        <v>2852</v>
      </c>
      <c r="E348" s="11"/>
      <c r="F348" s="10" t="s">
        <v>2999</v>
      </c>
      <c r="G348" s="11"/>
      <c r="H348" s="10" t="s">
        <v>2851</v>
      </c>
      <c r="I348" s="11"/>
      <c r="J348" s="10" t="s">
        <v>707</v>
      </c>
      <c r="K348" s="11"/>
      <c r="L348" s="10"/>
      <c r="M348" s="10" t="s">
        <v>2852</v>
      </c>
      <c r="N348" s="10" t="s">
        <v>707</v>
      </c>
    </row>
    <row r="349" ht="14.25" customHeight="1">
      <c r="A349" s="10" t="s">
        <v>3000</v>
      </c>
      <c r="B349" s="12">
        <v>1.0</v>
      </c>
      <c r="C349" s="11"/>
      <c r="D349" s="10" t="s">
        <v>2829</v>
      </c>
      <c r="E349" s="11"/>
      <c r="F349" s="10" t="s">
        <v>2830</v>
      </c>
      <c r="G349" s="11"/>
      <c r="H349" s="10" t="s">
        <v>706</v>
      </c>
      <c r="I349" s="11"/>
      <c r="J349" s="10" t="s">
        <v>707</v>
      </c>
      <c r="K349" s="11"/>
      <c r="L349" s="10"/>
      <c r="M349" s="10" t="s">
        <v>2829</v>
      </c>
      <c r="N349" s="11"/>
    </row>
    <row r="350" ht="14.25" customHeight="1">
      <c r="A350" s="10" t="s">
        <v>3001</v>
      </c>
      <c r="B350" s="12">
        <v>0.0</v>
      </c>
      <c r="C350" s="11"/>
      <c r="D350" s="10" t="s">
        <v>2842</v>
      </c>
      <c r="E350" s="11"/>
      <c r="F350" s="10" t="s">
        <v>2844</v>
      </c>
      <c r="G350" s="11"/>
      <c r="H350" s="10" t="s">
        <v>3002</v>
      </c>
      <c r="I350" s="11"/>
      <c r="J350" s="10" t="s">
        <v>2843</v>
      </c>
      <c r="K350" s="11"/>
      <c r="L350" s="10"/>
      <c r="M350" s="10" t="s">
        <v>3002</v>
      </c>
    </row>
    <row r="351" ht="14.25" customHeight="1">
      <c r="A351" s="10" t="s">
        <v>3003</v>
      </c>
      <c r="B351" s="12">
        <v>1.0</v>
      </c>
      <c r="C351" s="11"/>
      <c r="D351" s="10" t="s">
        <v>2834</v>
      </c>
      <c r="E351" s="10" t="s">
        <v>2981</v>
      </c>
      <c r="F351" s="10" t="s">
        <v>2835</v>
      </c>
      <c r="G351" s="10" t="s">
        <v>2982</v>
      </c>
      <c r="H351" s="10" t="s">
        <v>2851</v>
      </c>
      <c r="I351" s="10" t="s">
        <v>2983</v>
      </c>
      <c r="J351" s="10" t="s">
        <v>707</v>
      </c>
      <c r="K351" s="11"/>
      <c r="L351" s="10"/>
      <c r="M351" s="10" t="s">
        <v>2834</v>
      </c>
      <c r="N351" s="10" t="s">
        <v>2981</v>
      </c>
    </row>
    <row r="352" ht="14.25" customHeight="1">
      <c r="A352" s="10" t="s">
        <v>3004</v>
      </c>
      <c r="B352" s="12">
        <v>1.0</v>
      </c>
      <c r="C352" s="11"/>
      <c r="D352" s="10" t="s">
        <v>2829</v>
      </c>
      <c r="E352" s="11"/>
      <c r="F352" s="10" t="s">
        <v>2830</v>
      </c>
      <c r="G352" s="11"/>
      <c r="H352" s="10" t="s">
        <v>706</v>
      </c>
      <c r="I352" s="11"/>
      <c r="J352" s="10" t="s">
        <v>707</v>
      </c>
      <c r="K352" s="11"/>
      <c r="L352" s="10"/>
      <c r="M352" s="10" t="s">
        <v>2830</v>
      </c>
      <c r="N352" s="11"/>
    </row>
    <row r="353" ht="14.25" customHeight="1">
      <c r="A353" s="10" t="s">
        <v>3005</v>
      </c>
      <c r="B353" s="12">
        <v>1.0</v>
      </c>
      <c r="C353" s="11"/>
      <c r="D353" s="10" t="s">
        <v>2829</v>
      </c>
      <c r="E353" s="11"/>
      <c r="F353" s="10" t="s">
        <v>2830</v>
      </c>
      <c r="G353" s="11"/>
      <c r="H353" s="10" t="s">
        <v>706</v>
      </c>
      <c r="I353" s="11"/>
      <c r="J353" s="10" t="s">
        <v>707</v>
      </c>
      <c r="K353" s="11"/>
      <c r="L353" s="10"/>
      <c r="M353" s="10" t="s">
        <v>2830</v>
      </c>
      <c r="N353" s="11"/>
    </row>
    <row r="354" ht="14.25" customHeight="1">
      <c r="A354" s="10" t="s">
        <v>3006</v>
      </c>
      <c r="B354" s="12">
        <v>0.0</v>
      </c>
      <c r="C354" s="11"/>
      <c r="D354" s="10" t="s">
        <v>2834</v>
      </c>
      <c r="E354" s="11"/>
      <c r="F354" s="10" t="s">
        <v>2835</v>
      </c>
      <c r="G354" s="11"/>
      <c r="H354" s="10" t="s">
        <v>2851</v>
      </c>
      <c r="I354" s="11"/>
      <c r="J354" s="10" t="s">
        <v>707</v>
      </c>
      <c r="K354" s="11"/>
      <c r="L354" s="10"/>
      <c r="M354" s="10" t="s">
        <v>2835</v>
      </c>
      <c r="N354" s="11"/>
    </row>
    <row r="355" ht="14.25" customHeight="1">
      <c r="A355" s="10" t="s">
        <v>3007</v>
      </c>
      <c r="B355" s="12">
        <v>1.0</v>
      </c>
      <c r="C355" s="11"/>
      <c r="D355" s="10" t="s">
        <v>2829</v>
      </c>
      <c r="E355" s="11"/>
      <c r="F355" s="10" t="s">
        <v>2830</v>
      </c>
      <c r="G355" s="11"/>
      <c r="H355" s="10" t="s">
        <v>706</v>
      </c>
      <c r="I355" s="11"/>
      <c r="J355" s="10" t="s">
        <v>707</v>
      </c>
      <c r="K355" s="11"/>
      <c r="L355" s="10"/>
      <c r="M355" s="10" t="s">
        <v>2830</v>
      </c>
      <c r="N355" s="11"/>
    </row>
    <row r="356" ht="14.25" customHeight="1">
      <c r="A356" s="10" t="s">
        <v>3008</v>
      </c>
      <c r="B356" s="12">
        <v>1.0</v>
      </c>
      <c r="C356" s="11"/>
      <c r="D356" s="10" t="s">
        <v>2834</v>
      </c>
      <c r="E356" s="10" t="s">
        <v>2981</v>
      </c>
      <c r="F356" s="10" t="s">
        <v>2835</v>
      </c>
      <c r="G356" s="10" t="s">
        <v>2982</v>
      </c>
      <c r="H356" s="10" t="s">
        <v>2851</v>
      </c>
      <c r="I356" s="10" t="s">
        <v>2983</v>
      </c>
      <c r="J356" s="10" t="s">
        <v>707</v>
      </c>
      <c r="K356" s="11"/>
      <c r="L356" s="10"/>
      <c r="M356" s="10" t="s">
        <v>2834</v>
      </c>
      <c r="N356" s="10" t="s">
        <v>2981</v>
      </c>
    </row>
    <row r="357" ht="14.25" customHeight="1">
      <c r="A357" s="10" t="s">
        <v>3009</v>
      </c>
      <c r="B357" s="12">
        <v>0.0</v>
      </c>
      <c r="C357" s="11"/>
      <c r="D357" s="10" t="s">
        <v>2829</v>
      </c>
      <c r="E357" s="11"/>
      <c r="F357" s="10" t="s">
        <v>2830</v>
      </c>
      <c r="G357" s="11"/>
      <c r="H357" s="10" t="s">
        <v>706</v>
      </c>
      <c r="I357" s="11"/>
      <c r="J357" s="10" t="s">
        <v>707</v>
      </c>
      <c r="K357" s="11"/>
      <c r="L357" s="10"/>
      <c r="M357" s="10" t="s">
        <v>706</v>
      </c>
      <c r="N357" s="11"/>
    </row>
    <row r="358" ht="14.25" customHeight="1">
      <c r="A358" s="10" t="s">
        <v>3010</v>
      </c>
      <c r="B358" s="12">
        <v>1.0</v>
      </c>
      <c r="C358" s="11"/>
      <c r="D358" s="10" t="s">
        <v>2829</v>
      </c>
      <c r="E358" s="11"/>
      <c r="F358" s="10" t="s">
        <v>2830</v>
      </c>
      <c r="G358" s="11"/>
      <c r="H358" s="10" t="s">
        <v>706</v>
      </c>
      <c r="I358" s="11"/>
      <c r="J358" s="10" t="s">
        <v>707</v>
      </c>
      <c r="K358" s="11"/>
      <c r="L358" s="10"/>
      <c r="M358" s="10" t="s">
        <v>2829</v>
      </c>
      <c r="N358" s="11"/>
    </row>
    <row r="359" ht="14.25" customHeight="1">
      <c r="A359" s="10" t="s">
        <v>3011</v>
      </c>
      <c r="B359" s="12">
        <v>1.0</v>
      </c>
      <c r="C359" s="11"/>
      <c r="D359" s="10" t="s">
        <v>2829</v>
      </c>
      <c r="E359" s="11"/>
      <c r="F359" s="10" t="s">
        <v>2830</v>
      </c>
      <c r="G359" s="11"/>
      <c r="H359" s="10" t="s">
        <v>706</v>
      </c>
      <c r="I359" s="11"/>
      <c r="J359" s="10" t="s">
        <v>707</v>
      </c>
      <c r="K359" s="11"/>
      <c r="L359" s="10"/>
      <c r="M359" s="10" t="s">
        <v>2830</v>
      </c>
      <c r="N359" s="11"/>
    </row>
    <row r="360" ht="14.25" customHeight="1">
      <c r="A360" s="10" t="s">
        <v>3012</v>
      </c>
      <c r="B360" s="12">
        <v>0.0</v>
      </c>
      <c r="C360" s="11"/>
      <c r="D360" s="10" t="s">
        <v>2834</v>
      </c>
      <c r="E360" s="11"/>
      <c r="F360" s="10" t="s">
        <v>2835</v>
      </c>
      <c r="G360" s="11"/>
      <c r="H360" s="10" t="s">
        <v>2851</v>
      </c>
      <c r="I360" s="11"/>
      <c r="J360" s="10" t="s">
        <v>707</v>
      </c>
      <c r="K360" s="11"/>
      <c r="L360" s="10"/>
      <c r="M360" s="10" t="s">
        <v>2834</v>
      </c>
      <c r="N360" s="11"/>
    </row>
    <row r="361" ht="14.25" customHeight="1">
      <c r="A361" s="10" t="s">
        <v>3013</v>
      </c>
      <c r="B361" s="12">
        <v>1.0</v>
      </c>
      <c r="C361" s="11"/>
      <c r="D361" s="10" t="s">
        <v>2829</v>
      </c>
      <c r="E361" s="11"/>
      <c r="F361" s="10" t="s">
        <v>2830</v>
      </c>
      <c r="G361" s="11"/>
      <c r="H361" s="10" t="s">
        <v>706</v>
      </c>
      <c r="I361" s="11"/>
      <c r="J361" s="10" t="s">
        <v>707</v>
      </c>
      <c r="K361" s="11"/>
      <c r="L361" s="10"/>
      <c r="M361" s="10" t="s">
        <v>2830</v>
      </c>
      <c r="N361" s="11"/>
    </row>
    <row r="362" ht="14.25" customHeight="1">
      <c r="A362" s="10" t="s">
        <v>3014</v>
      </c>
      <c r="B362" s="12">
        <v>1.0</v>
      </c>
      <c r="C362" s="11"/>
      <c r="D362" s="10" t="s">
        <v>2829</v>
      </c>
      <c r="E362" s="11"/>
      <c r="F362" s="10" t="s">
        <v>2830</v>
      </c>
      <c r="G362" s="11"/>
      <c r="H362" s="10" t="s">
        <v>706</v>
      </c>
      <c r="I362" s="11"/>
      <c r="J362" s="10" t="s">
        <v>707</v>
      </c>
      <c r="K362" s="11"/>
      <c r="L362" s="10"/>
      <c r="M362" s="10" t="s">
        <v>2829</v>
      </c>
      <c r="N362" s="10" t="s">
        <v>2830</v>
      </c>
    </row>
    <row r="363" ht="14.25" customHeight="1">
      <c r="A363" s="10" t="s">
        <v>3015</v>
      </c>
      <c r="B363" s="12">
        <v>0.0</v>
      </c>
      <c r="C363" s="11"/>
      <c r="D363" s="10" t="s">
        <v>2834</v>
      </c>
      <c r="E363" s="11"/>
      <c r="F363" s="10" t="s">
        <v>2835</v>
      </c>
      <c r="G363" s="11"/>
      <c r="H363" s="10" t="s">
        <v>2851</v>
      </c>
      <c r="I363" s="11"/>
      <c r="J363" s="10" t="s">
        <v>707</v>
      </c>
      <c r="K363" s="11"/>
      <c r="L363" s="10"/>
      <c r="M363" s="10" t="s">
        <v>2834</v>
      </c>
      <c r="N363" s="11"/>
    </row>
    <row r="364" ht="14.25" customHeight="1">
      <c r="A364" s="10" t="s">
        <v>3010</v>
      </c>
      <c r="B364" s="12">
        <v>1.0</v>
      </c>
      <c r="C364" s="11"/>
      <c r="D364" s="10" t="s">
        <v>2829</v>
      </c>
      <c r="E364" s="11"/>
      <c r="F364" s="10" t="s">
        <v>2830</v>
      </c>
      <c r="G364" s="11"/>
      <c r="H364" s="10" t="s">
        <v>706</v>
      </c>
      <c r="I364" s="11"/>
      <c r="J364" s="10" t="s">
        <v>707</v>
      </c>
      <c r="K364" s="11"/>
      <c r="L364" s="10"/>
      <c r="M364" s="10" t="s">
        <v>2829</v>
      </c>
      <c r="N364" s="11"/>
    </row>
    <row r="365" ht="14.25" customHeight="1">
      <c r="A365" s="10" t="s">
        <v>3011</v>
      </c>
      <c r="B365" s="12">
        <v>1.0</v>
      </c>
      <c r="C365" s="11"/>
      <c r="D365" s="10" t="s">
        <v>2829</v>
      </c>
      <c r="E365" s="11"/>
      <c r="F365" s="10" t="s">
        <v>2830</v>
      </c>
      <c r="G365" s="11"/>
      <c r="H365" s="10" t="s">
        <v>706</v>
      </c>
      <c r="I365" s="11"/>
      <c r="J365" s="10" t="s">
        <v>707</v>
      </c>
      <c r="K365" s="11"/>
      <c r="L365" s="10"/>
      <c r="M365" s="10" t="s">
        <v>2830</v>
      </c>
      <c r="N365" s="11"/>
    </row>
    <row r="366" ht="14.25" customHeight="1">
      <c r="A366" s="10" t="s">
        <v>3012</v>
      </c>
      <c r="B366" s="12">
        <v>0.0</v>
      </c>
      <c r="C366" s="11"/>
      <c r="D366" s="10" t="s">
        <v>2834</v>
      </c>
      <c r="E366" s="11"/>
      <c r="F366" s="10" t="s">
        <v>2835</v>
      </c>
      <c r="G366" s="11"/>
      <c r="H366" s="10" t="s">
        <v>2851</v>
      </c>
      <c r="I366" s="11"/>
      <c r="J366" s="10" t="s">
        <v>707</v>
      </c>
      <c r="K366" s="11"/>
      <c r="L366" s="10"/>
      <c r="M366" s="10" t="s">
        <v>2834</v>
      </c>
      <c r="N366" s="11"/>
    </row>
    <row r="367" ht="14.25" customHeight="1">
      <c r="A367" s="10" t="s">
        <v>3013</v>
      </c>
      <c r="B367" s="12">
        <v>1.0</v>
      </c>
      <c r="C367" s="11"/>
      <c r="D367" s="10" t="s">
        <v>2829</v>
      </c>
      <c r="E367" s="11"/>
      <c r="F367" s="10" t="s">
        <v>2830</v>
      </c>
      <c r="G367" s="11"/>
      <c r="H367" s="10" t="s">
        <v>706</v>
      </c>
      <c r="I367" s="11"/>
      <c r="J367" s="10" t="s">
        <v>707</v>
      </c>
      <c r="K367" s="11"/>
      <c r="L367" s="10"/>
      <c r="M367" s="10" t="s">
        <v>2830</v>
      </c>
      <c r="N367" s="11"/>
    </row>
    <row r="368" ht="14.25" customHeight="1">
      <c r="A368" s="10" t="s">
        <v>3014</v>
      </c>
      <c r="B368" s="12">
        <v>1.0</v>
      </c>
      <c r="C368" s="11"/>
      <c r="D368" s="10" t="s">
        <v>2829</v>
      </c>
      <c r="E368" s="11"/>
      <c r="F368" s="10" t="s">
        <v>2830</v>
      </c>
      <c r="G368" s="11"/>
      <c r="H368" s="10" t="s">
        <v>706</v>
      </c>
      <c r="I368" s="11"/>
      <c r="J368" s="10" t="s">
        <v>707</v>
      </c>
      <c r="K368" s="11"/>
      <c r="L368" s="10"/>
      <c r="M368" s="10" t="s">
        <v>2829</v>
      </c>
      <c r="N368" s="10" t="s">
        <v>2830</v>
      </c>
    </row>
    <row r="369" ht="14.25" customHeight="1">
      <c r="A369" s="10" t="s">
        <v>3015</v>
      </c>
      <c r="B369" s="12">
        <v>0.0</v>
      </c>
      <c r="C369" s="11"/>
      <c r="D369" s="10" t="s">
        <v>2834</v>
      </c>
      <c r="E369" s="11"/>
      <c r="F369" s="10" t="s">
        <v>2835</v>
      </c>
      <c r="G369" s="11"/>
      <c r="H369" s="10" t="s">
        <v>2851</v>
      </c>
      <c r="I369" s="11"/>
      <c r="J369" s="10" t="s">
        <v>707</v>
      </c>
      <c r="K369" s="11"/>
      <c r="L369" s="10"/>
      <c r="M369" s="10" t="s">
        <v>2834</v>
      </c>
      <c r="N369" s="11"/>
    </row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M213:N213"/>
    <mergeCell ref="M240:N240"/>
    <mergeCell ref="M241:N241"/>
    <mergeCell ref="M260:N260"/>
    <mergeCell ref="M270:N270"/>
    <mergeCell ref="M271:N271"/>
    <mergeCell ref="D276:E276"/>
    <mergeCell ref="J328:K328"/>
    <mergeCell ref="M328:N328"/>
    <mergeCell ref="M339:N339"/>
    <mergeCell ref="M350:N350"/>
    <mergeCell ref="M273:N273"/>
    <mergeCell ref="M276:N276"/>
    <mergeCell ref="M288:N288"/>
    <mergeCell ref="M297:N297"/>
    <mergeCell ref="M302:N302"/>
    <mergeCell ref="M303:N303"/>
    <mergeCell ref="M319:N319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4.29"/>
    <col customWidth="1" min="2" max="2" width="80.71"/>
    <col customWidth="1" min="3" max="3" width="80.86"/>
    <col customWidth="1" min="4" max="4" width="43.71"/>
    <col customWidth="1" min="5" max="5" width="70.86"/>
    <col customWidth="1" min="6" max="12" width="8.71"/>
    <col customWidth="1" min="13" max="13" width="75.86"/>
    <col customWidth="1" min="14" max="14" width="89.86"/>
    <col customWidth="1" min="15" max="15" width="51.29"/>
    <col customWidth="1" min="16" max="26" width="8.71"/>
  </cols>
  <sheetData>
    <row r="1" ht="14.25" customHeight="1">
      <c r="A1" s="13" t="s">
        <v>5</v>
      </c>
      <c r="B1" s="13" t="s">
        <v>1</v>
      </c>
      <c r="C1" s="13" t="s">
        <v>1181</v>
      </c>
      <c r="D1" s="13" t="s">
        <v>701</v>
      </c>
      <c r="E1" s="13" t="s">
        <v>4</v>
      </c>
      <c r="M1" s="14" t="s">
        <v>1</v>
      </c>
      <c r="N1" s="14" t="s">
        <v>1181</v>
      </c>
      <c r="O1" s="14" t="s">
        <v>701</v>
      </c>
    </row>
    <row r="2" ht="14.25" customHeight="1">
      <c r="A2" s="13">
        <v>1.0</v>
      </c>
      <c r="B2" s="15" t="s">
        <v>3016</v>
      </c>
      <c r="C2" s="15" t="s">
        <v>11</v>
      </c>
      <c r="D2" s="15" t="s">
        <v>12</v>
      </c>
      <c r="E2" s="15" t="s">
        <v>13</v>
      </c>
      <c r="M2" s="16" t="str">
        <f>IFERROR(__xludf.DUMMYFUNCTION("GOOGLETRANSLATE(B2, ""th"", ""en"")"),"You notice that your teammates in Sepak Takraw look tired. What do you do?")</f>
        <v>You notice that your teammates in Sepak Takraw look tired. What do you do?</v>
      </c>
      <c r="N2" s="16" t="str">
        <f>IFERROR(__xludf.DUMMYFUNCTION("GOOGLETRANSLATE(C2, ""th"", ""en"")"),"A) Take the lead and motivate the team; B) Slow down; C) Maintain a rhythm and observe; D) Consult the coach.")</f>
        <v>A) Take the lead and motivate the team; B) Slow down; C) Maintain a rhythm and observe; D) Consult the coach.</v>
      </c>
      <c r="O2" s="16" t="str">
        <f>IFERROR(__xludf.DUMMYFUNCTION("GOOGLETRANSLATE(D2, ""th"", ""en"")"),"A) Take on leadership roles and motivate the team.")</f>
        <v>A) Take on leadership roles and motivate the team.</v>
      </c>
    </row>
    <row r="3" ht="14.25" customHeight="1">
      <c r="A3" s="13">
        <v>2.0</v>
      </c>
      <c r="B3" s="15" t="s">
        <v>3017</v>
      </c>
      <c r="C3" s="15" t="s">
        <v>15</v>
      </c>
      <c r="D3" s="15" t="s">
        <v>16</v>
      </c>
      <c r="E3" s="15" t="s">
        <v>17</v>
      </c>
      <c r="M3" s="16" t="str">
        <f>IFERROR(__xludf.DUMMYFUNCTION("GOOGLETRANSLATE(B3, ""th"", ""en"")"),"The coach asks you to lead the team in singing a cheer song. What do you do?")</f>
        <v>The coach asks you to lead the team in singing a cheer song. What do you do?</v>
      </c>
      <c r="N3" s="16" t="str">
        <f>IFERROR(__xludf.DUMMYFUNCTION("GOOGLETRANSLATE(C3, ""th"", ""en"")"),"A) Refuse; B) Choose easy songs; C) Sing without energy; D) Write a new, complex song.")</f>
        <v>A) Refuse; B) Choose easy songs; C) Sing without energy; D) Write a new, complex song.</v>
      </c>
      <c r="O3" s="16" t="str">
        <f>IFERROR(__xludf.DUMMYFUNCTION("GOOGLETRANSLATE(D3, ""th"", ""en"")"),"B) Choose an easy song.")</f>
        <v>B) Choose an easy song.</v>
      </c>
    </row>
    <row r="4" ht="14.25" customHeight="1">
      <c r="A4" s="13">
        <v>3.0</v>
      </c>
      <c r="B4" s="15" t="s">
        <v>3018</v>
      </c>
      <c r="C4" s="15" t="s">
        <v>2092</v>
      </c>
      <c r="D4" s="15" t="s">
        <v>20</v>
      </c>
      <c r="E4" s="15" t="s">
        <v>2093</v>
      </c>
      <c r="M4" s="16" t="str">
        <f>IFERROR(__xludf.DUMMYFUNCTION("GOOGLETRANSLATE(B4, ""th"", ""en"")"),"While playing sepak takraw, you notice that the circles are not the same size. What do you do?")</f>
        <v>While playing sepak takraw, you notice that the circles are not the same size. What do you do?</v>
      </c>
      <c r="N4" s="16" t="str">
        <f>IFERROR(__xludf.DUMMYFUNCTION("GOOGLETRANSLATE(C4, ""th"", ""en"")"),"A) Adjust your position immediately; B) Ignore and continue playing; C) Notify the coach; D) Walk out of the circle.")</f>
        <v>A) Adjust your position immediately; B) Ignore and continue playing; C) Notify the coach; D) Walk out of the circle.</v>
      </c>
      <c r="O4" s="16" t="str">
        <f>IFERROR(__xludf.DUMMYFUNCTION("GOOGLETRANSLATE(D4, ""th"", ""en"")"),"A) Adjust your position immediately.")</f>
        <v>A) Adjust your position immediately.</v>
      </c>
    </row>
    <row r="5" ht="14.25" customHeight="1">
      <c r="A5" s="13">
        <v>4.0</v>
      </c>
      <c r="B5" s="15" t="s">
        <v>2094</v>
      </c>
      <c r="C5" s="15" t="s">
        <v>23</v>
      </c>
      <c r="D5" s="15" t="s">
        <v>24</v>
      </c>
      <c r="E5" s="15" t="s">
        <v>25</v>
      </c>
      <c r="M5" s="16" t="str">
        <f>IFERROR(__xludf.DUMMYFUNCTION("GOOGLETRANSLATE(B5, ""th"", ""en"")"),"A teammate makes a mistake during a play. What do you do?")</f>
        <v>A teammate makes a mistake during a play. What do you do?</v>
      </c>
      <c r="N5" s="16" t="str">
        <f>IFERROR(__xludf.DUMMYFUNCTION("GOOGLETRANSLATE(C5, ""th"", ""en"")"),"A) Help him quietly; B) Reprimand him loudly; C) Continue playing normally; D) Stop the game.")</f>
        <v>A) Help him quietly; B) Reprimand him loudly; C) Continue playing normally; D) Stop the game.</v>
      </c>
      <c r="O5" s="16" t="str">
        <f>IFERROR(__xludf.DUMMYFUNCTION("GOOGLETRANSLATE(D5, ""th"", ""en"")"),"A) Help him quietly.")</f>
        <v>A) Help him quietly.</v>
      </c>
    </row>
    <row r="6" ht="14.25" customHeight="1">
      <c r="A6" s="13">
        <v>5.0</v>
      </c>
      <c r="B6" s="15" t="s">
        <v>3019</v>
      </c>
      <c r="C6" s="15" t="s">
        <v>2096</v>
      </c>
      <c r="D6" s="15" t="s">
        <v>2097</v>
      </c>
      <c r="E6" s="15" t="s">
        <v>2098</v>
      </c>
      <c r="M6" s="16" t="str">
        <f>IFERROR(__xludf.DUMMYFUNCTION("GOOGLETRANSLATE(B6, ""th"", ""en"")"),"The sepak takraw ball hits you and disrupts your rhythm. What should you do?")</f>
        <v>The sepak takraw ball hits you and disrupts your rhythm. What should you do?</v>
      </c>
      <c r="N6" s="16" t="str">
        <f>IFERROR(__xludf.DUMMYFUNCTION("GOOGLETRANSLATE(C6, ""th"", ""en"")"),"A) Apologize to the team and try to fix it; B) Ignore it; C) Blame your teammates; D) Stop playing.")</f>
        <v>A) Apologize to the team and try to fix it; B) Ignore it; C) Blame your teammates; D) Stop playing.</v>
      </c>
      <c r="O6" s="16" t="str">
        <f>IFERROR(__xludf.DUMMYFUNCTION("GOOGLETRANSLATE(D6, ""th"", ""en"")"),"A) Apologize to the team and try to fix it.")</f>
        <v>A) Apologize to the team and try to fix it.</v>
      </c>
    </row>
    <row r="7" ht="14.25" customHeight="1">
      <c r="A7" s="13">
        <v>6.0</v>
      </c>
      <c r="B7" s="15" t="s">
        <v>3020</v>
      </c>
      <c r="C7" s="15" t="s">
        <v>3021</v>
      </c>
      <c r="D7" s="15" t="s">
        <v>3022</v>
      </c>
      <c r="E7" s="15" t="s">
        <v>3023</v>
      </c>
      <c r="M7" s="16" t="str">
        <f>IFERROR(__xludf.DUMMYFUNCTION("GOOGLETRANSLATE(B7, ""th"", ""en"")"),"The opposing team is playing too aggressively. How do you respond?")</f>
        <v>The opposing team is playing too aggressively. How do you respond?</v>
      </c>
      <c r="N7" s="16" t="str">
        <f>IFERROR(__xludf.DUMMYFUNCTION("GOOGLETRANSLATE(C7, ""th"", ""en"")"),"A) Play offensively; B) Keep the peace; C) Dispute with the referee; D) Withdraw from the game.")</f>
        <v>A) Play offensively; B) Keep the peace; C) Dispute with the referee; D) Withdraw from the game.</v>
      </c>
      <c r="O7" s="16" t="str">
        <f>IFERROR(__xludf.DUMMYFUNCTION("GOOGLETRANSLATE(D7, ""th"", ""en"")"),"B) Maintain peace")</f>
        <v>B) Maintain peace</v>
      </c>
    </row>
    <row r="8" ht="14.25" customHeight="1">
      <c r="A8" s="13">
        <v>7.0</v>
      </c>
      <c r="B8" s="15" t="s">
        <v>3024</v>
      </c>
      <c r="C8" s="15" t="s">
        <v>3025</v>
      </c>
      <c r="D8" s="15" t="s">
        <v>3026</v>
      </c>
      <c r="E8" s="15" t="s">
        <v>3027</v>
      </c>
      <c r="M8" s="16" t="str">
        <f>IFERROR(__xludf.DUMMYFUNCTION("GOOGLETRANSLATE(B8, ""th"", ""en"")"),"A player on the team is injured, what will you do?")</f>
        <v>A player on the team is injured, what will you do?</v>
      </c>
      <c r="N8" s="16" t="str">
        <f>IFERROR(__xludf.DUMMYFUNCTION("GOOGLETRANSLATE(C8, ""th"", ""en"")"),"A) Ignore him and continue playing; B) Ask for a break and check on his teammate; C) Celebrate his mistake; D) Leave the field.")</f>
        <v>A) Ignore him and continue playing; B) Ask for a break and check on his teammate; C) Celebrate his mistake; D) Leave the field.</v>
      </c>
      <c r="O8" s="16" t="str">
        <f>IFERROR(__xludf.DUMMYFUNCTION("GOOGLETRANSLATE(D8, ""th"", ""en"")"),"B) Ask for time to stop and observe your friend's condition.")</f>
        <v>B) Ask for time to stop and observe your friend's condition.</v>
      </c>
    </row>
    <row r="9" ht="14.25" customHeight="1">
      <c r="A9" s="13">
        <v>8.0</v>
      </c>
      <c r="B9" s="15" t="s">
        <v>3028</v>
      </c>
      <c r="C9" s="15" t="s">
        <v>3029</v>
      </c>
      <c r="D9" s="15" t="s">
        <v>3030</v>
      </c>
      <c r="E9" s="15" t="s">
        <v>3031</v>
      </c>
      <c r="M9" s="16" t="str">
        <f>IFERROR(__xludf.DUMMYFUNCTION("GOOGLETRANSLATE(B9, ""th"", ""en"")"),"You were suddenly transferred to another position in the game, what would you do?")</f>
        <v>You were suddenly transferred to another position in the game, what would you do?</v>
      </c>
      <c r="N9" s="16" t="str">
        <f>IFERROR(__xludf.DUMMYFUNCTION("GOOGLETRANSLATE(C9, ""th"", ""en"")"),"A) complaining and being dissatisfied; B) training and adjusting; C) asking to change positions again; D) playing casually")</f>
        <v>A) complaining and being dissatisfied; B) training and adjusting; C) asking to change positions again; D) playing casually</v>
      </c>
      <c r="O9" s="16" t="str">
        <f>IFERROR(__xludf.DUMMYFUNCTION("GOOGLETRANSLATE(D9, ""th"", ""en"")"),"B) Practice and adapt.")</f>
        <v>B) Practice and adapt.</v>
      </c>
    </row>
    <row r="10" ht="14.25" customHeight="1">
      <c r="A10" s="13">
        <v>9.0</v>
      </c>
      <c r="B10" s="15" t="s">
        <v>3032</v>
      </c>
      <c r="C10" s="15" t="s">
        <v>3033</v>
      </c>
      <c r="D10" s="15" t="s">
        <v>3034</v>
      </c>
      <c r="E10" s="15" t="s">
        <v>3035</v>
      </c>
      <c r="M10" s="16" t="str">
        <f>IFERROR(__xludf.DUMMYFUNCTION("GOOGLETRANSLATE(B10, ""th"", ""en"")"),"The referee made a mistake in the game, what will you do?")</f>
        <v>The referee made a mistake in the game, what will you do?</v>
      </c>
      <c r="N10" s="16" t="str">
        <f>IFERROR(__xludf.DUMMYFUNCTION("GOOGLETRANSLATE(C10, ""th"", ""en"")"),"A) protest loudly; B) accept the decision; C) speak politely; D) ignore the situation.")</f>
        <v>A) protest loudly; B) accept the decision; C) speak politely; D) ignore the situation.</v>
      </c>
      <c r="O10" s="16" t="str">
        <f>IFERROR(__xludf.DUMMYFUNCTION("GOOGLETRANSLATE(D10, ""th"", ""en"")"),"C) Speak politely.")</f>
        <v>C) Speak politely.</v>
      </c>
    </row>
    <row r="11" ht="14.25" customHeight="1">
      <c r="A11" s="13">
        <v>10.0</v>
      </c>
      <c r="B11" s="15" t="s">
        <v>3036</v>
      </c>
      <c r="C11" s="15" t="s">
        <v>3037</v>
      </c>
      <c r="D11" s="15" t="s">
        <v>3038</v>
      </c>
      <c r="E11" s="15" t="s">
        <v>3039</v>
      </c>
      <c r="M11" s="16" t="str">
        <f>IFERROR(__xludf.DUMMYFUNCTION("GOOGLETRANSLATE(B11, ""th"", ""en"")"),"You have to serve a crucial ball in the game, what do you do?")</f>
        <v>You have to serve a crucial ball in the game, what do you do?</v>
      </c>
      <c r="N11" s="16" t="str">
        <f>IFERROR(__xludf.DUMMYFUNCTION("GOOGLETRANSLATE(C11, ""th"", ""en"")"),"A) Stay focused and give it your all; B) Serve quickly without thinking; C) Serve carelessly; D) Refusal to serve.")</f>
        <v>A) Stay focused and give it your all; B) Serve quickly without thinking; C) Serve carelessly; D) Refusal to serve.</v>
      </c>
      <c r="O11" s="16" t="str">
        <f>IFERROR(__xludf.DUMMYFUNCTION("GOOGLETRANSLATE(D11, ""th"", ""en"")"),"A) Stay focused and give it your all.")</f>
        <v>A) Stay focused and give it your all.</v>
      </c>
    </row>
    <row r="12" ht="14.25" customHeight="1">
      <c r="A12" s="13">
        <v>11.0</v>
      </c>
      <c r="B12" s="15" t="s">
        <v>3040</v>
      </c>
      <c r="C12" s="15" t="s">
        <v>3041</v>
      </c>
      <c r="D12" s="15" t="s">
        <v>3042</v>
      </c>
      <c r="E12" s="15" t="s">
        <v>3043</v>
      </c>
      <c r="M12" s="16" t="str">
        <f>IFERROR(__xludf.DUMMYFUNCTION("GOOGLETRANSLATE(B12, ""th"", ""en"")"),"The opposing team tries to pressure you by provoking you. What should you do?")</f>
        <v>The opposing team tries to pressure you by provoking you. What should you do?</v>
      </c>
      <c r="N12" s="16" t="str">
        <f>IFERROR(__xludf.DUMMYFUNCTION("GOOGLETRANSLATE(C12, ""th"", ""en"")"),"A) Respond immediately; B) Ignore and focus on the game; C) Leave the field; D) Provoke back with words.")</f>
        <v>A) Respond immediately; B) Ignore and focus on the game; C) Leave the field; D) Provoke back with words.</v>
      </c>
      <c r="O12" s="16" t="str">
        <f>IFERROR(__xludf.DUMMYFUNCTION("GOOGLETRANSLATE(D12, ""th"", ""en"")"),"B) Ignore and focus on the game.")</f>
        <v>B) Ignore and focus on the game.</v>
      </c>
    </row>
    <row r="13" ht="14.25" customHeight="1">
      <c r="A13" s="13">
        <v>12.0</v>
      </c>
      <c r="B13" s="15" t="s">
        <v>3044</v>
      </c>
      <c r="C13" s="15" t="s">
        <v>3045</v>
      </c>
      <c r="D13" s="15" t="s">
        <v>3046</v>
      </c>
      <c r="E13" s="15" t="s">
        <v>3047</v>
      </c>
      <c r="M13" s="16" t="str">
        <f>IFERROR(__xludf.DUMMYFUNCTION("GOOGLETRANSLATE(B13, ""th"", ""en"")"),"You see your teammates lacking confidence, what do you do?")</f>
        <v>You see your teammates lacking confidence, what do you do?</v>
      </c>
      <c r="N13" s="16" t="str">
        <f>IFERROR(__xludf.DUMMYFUNCTION("GOOGLETRANSLATE(C13, ""th"", ""en"")"),"A) Encourage him; B) Criticize him harshly; C) Ignore him; D) Ask him to take a break.")</f>
        <v>A) Encourage him; B) Criticize him harshly; C) Ignore him; D) Ask him to take a break.</v>
      </c>
      <c r="O13" s="16" t="str">
        <f>IFERROR(__xludf.DUMMYFUNCTION("GOOGLETRANSLATE(D13, ""th"", ""en"")"),"A) Encourage him.")</f>
        <v>A) Encourage him.</v>
      </c>
    </row>
    <row r="14" ht="14.25" customHeight="1">
      <c r="A14" s="13">
        <v>13.0</v>
      </c>
      <c r="B14" s="15" t="s">
        <v>3048</v>
      </c>
      <c r="C14" s="15" t="s">
        <v>3049</v>
      </c>
      <c r="D14" s="15" t="s">
        <v>3050</v>
      </c>
      <c r="E14" s="15" t="s">
        <v>3051</v>
      </c>
      <c r="M14" s="16" t="str">
        <f>IFERROR(__xludf.DUMMYFUNCTION("GOOGLETRANSLATE(B14, ""th"", ""en"")"),"The ball is served to you in a difficult situation, what do you do?")</f>
        <v>The ball is served to you in a difficult situation, what do you do?</v>
      </c>
      <c r="N14" s="16" t="str">
        <f>IFERROR(__xludf.DUMMYFUNCTION("GOOGLETRANSLATE(C14, ""th"", ""en"")"),"A) Try to catch the ball as best you can; B) Let the ball go; C) Blame the team; D) Call a stoppage.")</f>
        <v>A) Try to catch the ball as best you can; B) Let the ball go; C) Blame the team; D) Call a stoppage.</v>
      </c>
      <c r="O14" s="16" t="str">
        <f>IFERROR(__xludf.DUMMYFUNCTION("GOOGLETRANSLATE(D14, ""th"", ""en"")"),"A) Try your best to catch the ball.")</f>
        <v>A) Try your best to catch the ball.</v>
      </c>
    </row>
    <row r="15" ht="14.25" customHeight="1">
      <c r="A15" s="13">
        <v>14.0</v>
      </c>
      <c r="B15" s="15" t="s">
        <v>3052</v>
      </c>
      <c r="C15" s="15" t="s">
        <v>3053</v>
      </c>
      <c r="D15" s="15" t="s">
        <v>3054</v>
      </c>
      <c r="E15" s="15" t="s">
        <v>3055</v>
      </c>
      <c r="M15" s="16" t="str">
        <f>IFERROR(__xludf.DUMMYFUNCTION("GOOGLETRANSLATE(B15, ""th"", ""en"")"),"You made several mistakes in the game, what do you do?")</f>
        <v>You made several mistakes in the game, what do you do?</v>
      </c>
      <c r="N15" s="16" t="str">
        <f>IFERROR(__xludf.DUMMYFUNCTION("GOOGLETRANSLATE(C15, ""th"", ""en"")"),"A) Concentrate and correct your mistakes; B) Stop playing immediately; C) Blame your teammates; D) Get angry at yourself.")</f>
        <v>A) Concentrate and correct your mistakes; B) Stop playing immediately; C) Blame your teammates; D) Get angry at yourself.</v>
      </c>
      <c r="O15" s="16" t="str">
        <f>IFERROR(__xludf.DUMMYFUNCTION("GOOGLETRANSLATE(D15, ""th"", ""en"")"),"A) Be focused and correct your mistakes.")</f>
        <v>A) Be focused and correct your mistakes.</v>
      </c>
    </row>
    <row r="16" ht="14.25" customHeight="1">
      <c r="A16" s="13">
        <v>15.0</v>
      </c>
      <c r="B16" s="15" t="s">
        <v>3056</v>
      </c>
      <c r="C16" s="15" t="s">
        <v>3057</v>
      </c>
      <c r="D16" s="15" t="s">
        <v>3058</v>
      </c>
      <c r="E16" s="15" t="s">
        <v>3059</v>
      </c>
      <c r="M16" s="16" t="str">
        <f>IFERROR(__xludf.DUMMYFUNCTION("GOOGLETRANSLATE(B16, ""th"", ""en"")"),"You have been given the role of team captain. What will you do?")</f>
        <v>You have been given the role of team captain. What will you do?</v>
      </c>
      <c r="N16" s="16" t="str">
        <f>IFERROR(__xludf.DUMMYFUNCTION("GOOGLETRANSLATE(C16, ""th"", ""en"")"),"A) Lead the team effectively; B) Refuse roles; C) Delegate roles to others; D) Play as you please.")</f>
        <v>A) Lead the team effectively; B) Refuse roles; C) Delegate roles to others; D) Play as you please.</v>
      </c>
      <c r="O16" s="16" t="str">
        <f>IFERROR(__xludf.DUMMYFUNCTION("GOOGLETRANSLATE(D16, ""th"", ""en"")"),"A) Lead the team effectively.")</f>
        <v>A) Lead the team effectively.</v>
      </c>
    </row>
    <row r="17" ht="14.25" customHeight="1">
      <c r="A17" s="13">
        <v>16.0</v>
      </c>
      <c r="B17" s="15" t="s">
        <v>3060</v>
      </c>
      <c r="C17" s="15" t="s">
        <v>3061</v>
      </c>
      <c r="D17" s="15" t="s">
        <v>3062</v>
      </c>
      <c r="E17" s="15" t="s">
        <v>3063</v>
      </c>
      <c r="M17" s="16" t="str">
        <f>IFERROR(__xludf.DUMMYFUNCTION("GOOGLETRANSLATE(B17, ""th"", ""en"")"),"The game is tied and there's not much time left. What will you do?")</f>
        <v>The game is tied and there's not much time left. What will you do?</v>
      </c>
      <c r="N17" s="16" t="str">
        <f>IFERROR(__xludf.DUMMYFUNCTION("GOOGLETRANSLATE(C17, ""th"", ""en"")"),"A) Play hard and keep calm; B) Play carelessly; C) Let the other team win; D) Call for a stoppage of the game.")</f>
        <v>A) Play hard and keep calm; B) Play carelessly; C) Let the other team win; D) Call for a stoppage of the game.</v>
      </c>
      <c r="O17" s="16" t="str">
        <f>IFERROR(__xludf.DUMMYFUNCTION("GOOGLETRANSLATE(D17, ""th"", ""en"")"),"A) Play hard and keep calm.")</f>
        <v>A) Play hard and keep calm.</v>
      </c>
    </row>
    <row r="18" ht="14.25" customHeight="1">
      <c r="A18" s="13">
        <v>17.0</v>
      </c>
      <c r="B18" s="15" t="s">
        <v>3064</v>
      </c>
      <c r="C18" s="15" t="s">
        <v>3065</v>
      </c>
      <c r="D18" s="15" t="s">
        <v>3066</v>
      </c>
      <c r="E18" s="15" t="s">
        <v>3067</v>
      </c>
      <c r="M18" s="16" t="str">
        <f>IFERROR(__xludf.DUMMYFUNCTION("GOOGLETRANSLATE(B18, ""th"", ""en"")"),"You see your teammates not listening to your game plan, what do you do?")</f>
        <v>You see your teammates not listening to your game plan, what do you do?</v>
      </c>
      <c r="N18" s="16" t="str">
        <f>IFERROR(__xludf.DUMMYFUNCTION("GOOGLETRANSLATE(C18, ""th"", ""en"")"),"A) Give him a polite warning; B) Scold him in front of everyone; C) Let him do what he wants; D) Ask the trainer to handle it.")</f>
        <v>A) Give him a polite warning; B) Scold him in front of everyone; C) Let him do what he wants; D) Ask the trainer to handle it.</v>
      </c>
      <c r="O18" s="16" t="str">
        <f>IFERROR(__xludf.DUMMYFUNCTION("GOOGLETRANSLATE(D18, ""th"", ""en"")"),"A) Politely warn him.")</f>
        <v>A) Politely warn him.</v>
      </c>
    </row>
    <row r="19" ht="14.25" customHeight="1">
      <c r="A19" s="13">
        <v>18.0</v>
      </c>
      <c r="B19" s="15" t="s">
        <v>3068</v>
      </c>
      <c r="C19" s="15" t="s">
        <v>3069</v>
      </c>
      <c r="D19" s="15" t="s">
        <v>3070</v>
      </c>
      <c r="E19" s="15" t="s">
        <v>3071</v>
      </c>
      <c r="M19" s="16" t="str">
        <f>IFERROR(__xludf.DUMMYFUNCTION("GOOGLETRANSLATE(B19, ""th"", ""en"")"),"Your team has missed several points, what will you do?")</f>
        <v>Your team has missed several points, what will you do?</v>
      </c>
      <c r="N19" s="16" t="str">
        <f>IFERROR(__xludf.DUMMYFUNCTION("GOOGLETRANSLATE(C19, ""th"", ""en"")"),"A) Encourage the team and encourage them to keep fighting; B) Blame the team; C) Stop playing; D) Complain loudly.")</f>
        <v>A) Encourage the team and encourage them to keep fighting; B) Blame the team; C) Stop playing; D) Complain loudly.</v>
      </c>
      <c r="O19" s="16" t="str">
        <f>IFERROR(__xludf.DUMMYFUNCTION("GOOGLETRANSLATE(D19, ""th"", ""en"")"),"A) Encourage the team and encourage them to keep fighting.")</f>
        <v>A) Encourage the team and encourage them to keep fighting.</v>
      </c>
    </row>
    <row r="20" ht="14.25" customHeight="1">
      <c r="A20" s="13">
        <v>19.0</v>
      </c>
      <c r="B20" s="15" t="s">
        <v>3072</v>
      </c>
      <c r="C20" s="15" t="s">
        <v>3073</v>
      </c>
      <c r="D20" s="15" t="s">
        <v>3074</v>
      </c>
      <c r="E20" s="15" t="s">
        <v>3075</v>
      </c>
      <c r="M20" s="16" t="str">
        <f>IFERROR(__xludf.DUMMYFUNCTION("GOOGLETRANSLATE(B20, ""th"", ""en"")"),"You have to compete with a stronger team. What will you do?")</f>
        <v>You have to compete with a stronger team. What will you do?</v>
      </c>
      <c r="N20" s="16" t="str">
        <f>IFERROR(__xludf.DUMMYFUNCTION("GOOGLETRANSLATE(C20, ""th"", ""en"")"),"A) Be prepared and play your best; B) Give up from the start; C) Play casually; D) Refuse to play.")</f>
        <v>A) Be prepared and play your best; B) Give up from the start; C) Play casually; D) Refuse to play.</v>
      </c>
      <c r="O20" s="16" t="str">
        <f>IFERROR(__xludf.DUMMYFUNCTION("GOOGLETRANSLATE(D20, ""th"", ""en"")"),"A) Be prepared and play your best.")</f>
        <v>A) Be prepared and play your best.</v>
      </c>
    </row>
    <row r="21" ht="14.25" customHeight="1">
      <c r="A21" s="13">
        <v>20.0</v>
      </c>
      <c r="B21" s="15" t="s">
        <v>3076</v>
      </c>
      <c r="C21" s="15" t="s">
        <v>3077</v>
      </c>
      <c r="D21" s="15" t="s">
        <v>3078</v>
      </c>
      <c r="E21" s="15" t="s">
        <v>3079</v>
      </c>
      <c r="M21" s="16" t="str">
        <f>IFERROR(__xludf.DUMMYFUNCTION("GOOGLETRANSLATE(B21, ""th"", ""en"")"),"You feel tired during the competition, what do you do?")</f>
        <v>You feel tired during the competition, what do you do?</v>
      </c>
      <c r="N21" s="16" t="str">
        <f>IFERROR(__xludf.DUMMYFUNCTION("GOOGLETRANSLATE(C21, ""th"", ""en"")"),"A) Ask for a substitution; B) Continue playing even though you are tired; C) Walk off the field; D) Blame the team.")</f>
        <v>A) Ask for a substitution; B) Continue playing even though you are tired; C) Walk off the field; D) Blame the team.</v>
      </c>
      <c r="O21" s="16" t="str">
        <f>IFERROR(__xludf.DUMMYFUNCTION("GOOGLETRANSLATE(D21, ""th"", ""en"")"),"A) Request to change accommodation")</f>
        <v>A) Request to change accommodation</v>
      </c>
    </row>
    <row r="22" ht="14.25" customHeight="1">
      <c r="A22" s="13">
        <v>21.0</v>
      </c>
      <c r="B22" s="15" t="s">
        <v>3080</v>
      </c>
      <c r="C22" s="15" t="s">
        <v>3081</v>
      </c>
      <c r="D22" s="15" t="s">
        <v>3082</v>
      </c>
      <c r="E22" s="15" t="s">
        <v>3083</v>
      </c>
      <c r="M22" s="16" t="str">
        <f>IFERROR(__xludf.DUMMYFUNCTION("GOOGLETRANSLATE(B22, ""th"", ""en"")"),"You see your opponent using unfair techniques in Sepak Takraw, what should you do?")</f>
        <v>You see your opponent using unfair techniques in Sepak Takraw, what should you do?</v>
      </c>
      <c r="N22" s="16" t="str">
        <f>IFERROR(__xludf.DUMMYFUNCTION("GOOGLETRANSLATE(C22, ""th"", ""en"")"),"A) inform the referee; B) argue with the opponent; C) keep calm and continue playing; D) use the same technique.")</f>
        <v>A) inform the referee; B) argue with the opponent; C) keep calm and continue playing; D) use the same technique.</v>
      </c>
      <c r="O22" s="16" t="str">
        <f>IFERROR(__xludf.DUMMYFUNCTION("GOOGLETRANSLATE(D22, ""th"", ""en"")"),"A) Inform the committee.")</f>
        <v>A) Inform the committee.</v>
      </c>
    </row>
    <row r="23" ht="14.25" customHeight="1">
      <c r="A23" s="13">
        <v>22.0</v>
      </c>
      <c r="B23" s="15" t="s">
        <v>3084</v>
      </c>
      <c r="C23" s="15" t="s">
        <v>3085</v>
      </c>
      <c r="D23" s="15" t="s">
        <v>3086</v>
      </c>
      <c r="E23" s="15" t="s">
        <v>3087</v>
      </c>
      <c r="M23" s="16" t="str">
        <f>IFERROR(__xludf.DUMMYFUNCTION("GOOGLETRANSLATE(B23, ""th"", ""en"")"),"The ball doesn't go into the net when you hit it, what do you do?")</f>
        <v>The ball doesn't go into the net when you hit it, what do you do?</v>
      </c>
      <c r="N23" s="16" t="str">
        <f>IFERROR(__xludf.DUMMYFUNCTION("GOOGLETRANSLATE(C23, ""th"", ""en"")"),"A) Admit your mistake and continue playing; B) Blame the referee; C) Complain to your teammates; D) Ask for a replay.")</f>
        <v>A) Admit your mistake and continue playing; B) Blame the referee; C) Complain to your teammates; D) Ask for a replay.</v>
      </c>
      <c r="O23" s="16" t="str">
        <f>IFERROR(__xludf.DUMMYFUNCTION("GOOGLETRANSLATE(D23, ""th"", ""en"")"),"A) Admit your mistake and continue playing.")</f>
        <v>A) Admit your mistake and continue playing.</v>
      </c>
    </row>
    <row r="24" ht="14.25" customHeight="1">
      <c r="A24" s="13">
        <v>23.0</v>
      </c>
      <c r="B24" s="15" t="s">
        <v>3088</v>
      </c>
      <c r="C24" s="15" t="s">
        <v>3089</v>
      </c>
      <c r="D24" s="15" t="s">
        <v>3090</v>
      </c>
      <c r="E24" s="15" t="s">
        <v>3091</v>
      </c>
      <c r="M24" s="16" t="str">
        <f>IFERROR(__xludf.DUMMYFUNCTION("GOOGLETRANSLATE(B24, ""th"", ""en"")"),"You feel that the players on your team are starting to feel stressed, what should you do?")</f>
        <v>You feel that the players on your team are starting to feel stressed, what should you do?</v>
      </c>
      <c r="N24" s="16" t="str">
        <f>IFERROR(__xludf.DUMMYFUNCTION("GOOGLETRANSLATE(C24, ""th"", ""en"")"),"A) Talk to him and encourage him; B) Let him be quiet; C) Scold him; D) Ignore him.")</f>
        <v>A) Talk to him and encourage him; B) Let him be quiet; C) Scold him; D) Ignore him.</v>
      </c>
      <c r="O24" s="16" t="str">
        <f>IFERROR(__xludf.DUMMYFUNCTION("GOOGLETRANSLATE(D24, ""th"", ""en"")"),"A) Talk to him and encourage him.")</f>
        <v>A) Talk to him and encourage him.</v>
      </c>
    </row>
    <row r="25" ht="14.25" customHeight="1">
      <c r="A25" s="13">
        <v>24.0</v>
      </c>
      <c r="B25" s="15" t="s">
        <v>3092</v>
      </c>
      <c r="C25" s="15" t="s">
        <v>3093</v>
      </c>
      <c r="D25" s="15" t="s">
        <v>3094</v>
      </c>
      <c r="E25" s="15" t="s">
        <v>3095</v>
      </c>
      <c r="M25" s="16" t="str">
        <f>IFERROR(__xludf.DUMMYFUNCTION("GOOGLETRANSLATE(B25, ""th"", ""en"")"),"You have been judged by the referee to have played illegally, what do you do?")</f>
        <v>You have been judged by the referee to have played illegally, what do you do?</v>
      </c>
      <c r="N25" s="16" t="str">
        <f>IFERROR(__xludf.DUMMYFUNCTION("GOOGLETRANSLATE(C25, ""th"", ""en"")"),"A) Accept the decision and adjust; B) Argue with the referee; C) Get discouraged and give up; D) Blame your teammates.")</f>
        <v>A) Accept the decision and adjust; B) Argue with the referee; C) Get discouraged and give up; D) Blame your teammates.</v>
      </c>
      <c r="O25" s="16" t="str">
        <f>IFERROR(__xludf.DUMMYFUNCTION("GOOGLETRANSLATE(D25, ""th"", ""en"")"),"A) Accept the decision and adapt.")</f>
        <v>A) Accept the decision and adapt.</v>
      </c>
    </row>
    <row r="26" ht="14.25" customHeight="1">
      <c r="A26" s="13">
        <v>25.0</v>
      </c>
      <c r="B26" s="15" t="s">
        <v>3096</v>
      </c>
      <c r="C26" s="15" t="s">
        <v>3097</v>
      </c>
      <c r="D26" s="15" t="s">
        <v>3098</v>
      </c>
      <c r="E26" s="15" t="s">
        <v>3099</v>
      </c>
      <c r="M26" s="16" t="str">
        <f>IFERROR(__xludf.DUMMYFUNCTION("GOOGLETRANSLATE(B26, ""th"", ""en"")"),"The game is almost over and the score is tied. What do you do?")</f>
        <v>The game is almost over and the score is tied. What do you do?</v>
      </c>
      <c r="N26" s="16" t="str">
        <f>IFERROR(__xludf.DUMMYFUNCTION("GOOGLETRANSLATE(C26, ""th"", ""en"")"),"A) Be determined and give it your all in the final moments; B) Play to the end; C) Give the opposing team a chance to win; D) Call off the game.")</f>
        <v>A) Be determined and give it your all in the final moments; B) Play to the end; C) Give the opposing team a chance to win; D) Call off the game.</v>
      </c>
      <c r="O26" s="16" t="str">
        <f>IFERROR(__xludf.DUMMYFUNCTION("GOOGLETRANSLATE(D26, ""th"", ""en"")"),"A) Be determined and give your all in the final moments.")</f>
        <v>A) Be determined and give your all in the final moments.</v>
      </c>
    </row>
    <row r="27" ht="14.25" customHeight="1">
      <c r="A27" s="13">
        <v>26.0</v>
      </c>
      <c r="B27" s="15" t="s">
        <v>3100</v>
      </c>
      <c r="C27" s="15" t="s">
        <v>3101</v>
      </c>
      <c r="D27" s="15" t="s">
        <v>3102</v>
      </c>
      <c r="E27" s="15" t="s">
        <v>3103</v>
      </c>
      <c r="M27" s="16" t="str">
        <f>IFERROR(__xludf.DUMMYFUNCTION("GOOGLETRANSLATE(B27, ""th"", ""en"")"),"Your team is under heavy pressure from the opposing team. What will you do?")</f>
        <v>Your team is under heavy pressure from the opposing team. What will you do?</v>
      </c>
      <c r="N27" s="16" t="str">
        <f>IFERROR(__xludf.DUMMYFUNCTION("GOOGLETRANSLATE(C27, ""th"", ""en"")"),"A) Coordinate and play in an orderly manner; B) Get angry and fight back; C) Stop playing; D) Let the opposing team win.")</f>
        <v>A) Coordinate and play in an orderly manner; B) Get angry and fight back; C) Stop playing; D) Let the opposing team win.</v>
      </c>
      <c r="O27" s="16" t="str">
        <f>IFERROR(__xludf.DUMMYFUNCTION("GOOGLETRANSLATE(D27, ""th"", ""en"")"),"A) Coordinate and play in an orderly manner.")</f>
        <v>A) Coordinate and play in an orderly manner.</v>
      </c>
    </row>
    <row r="28" ht="14.25" customHeight="1">
      <c r="A28" s="13">
        <v>27.0</v>
      </c>
      <c r="B28" s="15" t="s">
        <v>3104</v>
      </c>
      <c r="C28" s="15" t="s">
        <v>3105</v>
      </c>
      <c r="D28" s="15" t="s">
        <v>3106</v>
      </c>
      <c r="E28" s="15" t="s">
        <v>3107</v>
      </c>
      <c r="M28" s="16" t="str">
        <f>IFERROR(__xludf.DUMMYFUNCTION("GOOGLETRANSLATE(B28, ""th"", ""en"")"),"You see your opponent trying to provoke your teammates, what do you do?")</f>
        <v>You see your opponent trying to provoke your teammates, what do you do?</v>
      </c>
      <c r="N28" s="16" t="str">
        <f>IFERROR(__xludf.DUMMYFUNCTION("GOOGLETRANSLATE(C28, ""th"", ""en"")"),"A) Protect your teammate; B) Argue with your opponent; C) Ignore him and continue playing; D) Avoid confrontation.")</f>
        <v>A) Protect your teammate; B) Argue with your opponent; C) Ignore him and continue playing; D) Avoid confrontation.</v>
      </c>
      <c r="O28" s="16" t="str">
        <f>IFERROR(__xludf.DUMMYFUNCTION("GOOGLETRANSLATE(D28, ""th"", ""en"")"),"A) Protect your teammates.")</f>
        <v>A) Protect your teammates.</v>
      </c>
    </row>
    <row r="29" ht="14.25" customHeight="1">
      <c r="A29" s="13">
        <v>28.0</v>
      </c>
      <c r="B29" s="15" t="s">
        <v>3108</v>
      </c>
      <c r="C29" s="15" t="s">
        <v>3109</v>
      </c>
      <c r="D29" s="15" t="s">
        <v>3110</v>
      </c>
      <c r="E29" s="15" t="s">
        <v>3111</v>
      </c>
      <c r="M29" s="16" t="str">
        <f>IFERROR(__xludf.DUMMYFUNCTION("GOOGLETRANSLATE(B29, ""th"", ""en"")"),"During the competition, you feel a little pain. What should you do?")</f>
        <v>During the competition, you feel a little pain. What should you do?</v>
      </c>
      <c r="N29" s="16" t="str">
        <f>IFERROR(__xludf.DUMMYFUNCTION("GOOGLETRANSLATE(C29, ""th"", ""en"")"),"A) Tell the coach and ask for a break; B) Continue playing without notifying anyone; C) Complain and stop playing immediately; D) Play too hard.")</f>
        <v>A) Tell the coach and ask for a break; B) Continue playing without notifying anyone; C) Complain and stop playing immediately; D) Play too hard.</v>
      </c>
      <c r="O29" s="16" t="str">
        <f>IFERROR(__xludf.DUMMYFUNCTION("GOOGLETRANSLATE(D29, ""th"", ""en"")"),"A) Tell the trainer and ask for a break.")</f>
        <v>A) Tell the trainer and ask for a break.</v>
      </c>
    </row>
    <row r="30" ht="14.25" customHeight="1">
      <c r="A30" s="13">
        <v>29.0</v>
      </c>
      <c r="B30" s="15" t="s">
        <v>3112</v>
      </c>
      <c r="C30" s="15" t="s">
        <v>3113</v>
      </c>
      <c r="D30" s="15" t="s">
        <v>3114</v>
      </c>
      <c r="E30" s="15" t="s">
        <v>3115</v>
      </c>
      <c r="M30" s="16" t="str">
        <f>IFERROR(__xludf.DUMMYFUNCTION("GOOGLETRANSLATE(B30, ""th"", ""en"")"),"In the final game, you have a chance to serve the deciding shot. What will you do?")</f>
        <v>In the final game, you have a chance to serve the deciding shot. What will you do?</v>
      </c>
      <c r="N30" s="16" t="str">
        <f>IFERROR(__xludf.DUMMYFUNCTION("GOOGLETRANSLATE(C30, ""th"", ""en"")"),"A) Stay calm and serve confidently; B) Panic and make a mistake; C) Let someone else serve; D) Ask for a break.")</f>
        <v>A) Stay calm and serve confidently; B) Panic and make a mistake; C) Let someone else serve; D) Ask for a break.</v>
      </c>
      <c r="O30" s="16" t="str">
        <f>IFERROR(__xludf.DUMMYFUNCTION("GOOGLETRANSLATE(D30, ""th"", ""en"")"),"A) Keep calm and serve confidently.")</f>
        <v>A) Keep calm and serve confidently.</v>
      </c>
    </row>
    <row r="31" ht="14.25" customHeight="1">
      <c r="A31" s="13">
        <v>30.0</v>
      </c>
      <c r="B31" s="15" t="s">
        <v>3116</v>
      </c>
      <c r="C31" s="15" t="s">
        <v>3117</v>
      </c>
      <c r="D31" s="15" t="s">
        <v>3118</v>
      </c>
      <c r="E31" s="15" t="s">
        <v>3119</v>
      </c>
      <c r="M31" s="16" t="str">
        <f>IFERROR(__xludf.DUMMYFUNCTION("GOOGLETRANSLATE(B31, ""th"", ""en"")"),"Your opponent tries to use fouls to disrupt your team's rhythm. What do you do?")</f>
        <v>Your opponent tries to use fouls to disrupt your team's rhythm. What do you do?</v>
      </c>
      <c r="N31" s="16" t="str">
        <f>IFERROR(__xludf.DUMMYFUNCTION("GOOGLETRANSLATE(C31, ""th"", ""en"")"),"A) notify the referee and continue play; B) call a foul; C) respond violently; D) walk off the court.")</f>
        <v>A) notify the referee and continue play; B) call a foul; C) respond violently; D) walk off the court.</v>
      </c>
      <c r="O31" s="16" t="str">
        <f>IFERROR(__xludf.DUMMYFUNCTION("GOOGLETRANSLATE(D31, ""th"", ""en"")"),"A) Inform the referee and continue playing.")</f>
        <v>A) Inform the referee and continue playing.</v>
      </c>
    </row>
    <row r="32" ht="14.25" customHeight="1">
      <c r="A32" s="13">
        <v>31.0</v>
      </c>
      <c r="B32" s="15" t="s">
        <v>3120</v>
      </c>
      <c r="C32" s="15" t="s">
        <v>3121</v>
      </c>
      <c r="D32" s="15" t="s">
        <v>3122</v>
      </c>
      <c r="E32" s="15" t="s">
        <v>3123</v>
      </c>
      <c r="M32" s="16" t="str">
        <f>IFERROR(__xludf.DUMMYFUNCTION("GOOGLETRANSLATE(B32, ""th"", ""en"")"),"The game is intense and the score is close, what will you do?")</f>
        <v>The game is intense and the score is close, what will you do?</v>
      </c>
      <c r="N32" s="16" t="str">
        <f>IFERROR(__xludf.DUMMYFUNCTION("GOOGLETRANSLATE(C32, ""th"", ""en"")"),"A) Stay focused and focused; B) Get confused and distracted; C) Play instinctively; D) Stop playing.")</f>
        <v>A) Stay focused and focused; B) Get confused and distracted; C) Play instinctively; D) Stop playing.</v>
      </c>
      <c r="O32" s="16" t="str">
        <f>IFERROR(__xludf.DUMMYFUNCTION("GOOGLETRANSLATE(D32, ""th"", ""en"")"),"A) Maintain focus and determination.")</f>
        <v>A) Maintain focus and determination.</v>
      </c>
    </row>
    <row r="33" ht="14.25" customHeight="1">
      <c r="A33" s="13">
        <v>32.0</v>
      </c>
      <c r="B33" s="15" t="s">
        <v>3124</v>
      </c>
      <c r="C33" s="15" t="s">
        <v>3125</v>
      </c>
      <c r="D33" s="15" t="s">
        <v>445</v>
      </c>
      <c r="E33" s="15" t="s">
        <v>3126</v>
      </c>
      <c r="M33" s="16" t="str">
        <f>IFERROR(__xludf.DUMMYFUNCTION("GOOGLETRANSLATE(B33, ""th"", ""en"")"),"During the game, you feel that your teammates are losing confidence. What should you do?")</f>
        <v>During the game, you feel that your teammates are losing confidence. What should you do?</v>
      </c>
      <c r="N33" s="16" t="str">
        <f>IFERROR(__xludf.DUMMYFUNCTION("GOOGLETRANSLATE(C33, ""th"", ""en"")"),"A) Encourage and motivate him; B) Let him be quiet; C) Complain to him; D) Ask him to stop playing.")</f>
        <v>A) Encourage and motivate him; B) Let him be quiet; C) Complain to him; D) Ask him to stop playing.</v>
      </c>
      <c r="O33" s="16" t="str">
        <f>IFERROR(__xludf.DUMMYFUNCTION("GOOGLETRANSLATE(D33, ""th"", ""en"")"),"A) Encourage and motivate him.")</f>
        <v>A) Encourage and motivate him.</v>
      </c>
    </row>
    <row r="34" ht="14.25" customHeight="1">
      <c r="A34" s="13">
        <v>33.0</v>
      </c>
      <c r="B34" s="15" t="s">
        <v>3127</v>
      </c>
      <c r="C34" s="15" t="s">
        <v>3128</v>
      </c>
      <c r="D34" s="15" t="s">
        <v>3129</v>
      </c>
      <c r="E34" s="15" t="s">
        <v>3130</v>
      </c>
      <c r="M34" s="16" t="str">
        <f>IFERROR(__xludf.DUMMYFUNCTION("GOOGLETRANSLATE(B34, ""th"", ""en"")"),"Your team has an injured player, what will you do?")</f>
        <v>Your team has an injured player, what will you do?</v>
      </c>
      <c r="N34" s="16" t="str">
        <f>IFERROR(__xludf.DUMMYFUNCTION("GOOGLETRANSLATE(C34, ""th"", ""en"")"),"A) Let him rest and take care of himself; B) Let him continue playing; C) Let him go home; D) Let him make his own decisions.")</f>
        <v>A) Let him rest and take care of himself; B) Let him continue playing; C) Let him go home; D) Let him make his own decisions.</v>
      </c>
      <c r="O34" s="16" t="str">
        <f>IFERROR(__xludf.DUMMYFUNCTION("GOOGLETRANSLATE(D34, ""th"", ""en"")"),"A) Ask him to rest and take care of himself.")</f>
        <v>A) Ask him to rest and take care of himself.</v>
      </c>
    </row>
    <row r="35" ht="14.25" customHeight="1">
      <c r="A35" s="13">
        <v>34.0</v>
      </c>
      <c r="B35" s="15" t="s">
        <v>3131</v>
      </c>
      <c r="C35" s="15" t="s">
        <v>3132</v>
      </c>
      <c r="D35" s="15" t="s">
        <v>3082</v>
      </c>
      <c r="E35" s="15" t="s">
        <v>3133</v>
      </c>
      <c r="M35" s="16" t="str">
        <f>IFERROR(__xludf.DUMMYFUNCTION("GOOGLETRANSLATE(B35, ""th"", ""en"")"),"During the game, you notice a foul from your opponent. What do you do?")</f>
        <v>During the game, you notice a foul from your opponent. What do you do?</v>
      </c>
      <c r="N35" s="16" t="str">
        <f>IFERROR(__xludf.DUMMYFUNCTION("GOOGLETRANSLATE(C35, ""th"", ""en"")"),"A) inform the referee; B) call a foul; C) ignore; D) politely tell the referee.")</f>
        <v>A) inform the referee; B) call a foul; C) ignore; D) politely tell the referee.</v>
      </c>
      <c r="O35" s="16" t="str">
        <f>IFERROR(__xludf.DUMMYFUNCTION("GOOGLETRANSLATE(D35, ""th"", ""en"")"),"A) Inform the committee.")</f>
        <v>A) Inform the committee.</v>
      </c>
    </row>
    <row r="36" ht="14.25" customHeight="1">
      <c r="A36" s="13">
        <v>35.0</v>
      </c>
      <c r="B36" s="15" t="s">
        <v>3134</v>
      </c>
      <c r="C36" s="15" t="s">
        <v>3135</v>
      </c>
      <c r="D36" s="15" t="s">
        <v>3136</v>
      </c>
      <c r="E36" s="15" t="s">
        <v>3137</v>
      </c>
      <c r="M36" s="16" t="str">
        <f>IFERROR(__xludf.DUMMYFUNCTION("GOOGLETRANSLATE(B36, ""th"", ""en"")"),"The game is about to end and your team needs the final score. What will you do?")</f>
        <v>The game is about to end and your team needs the final score. What will you do?</v>
      </c>
      <c r="N36" s="16" t="str">
        <f>IFERROR(__xludf.DUMMYFUNCTION("GOOGLETRANSLATE(C36, ""th"", ""en"")"),"A) Serve confidently and with focus; B) Serve hastily; C) Ask the other team to win; D) Stop playing.")</f>
        <v>A) Serve confidently and with focus; B) Serve hastily; C) Ask the other team to win; D) Stop playing.</v>
      </c>
      <c r="O36" s="16" t="str">
        <f>IFERROR(__xludf.DUMMYFUNCTION("GOOGLETRANSLATE(D36, ""th"", ""en"")"),"A) Serve with confidence and focus.")</f>
        <v>A) Serve with confidence and focus.</v>
      </c>
    </row>
    <row r="37" ht="14.25" customHeight="1">
      <c r="A37" s="13">
        <v>36.0</v>
      </c>
      <c r="B37" s="15" t="s">
        <v>3138</v>
      </c>
      <c r="C37" s="15" t="s">
        <v>3139</v>
      </c>
      <c r="D37" s="15" t="s">
        <v>3140</v>
      </c>
      <c r="E37" s="15" t="s">
        <v>3141</v>
      </c>
      <c r="M37" s="16" t="str">
        <f>IFERROR(__xludf.DUMMYFUNCTION("GOOGLETRANSLATE(B37, ""th"", ""en"")"),"Your teammates make several mistakes in the game. What will you do?")</f>
        <v>Your teammates make several mistakes in the game. What will you do?</v>
      </c>
      <c r="N37" s="16" t="str">
        <f>IFERROR(__xludf.DUMMYFUNCTION("GOOGLETRANSLATE(C37, ""th"", ""en"")"),"A) Help him recover and encourage him; B) Blame him; C) Talk about his mistakes; D) Stop playing.")</f>
        <v>A) Help him recover and encourage him; B) Blame him; C) Talk about his mistakes; D) Stop playing.</v>
      </c>
      <c r="O37" s="16" t="str">
        <f>IFERROR(__xludf.DUMMYFUNCTION("GOOGLETRANSLATE(D37, ""th"", ""en"")"),"A) Help him recover and give him encouragement.")</f>
        <v>A) Help him recover and give him encouragement.</v>
      </c>
    </row>
    <row r="38" ht="14.25" customHeight="1">
      <c r="A38" s="13">
        <v>37.0</v>
      </c>
      <c r="B38" s="15" t="s">
        <v>3142</v>
      </c>
      <c r="C38" s="15" t="s">
        <v>3143</v>
      </c>
      <c r="D38" s="15" t="s">
        <v>3144</v>
      </c>
      <c r="E38" s="15" t="s">
        <v>3145</v>
      </c>
      <c r="M38" s="16" t="str">
        <f>IFERROR(__xludf.DUMMYFUNCTION("GOOGLETRANSLATE(B38, ""th"", ""en"")"),"During the match, you have to receive the ball in a difficult situation. What will you do?")</f>
        <v>During the match, you have to receive the ball in a difficult situation. What will you do?</v>
      </c>
      <c r="N38" s="16" t="str">
        <f>IFERROR(__xludf.DUMMYFUNCTION("GOOGLETRANSLATE(C38, ""th"", ""en"")"),"A) Try to catch the ball as best you can; B) Let the ball go; C) Blame a teammate; D) Stop the game.")</f>
        <v>A) Try to catch the ball as best you can; B) Let the ball go; C) Blame a teammate; D) Stop the game.</v>
      </c>
      <c r="O38" s="16" t="str">
        <f>IFERROR(__xludf.DUMMYFUNCTION("GOOGLETRANSLATE(D38, ""th"", ""en"")"),"A) Try to receive the ball as best you can.")</f>
        <v>A) Try to receive the ball as best you can.</v>
      </c>
    </row>
    <row r="39" ht="14.25" customHeight="1">
      <c r="A39" s="13">
        <v>38.0</v>
      </c>
      <c r="B39" s="15" t="s">
        <v>3146</v>
      </c>
      <c r="C39" s="15" t="s">
        <v>3147</v>
      </c>
      <c r="D39" s="15" t="s">
        <v>3148</v>
      </c>
      <c r="E39" s="15" t="s">
        <v>3149</v>
      </c>
      <c r="M39" s="16" t="str">
        <f>IFERROR(__xludf.DUMMYFUNCTION("GOOGLETRANSLATE(B39, ""th"", ""en"")"),"The opposing team is using a technique that is too difficult. What will you do?")</f>
        <v>The opposing team is using a technique that is too difficult. What will you do?</v>
      </c>
      <c r="N39" s="16" t="str">
        <f>IFERROR(__xludf.DUMMYFUNCTION("GOOGLETRANSLATE(C39, ""th"", ""en"")"),"A) Fight back with strong technique; B) Stay calm and play according to plan; C) Complain to the referee; D) Avoid playing.")</f>
        <v>A) Fight back with strong technique; B) Stay calm and play according to plan; C) Complain to the referee; D) Avoid playing.</v>
      </c>
      <c r="O39" s="16" t="str">
        <f>IFERROR(__xludf.DUMMYFUNCTION("GOOGLETRANSLATE(D39, ""th"", ""en"")"),"A) Fight back with strong techniques.")</f>
        <v>A) Fight back with strong techniques.</v>
      </c>
    </row>
    <row r="40" ht="14.25" customHeight="1">
      <c r="A40" s="13">
        <v>39.0</v>
      </c>
      <c r="B40" s="15" t="s">
        <v>3150</v>
      </c>
      <c r="C40" s="15" t="s">
        <v>3151</v>
      </c>
      <c r="D40" s="15" t="s">
        <v>3152</v>
      </c>
      <c r="E40" s="15" t="s">
        <v>3153</v>
      </c>
      <c r="M40" s="16" t="str">
        <f>IFERROR(__xludf.DUMMYFUNCTION("GOOGLETRANSLATE(B40, ""th"", ""en"")"),"You feel like the game is dragging on and getting tiring. What should you do?")</f>
        <v>You feel like the game is dragging on and getting tiring. What should you do?</v>
      </c>
      <c r="N40" s="16" t="str">
        <f>IFERROR(__xludf.DUMMYFUNCTION("GOOGLETRANSLATE(C40, ""th"", ""en"")"),"A) Ask for a short break; B) Continue playing without taking a break; C) Complain about being tired; D) Ask for the game to end.")</f>
        <v>A) Ask for a short break; B) Continue playing without taking a break; C) Complain about being tired; D) Ask for the game to end.</v>
      </c>
      <c r="O40" s="16" t="str">
        <f>IFERROR(__xludf.DUMMYFUNCTION("GOOGLETRANSLATE(D40, ""th"", ""en"")"),"A) Please take a short break.")</f>
        <v>A) Please take a short break.</v>
      </c>
    </row>
    <row r="41" ht="14.25" customHeight="1">
      <c r="A41" s="13">
        <v>40.0</v>
      </c>
      <c r="B41" s="15" t="s">
        <v>3154</v>
      </c>
      <c r="C41" s="15" t="s">
        <v>3155</v>
      </c>
      <c r="D41" s="15" t="s">
        <v>3156</v>
      </c>
      <c r="E41" s="15" t="s">
        <v>3157</v>
      </c>
      <c r="M41" s="16" t="str">
        <f>IFERROR(__xludf.DUMMYFUNCTION("GOOGLETRANSLATE(B41, ""th"", ""en"")"),"When you have to serve, you feel excited and stressed, what do you do?")</f>
        <v>When you have to serve, you feel excited and stressed, what do you do?</v>
      </c>
      <c r="N41" s="16" t="str">
        <f>IFERROR(__xludf.DUMMYFUNCTION("GOOGLETRANSLATE(C41, ""th"", ""en"")"),"A) Take a deep breath and stay focused; B) Serve quickly; C) Ask someone else to serve; D) Stop playing.")</f>
        <v>A) Take a deep breath and stay focused; B) Serve quickly; C) Ask someone else to serve; D) Stop playing.</v>
      </c>
      <c r="O41" s="16" t="str">
        <f>IFERROR(__xludf.DUMMYFUNCTION("GOOGLETRANSLATE(D41, ""th"", ""en"")"),"A) Try to take deep breaths and stay focused.")</f>
        <v>A) Try to take deep breaths and stay focused.</v>
      </c>
    </row>
    <row r="42" ht="14.25" customHeight="1">
      <c r="A42" s="13">
        <v>41.0</v>
      </c>
      <c r="B42" s="15" t="s">
        <v>3158</v>
      </c>
      <c r="C42" s="15" t="s">
        <v>3159</v>
      </c>
      <c r="D42" s="15" t="s">
        <v>3160</v>
      </c>
      <c r="E42" s="15" t="s">
        <v>3161</v>
      </c>
      <c r="M42" s="16" t="str">
        <f>IFERROR(__xludf.DUMMYFUNCTION("GOOGLETRANSLATE(B42, ""th"", ""en"")"),"The game is almost over and you are serving at a crucial moment. What do you do?")</f>
        <v>The game is almost over and you are serving at a crucial moment. What do you do?</v>
      </c>
      <c r="N42" s="16" t="str">
        <f>IFERROR(__xludf.DUMMYFUNCTION("GOOGLETRANSLATE(C42, ""th"", ""en"")"),"A) Play confidently and use practiced technique; B) Serve unconfidently; C) Ask for a new serve; D) Step back and ask for another chance.")</f>
        <v>A) Play confidently and use practiced technique; B) Serve unconfidently; C) Ask for a new serve; D) Step back and ask for another chance.</v>
      </c>
      <c r="O42" s="16" t="str">
        <f>IFERROR(__xludf.DUMMYFUNCTION("GOOGLETRANSLATE(D42, ""th"", ""en"")"),"A) Play with confidence and use your practiced techniques.")</f>
        <v>A) Play with confidence and use your practiced techniques.</v>
      </c>
    </row>
    <row r="43" ht="14.25" customHeight="1">
      <c r="A43" s="13">
        <v>42.0</v>
      </c>
      <c r="B43" s="15" t="s">
        <v>3162</v>
      </c>
      <c r="C43" s="15" t="s">
        <v>3163</v>
      </c>
      <c r="D43" s="15" t="s">
        <v>3164</v>
      </c>
      <c r="E43" s="15" t="s">
        <v>3165</v>
      </c>
      <c r="M43" s="16" t="str">
        <f>IFERROR(__xludf.DUMMYFUNCTION("GOOGLETRANSLATE(B43, ""th"", ""en"")"),"Your opponent is playing slowly and the game is stalling. What should you do?")</f>
        <v>Your opponent is playing slowly and the game is stalling. What should you do?</v>
      </c>
      <c r="N43" s="16" t="str">
        <f>IFERROR(__xludf.DUMMYFUNCTION("GOOGLETRANSLATE(C43, ""th"", ""en"")"),"A) Keep calm and continue playing; B) Let the opposing team do whatever they want; C) Complain about them; D) Ask the referee to handle the situation.")</f>
        <v>A) Keep calm and continue playing; B) Let the opposing team do whatever they want; C) Complain about them; D) Ask the referee to handle the situation.</v>
      </c>
      <c r="O43" s="16" t="str">
        <f>IFERROR(__xludf.DUMMYFUNCTION("GOOGLETRANSLATE(D43, ""th"", ""en"")"),"A) Keep calm and keep playing.")</f>
        <v>A) Keep calm and keep playing.</v>
      </c>
    </row>
    <row r="44" ht="14.25" customHeight="1">
      <c r="A44" s="13">
        <v>43.0</v>
      </c>
      <c r="B44" s="15" t="s">
        <v>3166</v>
      </c>
      <c r="C44" s="15" t="s">
        <v>3167</v>
      </c>
      <c r="D44" s="15" t="s">
        <v>3168</v>
      </c>
      <c r="E44" s="15" t="s">
        <v>3169</v>
      </c>
      <c r="M44" s="16" t="str">
        <f>IFERROR(__xludf.DUMMYFUNCTION("GOOGLETRANSLATE(B44, ""th"", ""en"")"),"You see your teammates confused about the game plan, what do you do?")</f>
        <v>You see your teammates confused about the game plan, what do you do?</v>
      </c>
      <c r="N44" s="16" t="str">
        <f>IFERROR(__xludf.DUMMYFUNCTION("GOOGLETRANSLATE(C44, ""th"", ""en"")"),"A) Help explain and give advice; B) Let him handle it himself; C) Scold him; D) Change the game plan immediately.")</f>
        <v>A) Help explain and give advice; B) Let him handle it himself; C) Scold him; D) Change the game plan immediately.</v>
      </c>
      <c r="O44" s="16" t="str">
        <f>IFERROR(__xludf.DUMMYFUNCTION("GOOGLETRANSLATE(D44, ""th"", ""en"")"),"A) Please explain and give advice.")</f>
        <v>A) Please explain and give advice.</v>
      </c>
    </row>
    <row r="45" ht="14.25" customHeight="1">
      <c r="A45" s="13">
        <v>44.0</v>
      </c>
      <c r="B45" s="15" t="s">
        <v>3170</v>
      </c>
      <c r="C45" s="15" t="s">
        <v>3171</v>
      </c>
      <c r="D45" s="15" t="s">
        <v>3172</v>
      </c>
      <c r="E45" s="15" t="s">
        <v>3173</v>
      </c>
      <c r="M45" s="16" t="str">
        <f>IFERROR(__xludf.DUMMYFUNCTION("GOOGLETRANSLATE(B45, ""th"", ""en"")"),"During the game, you feel that the players on your team lack determination. What should you do?")</f>
        <v>During the game, you feel that the players on your team lack determination. What should you do?</v>
      </c>
      <c r="N45" s="16" t="str">
        <f>IFERROR(__xludf.DUMMYFUNCTION("GOOGLETRANSLATE(C45, ""th"", ""en"")"),"A) Encourage them to focus and concentrate; B) Complain about them; C) Let the team play as they please; D) Stop playing.")</f>
        <v>A) Encourage them to focus and concentrate; B) Complain about them; C) Let the team play as they please; D) Stop playing.</v>
      </c>
      <c r="O45" s="16" t="str">
        <f>IFERROR(__xludf.DUMMYFUNCTION("GOOGLETRANSLATE(D45, ""th"", ""en"")"),"A) Encourage them to focus and concentrate.")</f>
        <v>A) Encourage them to focus and concentrate.</v>
      </c>
    </row>
    <row r="46" ht="14.25" customHeight="1">
      <c r="A46" s="13">
        <v>45.0</v>
      </c>
      <c r="B46" s="15" t="s">
        <v>3174</v>
      </c>
      <c r="C46" s="15" t="s">
        <v>3175</v>
      </c>
      <c r="D46" s="15" t="s">
        <v>3176</v>
      </c>
      <c r="E46" s="15" t="s">
        <v>3177</v>
      </c>
      <c r="M46" s="16" t="str">
        <f>IFERROR(__xludf.DUMMYFUNCTION("GOOGLETRANSLATE(B46, ""th"", ""en"")"),"The referee didn't make a decision that you think was incorrect. What should you do?")</f>
        <v>The referee didn't make a decision that you think was incorrect. What should you do?</v>
      </c>
      <c r="N46" s="16" t="str">
        <f>IFERROR(__xludf.DUMMYFUNCTION("GOOGLETRANSLATE(C46, ""th"", ""en"")"),"A) Keep calm and continue playing; B) Politely object; C) Refuse to continue playing; D) Scold the referee.")</f>
        <v>A) Keep calm and continue playing; B) Politely object; C) Refuse to continue playing; D) Scold the referee.</v>
      </c>
      <c r="O46" s="16" t="str">
        <f>IFERROR(__xludf.DUMMYFUNCTION("GOOGLETRANSLATE(D46, ""th"", ""en"")"),"A) Keep calm and continue playing.")</f>
        <v>A) Keep calm and continue playing.</v>
      </c>
    </row>
    <row r="47" ht="14.25" customHeight="1">
      <c r="A47" s="13">
        <v>46.0</v>
      </c>
      <c r="B47" s="15" t="s">
        <v>3178</v>
      </c>
      <c r="C47" s="15" t="s">
        <v>3179</v>
      </c>
      <c r="D47" s="15" t="s">
        <v>3180</v>
      </c>
      <c r="E47" s="15" t="s">
        <v>3181</v>
      </c>
      <c r="M47" s="16" t="str">
        <f>IFERROR(__xludf.DUMMYFUNCTION("GOOGLETRANSLATE(B47, ""th"", ""en"")"),"Your opponent is scoring quickly, what will you do?")</f>
        <v>Your opponent is scoring quickly, what will you do?</v>
      </c>
      <c r="N47" s="16" t="str">
        <f>IFERROR(__xludf.DUMMYFUNCTION("GOOGLETRANSLATE(C47, ""th"", ""en"")"),"A) Coordinate with the team and defend in an orderly manner; B) Counterattack immediately; C) Surrender; D) Ask the referee for a decision.")</f>
        <v>A) Coordinate with the team and defend in an orderly manner; B) Counterattack immediately; C) Surrender; D) Ask the referee for a decision.</v>
      </c>
      <c r="O47" s="16" t="str">
        <f>IFERROR(__xludf.DUMMYFUNCTION("GOOGLETRANSLATE(D47, ""th"", ""en"")"),"A) Coordinate with the team and defend in an organized manner.")</f>
        <v>A) Coordinate with the team and defend in an organized manner.</v>
      </c>
    </row>
    <row r="48" ht="14.25" customHeight="1">
      <c r="A48" s="13">
        <v>47.0</v>
      </c>
      <c r="B48" s="15" t="s">
        <v>3182</v>
      </c>
      <c r="C48" s="15" t="s">
        <v>3183</v>
      </c>
      <c r="D48" s="15" t="s">
        <v>3184</v>
      </c>
      <c r="E48" s="15" t="s">
        <v>3185</v>
      </c>
      <c r="M48" s="16" t="str">
        <f>IFERROR(__xludf.DUMMYFUNCTION("GOOGLETRANSLATE(B48, ""th"", ""en"")"),"You feel like your teammates are not communicating well in the game. What should you do?")</f>
        <v>You feel like your teammates are not communicating well in the game. What should you do?</v>
      </c>
      <c r="N48" s="16" t="str">
        <f>IFERROR(__xludf.DUMMYFUNCTION("GOOGLETRANSLATE(C48, ""th"", ""en"")"),"A) Encourage them to communicate more; B) Let them play as they please; C) Reprimand their teammates; D) Ask the coach to handle it.")</f>
        <v>A) Encourage them to communicate more; B) Let them play as they please; C) Reprimand their teammates; D) Ask the coach to handle it.</v>
      </c>
      <c r="O48" s="16" t="str">
        <f>IFERROR(__xludf.DUMMYFUNCTION("GOOGLETRANSLATE(D48, ""th"", ""en"")"),"A) Encourage them to communicate more.")</f>
        <v>A) Encourage them to communicate more.</v>
      </c>
    </row>
    <row r="49" ht="14.25" customHeight="1">
      <c r="A49" s="13">
        <v>48.0</v>
      </c>
      <c r="B49" s="15" t="s">
        <v>3186</v>
      </c>
      <c r="C49" s="15" t="s">
        <v>3187</v>
      </c>
      <c r="D49" s="15" t="s">
        <v>3188</v>
      </c>
      <c r="E49" s="15" t="s">
        <v>3189</v>
      </c>
      <c r="M49" s="16" t="str">
        <f>IFERROR(__xludf.DUMMYFUNCTION("GOOGLETRANSLATE(B49, ""th"", ""en"")"),"The game is heating up and your opponent is putting pressure on you. What do you do?")</f>
        <v>The game is heating up and your opponent is putting pressure on you. What do you do?</v>
      </c>
      <c r="N49" s="16" t="str">
        <f>IFERROR(__xludf.DUMMYFUNCTION("GOOGLETRANSLATE(C49, ""th"", ""en"")"),"A) Stay calm and don't let the pressure get to you; B) Respond to the pressure; C) Stop playing; D) Express your stress.")</f>
        <v>A) Stay calm and don't let the pressure get to you; B) Respond to the pressure; C) Stop playing; D) Express your stress.</v>
      </c>
      <c r="O49" s="16" t="str">
        <f>IFERROR(__xludf.DUMMYFUNCTION("GOOGLETRANSLATE(D49, ""th"", ""en"")"),"A) Keep calm and don't let pressure get to you.")</f>
        <v>A) Keep calm and don't let pressure get to you.</v>
      </c>
    </row>
    <row r="50" ht="14.25" customHeight="1">
      <c r="A50" s="13">
        <v>49.0</v>
      </c>
      <c r="B50" s="15" t="s">
        <v>3190</v>
      </c>
      <c r="C50" s="15" t="s">
        <v>3191</v>
      </c>
      <c r="D50" s="15" t="s">
        <v>3192</v>
      </c>
      <c r="E50" s="15" t="s">
        <v>3193</v>
      </c>
      <c r="M50" s="16" t="str">
        <f>IFERROR(__xludf.DUMMYFUNCTION("GOOGLETRANSLATE(B50, ""th"", ""en"")"),"You feel like the game is dragging on, what should you do?")</f>
        <v>You feel like the game is dragging on, what should you do?</v>
      </c>
      <c r="N50" s="16" t="str">
        <f>IFERROR(__xludf.DUMMYFUNCTION("GOOGLETRANSLATE(C50, ""th"", ""en"")"),"A) Asked for a break and drank some water; B) Continued playing without taking a break; C) Complained about being tired; D) Withdrew from the game.")</f>
        <v>A) Asked for a break and drank some water; B) Continued playing without taking a break; C) Complained about being tired; D) Withdrew from the game.</v>
      </c>
      <c r="O50" s="16" t="str">
        <f>IFERROR(__xludf.DUMMYFUNCTION("GOOGLETRANSLATE(D50, ""th"", ""en"")"),"A) Please take a break and drink some water.")</f>
        <v>A) Please take a break and drink some water.</v>
      </c>
    </row>
    <row r="51" ht="14.25" customHeight="1">
      <c r="A51" s="13">
        <v>50.0</v>
      </c>
      <c r="B51" s="15" t="s">
        <v>3194</v>
      </c>
      <c r="C51" s="15" t="s">
        <v>3195</v>
      </c>
      <c r="D51" s="15" t="s">
        <v>3196</v>
      </c>
      <c r="E51" s="15" t="s">
        <v>3197</v>
      </c>
      <c r="M51" s="16" t="str">
        <f>IFERROR(__xludf.DUMMYFUNCTION("GOOGLETRANSLATE(B51, ""th"", ""en"")"),"Late in the game, you see a scoring opportunity but are worried. What do you do?")</f>
        <v>Late in the game, you see a scoring opportunity but are worried. What do you do?</v>
      </c>
      <c r="N51" s="16" t="str">
        <f>IFERROR(__xludf.DUMMYFUNCTION("GOOGLETRANSLATE(C51, ""th"", ""en"")"),"A) Play confidently and use your best technique; B) Avoid scoring; C) Play carelessly; D) Let the opposing team win.")</f>
        <v>A) Play confidently and use your best technique; B) Avoid scoring; C) Play carelessly; D) Let the opposing team win.</v>
      </c>
      <c r="O51" s="16" t="str">
        <f>IFERROR(__xludf.DUMMYFUNCTION("GOOGLETRANSLATE(D51, ""th"", ""en"")"),"A) Play with confidence and use your best technique.")</f>
        <v>A) Play with confidence and use your best technique.</v>
      </c>
    </row>
    <row r="52" ht="14.25" customHeight="1">
      <c r="A52" s="13">
        <v>51.0</v>
      </c>
      <c r="B52" s="15" t="s">
        <v>3198</v>
      </c>
      <c r="C52" s="15" t="s">
        <v>3199</v>
      </c>
      <c r="D52" s="15" t="s">
        <v>3200</v>
      </c>
      <c r="E52" s="15" t="s">
        <v>3201</v>
      </c>
      <c r="M52" s="16" t="str">
        <f>IFERROR(__xludf.DUMMYFUNCTION("GOOGLETRANSLATE(B52, ""th"", ""en"")"),"The game is about to end and the score is tied. What will you do?")</f>
        <v>The game is about to end and the score is tied. What will you do?</v>
      </c>
      <c r="N52" s="16" t="str">
        <f>IFERROR(__xludf.DUMMYFUNCTION("GOOGLETRANSLATE(C52, ""th"", ""en"")"),"A) Play hard to win; B) Stop playing and ask for a draw; C) Serve the ball carefully; D) Look for help from the referee.")</f>
        <v>A) Play hard to win; B) Stop playing and ask for a draw; C) Serve the ball carefully; D) Look for help from the referee.</v>
      </c>
      <c r="O52" s="16" t="str">
        <f>IFERROR(__xludf.DUMMYFUNCTION("GOOGLETRANSLATE(D52, ""th"", ""en"")"),"A) Play hard to win.")</f>
        <v>A) Play hard to win.</v>
      </c>
    </row>
    <row r="53" ht="14.25" customHeight="1">
      <c r="A53" s="13">
        <v>52.0</v>
      </c>
      <c r="B53" s="15" t="s">
        <v>3202</v>
      </c>
      <c r="C53" s="15" t="s">
        <v>3203</v>
      </c>
      <c r="D53" s="15" t="s">
        <v>3204</v>
      </c>
      <c r="E53" s="15" t="s">
        <v>3205</v>
      </c>
      <c r="M53" s="16" t="str">
        <f>IFERROR(__xludf.DUMMYFUNCTION("GOOGLETRANSLATE(B53, ""th"", ""en"")"),"Your teammates look tired after a long game. What do you do?")</f>
        <v>Your teammates look tired after a long game. What do you do?</v>
      </c>
      <c r="N53" s="16" t="str">
        <f>IFERROR(__xludf.DUMMYFUNCTION("GOOGLETRANSLATE(C53, ""th"", ""en"")"),"A) Encourage him to rest; B) Complain to him that he is playing poorly; C) Blame him for slowing down the game; D) Make him stop playing.")</f>
        <v>A) Encourage him to rest; B) Complain to him that he is playing poorly; C) Blame him for slowing down the game; D) Make him stop playing.</v>
      </c>
      <c r="O53" s="16" t="str">
        <f>IFERROR(__xludf.DUMMYFUNCTION("GOOGLETRANSLATE(D53, ""th"", ""en"")"),"A) Encourage him to rest.")</f>
        <v>A) Encourage him to rest.</v>
      </c>
    </row>
    <row r="54" ht="14.25" customHeight="1">
      <c r="A54" s="13">
        <v>53.0</v>
      </c>
      <c r="B54" s="15" t="s">
        <v>3206</v>
      </c>
      <c r="C54" s="15" t="s">
        <v>3207</v>
      </c>
      <c r="D54" s="15" t="s">
        <v>3208</v>
      </c>
      <c r="E54" s="15" t="s">
        <v>3209</v>
      </c>
      <c r="M54" s="16" t="str">
        <f>IFERROR(__xludf.DUMMYFUNCTION("GOOGLETRANSLATE(B54, ""th"", ""en"")"),"Your opponent is using a technique that is too difficult, what will you do?")</f>
        <v>Your opponent is using a technique that is too difficult, what will you do?</v>
      </c>
      <c r="N54" s="16" t="str">
        <f>IFERROR(__xludf.DUMMYFUNCTION("GOOGLETRANSLATE(C54, ""th"", ""en"")"),"A) follow their technique; B) use your own technique to counter; C) tell the referee to make a decision; D) avoid playing.")</f>
        <v>A) follow their technique; B) use your own technique to counter; C) tell the referee to make a decision; D) avoid playing.</v>
      </c>
      <c r="O54" s="16" t="str">
        <f>IFERROR(__xludf.DUMMYFUNCTION("GOOGLETRANSLATE(D54, ""th"", ""en"")"),"A) Use your own techniques to respond.")</f>
        <v>A) Use your own techniques to respond.</v>
      </c>
    </row>
    <row r="55" ht="14.25" customHeight="1">
      <c r="A55" s="13">
        <v>54.0</v>
      </c>
      <c r="B55" s="15" t="s">
        <v>3210</v>
      </c>
      <c r="C55" s="15" t="s">
        <v>3211</v>
      </c>
      <c r="D55" s="15" t="s">
        <v>3110</v>
      </c>
      <c r="E55" s="15" t="s">
        <v>3212</v>
      </c>
      <c r="M55" s="16" t="str">
        <f>IFERROR(__xludf.DUMMYFUNCTION("GOOGLETRANSLATE(B55, ""th"", ""en"")"),"During the game, you start to feel some pain. What do you do?")</f>
        <v>During the game, you start to feel some pain. What do you do?</v>
      </c>
      <c r="N55" s="16" t="str">
        <f>IFERROR(__xludf.DUMMYFUNCTION("GOOGLETRANSLATE(C55, ""th"", ""en"")"),"A) Tell the coach and ask for a break; B) Continue playing; C) Don't tell anyone; D) Stop playing immediately.")</f>
        <v>A) Tell the coach and ask for a break; B) Continue playing; C) Don't tell anyone; D) Stop playing immediately.</v>
      </c>
      <c r="O55" s="16" t="str">
        <f>IFERROR(__xludf.DUMMYFUNCTION("GOOGLETRANSLATE(D55, ""th"", ""en"")"),"A) Tell the trainer and ask for a break.")</f>
        <v>A) Tell the trainer and ask for a break.</v>
      </c>
    </row>
    <row r="56" ht="14.25" customHeight="1">
      <c r="A56" s="13">
        <v>55.0</v>
      </c>
      <c r="B56" s="15" t="s">
        <v>3213</v>
      </c>
      <c r="C56" s="15" t="s">
        <v>3214</v>
      </c>
      <c r="D56" s="15" t="s">
        <v>3215</v>
      </c>
      <c r="E56" s="15" t="s">
        <v>3083</v>
      </c>
      <c r="M56" s="16" t="str">
        <f>IFERROR(__xludf.DUMMYFUNCTION("GOOGLETRANSLATE(B56, ""th"", ""en"")"),"You see your opponent committing a foul, what do you do?")</f>
        <v>You see your opponent committing a foul, what do you do?</v>
      </c>
      <c r="N56" s="16" t="str">
        <f>IFERROR(__xludf.DUMMYFUNCTION("GOOGLETRANSLATE(C56, ""th"", ""en"")"),"A) Immediately inform the referee; B) Reverse the foul; C) Ignore it and continue playing; D) Tell the referee to adjust the score.")</f>
        <v>A) Immediately inform the referee; B) Reverse the foul; C) Ignore it and continue playing; D) Tell the referee to adjust the score.</v>
      </c>
      <c r="O56" s="16" t="str">
        <f>IFERROR(__xludf.DUMMYFUNCTION("GOOGLETRANSLATE(D56, ""th"", ""en"")"),"A) Notify the committee immediately.")</f>
        <v>A) Notify the committee immediately.</v>
      </c>
    </row>
    <row r="57" ht="14.25" customHeight="1">
      <c r="A57" s="13">
        <v>56.0</v>
      </c>
      <c r="B57" s="15" t="s">
        <v>3216</v>
      </c>
      <c r="C57" s="15" t="s">
        <v>3217</v>
      </c>
      <c r="D57" s="15" t="s">
        <v>3218</v>
      </c>
      <c r="E57" s="15" t="s">
        <v>3219</v>
      </c>
      <c r="M57" s="16" t="str">
        <f>IFERROR(__xludf.DUMMYFUNCTION("GOOGLETRANSLATE(B57, ""th"", ""en"")"),"Your team is falling behind in the game, what do you do?")</f>
        <v>Your team is falling behind in the game, what do you do?</v>
      </c>
      <c r="N57" s="16" t="str">
        <f>IFERROR(__xludf.DUMMYFUNCTION("GOOGLETRANSLATE(C57, ""th"", ""en"")"),"A) Play with confidence and never give up; B) Feel discouraged and never play to your full potential; C) Complain and blame your teammates; D) Stop playing and give up.")</f>
        <v>A) Play with confidence and never give up; B) Feel discouraged and never play to your full potential; C) Complain and blame your teammates; D) Stop playing and give up.</v>
      </c>
      <c r="O57" s="16" t="str">
        <f>IFERROR(__xludf.DUMMYFUNCTION("GOOGLETRANSLATE(D57, ""th"", ""en"")"),"A) Play with confidence and never give up.")</f>
        <v>A) Play with confidence and never give up.</v>
      </c>
    </row>
    <row r="58" ht="14.25" customHeight="1">
      <c r="A58" s="13">
        <v>57.0</v>
      </c>
      <c r="B58" s="15" t="s">
        <v>3220</v>
      </c>
      <c r="C58" s="15" t="s">
        <v>3221</v>
      </c>
      <c r="D58" s="15" t="s">
        <v>3222</v>
      </c>
      <c r="E58" s="15" t="s">
        <v>3119</v>
      </c>
      <c r="M58" s="16" t="str">
        <f>IFERROR(__xludf.DUMMYFUNCTION("GOOGLETRANSLATE(B58, ""th"", ""en"")"),"You see the referee makes a wrong decision, what do you do?")</f>
        <v>You see the referee makes a wrong decision, what do you do?</v>
      </c>
      <c r="N58" s="16" t="str">
        <f>IFERROR(__xludf.DUMMYFUNCTION("GOOGLETRANSLATE(C58, ""th"", ""en"")"),"A) Politely inform the referee; B) Argue and slow down the game; C) Ignore and continue playing; D) Complain to a teammate.")</f>
        <v>A) Politely inform the referee; B) Argue and slow down the game; C) Ignore and continue playing; D) Complain to a teammate.</v>
      </c>
      <c r="O58" s="16" t="str">
        <f>IFERROR(__xludf.DUMMYFUNCTION("GOOGLETRANSLATE(D58, ""th"", ""en"")"),"A) Politely inform the committee.")</f>
        <v>A) Politely inform the committee.</v>
      </c>
    </row>
    <row r="59" ht="14.25" customHeight="1">
      <c r="A59" s="13">
        <v>58.0</v>
      </c>
      <c r="B59" s="15" t="s">
        <v>3223</v>
      </c>
      <c r="C59" s="15" t="s">
        <v>3224</v>
      </c>
      <c r="D59" s="15" t="s">
        <v>3225</v>
      </c>
      <c r="E59" s="15" t="s">
        <v>3226</v>
      </c>
      <c r="M59" s="16" t="str">
        <f>IFERROR(__xludf.DUMMYFUNCTION("GOOGLETRANSLATE(B59, ""th"", ""en"")"),"Your teammates aren't following the game plan. What do you do?")</f>
        <v>Your teammates aren't following the game plan. What do you do?</v>
      </c>
      <c r="N59" s="16" t="str">
        <f>IFERROR(__xludf.DUMMYFUNCTION("GOOGLETRANSLATE(C59, ""th"", ""en"")"),"A) Explain the new plan to him; B) reprimand him; C) let him do as he pleases; D) change the entire game plan.")</f>
        <v>A) Explain the new plan to him; B) reprimand him; C) let him do as he pleases; D) change the entire game plan.</v>
      </c>
      <c r="O59" s="16" t="str">
        <f>IFERROR(__xludf.DUMMYFUNCTION("GOOGLETRANSLATE(D59, ""th"", ""en"")"),"A) Explain the new plan to him.")</f>
        <v>A) Explain the new plan to him.</v>
      </c>
    </row>
    <row r="60" ht="14.25" customHeight="1">
      <c r="A60" s="13">
        <v>59.0</v>
      </c>
      <c r="B60" s="15" t="s">
        <v>3227</v>
      </c>
      <c r="C60" s="15" t="s">
        <v>3228</v>
      </c>
      <c r="D60" s="15" t="s">
        <v>3229</v>
      </c>
      <c r="E60" s="15" t="s">
        <v>3230</v>
      </c>
      <c r="M60" s="16" t="str">
        <f>IFERROR(__xludf.DUMMYFUNCTION("GOOGLETRANSLATE(B60, ""th"", ""en"")"),"The game is still in a tense situation. What will you do?")</f>
        <v>The game is still in a tense situation. What will you do?</v>
      </c>
      <c r="N60" s="16" t="str">
        <f>IFERROR(__xludf.DUMMYFUNCTION("GOOGLETRANSLATE(C60, ""th"", ""en"")"),"A) Maintain focus and control your emotions; B) Respond violently; C) Avoid playing; D) Complain about stress.")</f>
        <v>A) Maintain focus and control your emotions; B) Respond violently; C) Avoid playing; D) Complain about stress.</v>
      </c>
      <c r="O60" s="16" t="str">
        <f>IFERROR(__xludf.DUMMYFUNCTION("GOOGLETRANSLATE(D60, ""th"", ""en"")"),"A) Maintain concentration and control your emotions.")</f>
        <v>A) Maintain concentration and control your emotions.</v>
      </c>
    </row>
    <row r="61" ht="14.25" customHeight="1">
      <c r="A61" s="13">
        <v>60.0</v>
      </c>
      <c r="B61" s="15" t="s">
        <v>3231</v>
      </c>
      <c r="C61" s="15" t="s">
        <v>3232</v>
      </c>
      <c r="D61" s="15" t="s">
        <v>3082</v>
      </c>
      <c r="E61" s="15" t="s">
        <v>3083</v>
      </c>
      <c r="M61" s="16" t="str">
        <f>IFERROR(__xludf.DUMMYFUNCTION("GOOGLETRANSLATE(B61, ""th"", ""en"")"),"You see your opponent using unfair techniques, what do you do?")</f>
        <v>You see your opponent using unfair techniques, what do you do?</v>
      </c>
      <c r="N61" s="16" t="str">
        <f>IFERROR(__xludf.DUMMYFUNCTION("GOOGLETRANSLATE(C61, ""th"", ""en"")"),"A) inform the referee; B) call a foul to show dissatisfaction; C) endure and continue playing; D) tell the referee to warn them.")</f>
        <v>A) inform the referee; B) call a foul to show dissatisfaction; C) endure and continue playing; D) tell the referee to warn them.</v>
      </c>
      <c r="O61" s="16" t="str">
        <f>IFERROR(__xludf.DUMMYFUNCTION("GOOGLETRANSLATE(D61, ""th"", ""en"")"),"A) Inform the committee.")</f>
        <v>A) Inform the committee.</v>
      </c>
    </row>
    <row r="62" ht="14.25" customHeight="1">
      <c r="A62" s="13">
        <v>61.0</v>
      </c>
      <c r="B62" s="15" t="s">
        <v>3233</v>
      </c>
      <c r="C62" s="15" t="s">
        <v>3234</v>
      </c>
      <c r="D62" s="15" t="s">
        <v>3235</v>
      </c>
      <c r="E62" s="15" t="s">
        <v>3236</v>
      </c>
      <c r="M62" s="16" t="str">
        <f>IFERROR(__xludf.DUMMYFUNCTION("GOOGLETRANSLATE(B62, ""th"", ""en"")"),"During a game, you see a player on your team making a mistake. What should you do?")</f>
        <v>During a game, you see a player on your team making a mistake. What should you do?</v>
      </c>
      <c r="N62" s="16" t="str">
        <f>IFERROR(__xludf.DUMMYFUNCTION("GOOGLETRANSLATE(C62, ""th"", ""en"")"),"A) Help him figure out the right way to play; B) Let him do whatever he wants; C) Scold him in public; D) Do nothing.")</f>
        <v>A) Help him figure out the right way to play; B) Let him do whatever he wants; C) Scold him in public; D) Do nothing.</v>
      </c>
      <c r="O62" s="16" t="str">
        <f>IFERROR(__xludf.DUMMYFUNCTION("GOOGLETRANSLATE(D62, ""th"", ""en"")"),"A) Please advise the correct way to play.")</f>
        <v>A) Please advise the correct way to play.</v>
      </c>
    </row>
    <row r="63" ht="14.25" customHeight="1">
      <c r="A63" s="13">
        <v>62.0</v>
      </c>
      <c r="B63" s="15" t="s">
        <v>3237</v>
      </c>
      <c r="C63" s="15" t="s">
        <v>3238</v>
      </c>
      <c r="D63" s="15" t="s">
        <v>3239</v>
      </c>
      <c r="E63" s="15" t="s">
        <v>3240</v>
      </c>
      <c r="M63" s="16" t="str">
        <f>IFERROR(__xludf.DUMMYFUNCTION("GOOGLETRANSLATE(B63, ""th"", ""en"")"),"You are in a position where you have to make a decision about your serve in a crucial match. What do you do?")</f>
        <v>You are in a position where you have to make a decision about your serve in a crucial match. What do you do?</v>
      </c>
      <c r="N63" s="16" t="str">
        <f>IFERROR(__xludf.DUMMYFUNCTION("GOOGLETRANSLATE(C63, ""th"", ""en"")"),"A) Think carefully and serve confidently; B) Serve with stress; C) Let someone else serve; D) Ask for a break.")</f>
        <v>A) Think carefully and serve confidently; B) Serve with stress; C) Let someone else serve; D) Ask for a break.</v>
      </c>
      <c r="O63" s="16" t="str">
        <f>IFERROR(__xludf.DUMMYFUNCTION("GOOGLETRANSLATE(D63, ""th"", ""en"")"),"A) Think carefully and serve confidently.")</f>
        <v>A) Think carefully and serve confidently.</v>
      </c>
    </row>
    <row r="64" ht="14.25" customHeight="1">
      <c r="A64" s="13">
        <v>63.0</v>
      </c>
      <c r="B64" s="15" t="s">
        <v>3241</v>
      </c>
      <c r="C64" s="15" t="s">
        <v>3242</v>
      </c>
      <c r="D64" s="15" t="s">
        <v>3243</v>
      </c>
      <c r="E64" s="15" t="s">
        <v>3244</v>
      </c>
      <c r="M64" s="16" t="str">
        <f>IFERROR(__xludf.DUMMYFUNCTION("GOOGLETRANSLATE(B64, ""th"", ""en"")"),"You see your teammates starting to lose focus during the game, what do you do?")</f>
        <v>You see your teammates starting to lose focus during the game, what do you do?</v>
      </c>
      <c r="N64" s="16" t="str">
        <f>IFERROR(__xludf.DUMMYFUNCTION("GOOGLETRANSLATE(C64, ""th"", ""en"")"),"A) Help him regain his focus; B) Let him stop playing; C) Nagging and criticizing him; D) Ignoring him.")</f>
        <v>A) Help him regain his focus; B) Let him stop playing; C) Nagging and criticizing him; D) Ignoring him.</v>
      </c>
      <c r="O64" s="16" t="str">
        <f>IFERROR(__xludf.DUMMYFUNCTION("GOOGLETRANSLATE(D64, ""th"", ""en"")"),"A) Help him regain focus.")</f>
        <v>A) Help him regain focus.</v>
      </c>
    </row>
    <row r="65" ht="14.25" customHeight="1">
      <c r="A65" s="13">
        <v>64.0</v>
      </c>
      <c r="B65" s="15" t="s">
        <v>3245</v>
      </c>
      <c r="C65" s="15" t="s">
        <v>3246</v>
      </c>
      <c r="D65" s="15" t="s">
        <v>3247</v>
      </c>
      <c r="E65" s="15" t="s">
        <v>3248</v>
      </c>
      <c r="M65" s="16" t="str">
        <f>IFERROR(__xludf.DUMMYFUNCTION("GOOGLETRANSLATE(B65, ""th"", ""en"")"),"The game is about to end. What will you do?")</f>
        <v>The game is about to end. What will you do?</v>
      </c>
      <c r="N65" s="16" t="str">
        <f>IFERROR(__xludf.DUMMYFUNCTION("GOOGLETRANSLATE(C65, ""th"", ""en"")"),"A) Increase your commitment and play your best; B) Play without thinking too much; C) Avoid taking risks; D) Call off the game.")</f>
        <v>A) Increase your commitment and play your best; B) Play without thinking too much; C) Avoid taking risks; D) Call off the game.</v>
      </c>
      <c r="O65" s="16" t="str">
        <f>IFERROR(__xludf.DUMMYFUNCTION("GOOGLETRANSLATE(D65, ""th"", ""en"")"),"A) Increase your commitment and play your best.")</f>
        <v>A) Increase your commitment and play your best.</v>
      </c>
    </row>
    <row r="66" ht="14.25" customHeight="1">
      <c r="A66" s="13">
        <v>65.0</v>
      </c>
      <c r="B66" s="15" t="s">
        <v>3249</v>
      </c>
      <c r="C66" s="15" t="s">
        <v>3250</v>
      </c>
      <c r="D66" s="15" t="s">
        <v>3251</v>
      </c>
      <c r="E66" s="15" t="s">
        <v>3252</v>
      </c>
      <c r="M66" s="16" t="str">
        <f>IFERROR(__xludf.DUMMYFUNCTION("GOOGLETRANSLATE(B66, ""th"", ""en"")"),"Your teammate commits a foul, what do you do?")</f>
        <v>Your teammate commits a foul, what do you do?</v>
      </c>
      <c r="N66" s="16" t="str">
        <f>IFERROR(__xludf.DUMMYFUNCTION("GOOGLETRANSLATE(C66, ""th"", ""en"")"),"A) inform the referee and accept the result; B) defend him by not informing the referee; C) reprimand him; D) avoid mentioning it.")</f>
        <v>A) inform the referee and accept the result; B) defend him by not informing the referee; C) reprimand him; D) avoid mentioning it.</v>
      </c>
      <c r="O66" s="16" t="str">
        <f>IFERROR(__xludf.DUMMYFUNCTION("GOOGLETRANSLATE(D66, ""th"", ""en"")"),"A) Inform the committee and accept the results.")</f>
        <v>A) Inform the committee and accept the results.</v>
      </c>
    </row>
    <row r="67" ht="14.25" customHeight="1">
      <c r="A67" s="13">
        <v>66.0</v>
      </c>
      <c r="B67" s="15" t="s">
        <v>3253</v>
      </c>
      <c r="C67" s="15" t="s">
        <v>3254</v>
      </c>
      <c r="D67" s="15" t="s">
        <v>3255</v>
      </c>
      <c r="E67" s="15" t="s">
        <v>3256</v>
      </c>
      <c r="M67" s="16" t="str">
        <f>IFERROR(__xludf.DUMMYFUNCTION("GOOGLETRANSLATE(B67, ""th"", ""en"")"),"You notice that your opponent is disrupting your team's focus. What do you do?")</f>
        <v>You notice that your opponent is disrupting your team's focus. What do you do?</v>
      </c>
      <c r="N67" s="16" t="str">
        <f>IFERROR(__xludf.DUMMYFUNCTION("GOOGLETRANSLATE(C67, ""th"", ""en"")"),"A) Stay calm and play according to plan; B) Respond and heat up the game; C) Avoid playing; D) Tell the referee.")</f>
        <v>A) Stay calm and play according to plan; B) Respond and heat up the game; C) Avoid playing; D) Tell the referee.</v>
      </c>
      <c r="O67" s="16" t="str">
        <f>IFERROR(__xludf.DUMMYFUNCTION("GOOGLETRANSLATE(D67, ""th"", ""en"")"),"A) Keep calm and play according to plan.")</f>
        <v>A) Keep calm and play according to plan.</v>
      </c>
    </row>
    <row r="68" ht="14.25" customHeight="1">
      <c r="A68" s="13">
        <v>67.0</v>
      </c>
      <c r="B68" s="15" t="s">
        <v>3257</v>
      </c>
      <c r="C68" s="15" t="s">
        <v>3258</v>
      </c>
      <c r="D68" s="15" t="s">
        <v>3259</v>
      </c>
      <c r="E68" s="15" t="s">
        <v>3260</v>
      </c>
      <c r="M68" s="16" t="str">
        <f>IFERROR(__xludf.DUMMYFUNCTION("GOOGLETRANSLATE(B68, ""th"", ""en"")"),"The game is about to end and you have to serve a crucial ball. What do you do?")</f>
        <v>The game is about to end and you have to serve a crucial ball. What do you do?</v>
      </c>
      <c r="N68" s="16" t="str">
        <f>IFERROR(__xludf.DUMMYFUNCTION("GOOGLETRANSLATE(C68, ""th"", ""en"")"),"A) Serve with confidence and the utmost skill; B) Serve hastily; C) Ask someone else to serve; D) Stop playing.")</f>
        <v>A) Serve with confidence and the utmost skill; B) Serve hastily; C) Ask someone else to serve; D) Stop playing.</v>
      </c>
      <c r="O68" s="16" t="str">
        <f>IFERROR(__xludf.DUMMYFUNCTION("GOOGLETRANSLATE(D68, ""th"", ""en"")"),"A) Serve with the utmost confidence and skill.")</f>
        <v>A) Serve with the utmost confidence and skill.</v>
      </c>
    </row>
    <row r="69" ht="14.25" customHeight="1">
      <c r="A69" s="13">
        <v>68.0</v>
      </c>
      <c r="B69" s="15" t="s">
        <v>3261</v>
      </c>
      <c r="C69" s="15" t="s">
        <v>3262</v>
      </c>
      <c r="D69" s="15" t="s">
        <v>3263</v>
      </c>
      <c r="E69" s="15" t="s">
        <v>3264</v>
      </c>
      <c r="M69" s="16" t="str">
        <f>IFERROR(__xludf.DUMMYFUNCTION("GOOGLETRANSLATE(B69, ""th"", ""en"")"),"You feel stress in your team, what should you do?")</f>
        <v>You feel stress in your team, what should you do?</v>
      </c>
      <c r="N69" s="16" t="str">
        <f>IFERROR(__xludf.DUMMYFUNCTION("GOOGLETRANSLATE(C69, ""th"", ""en"")"),"A) Talk and help each other relieve stress; B) Let the stress stay in the team; C) Complain about the stress; D) Do nothing.")</f>
        <v>A) Talk and help each other relieve stress; B) Let the stress stay in the team; C) Complain about the stress; D) Do nothing.</v>
      </c>
      <c r="O69" s="16" t="str">
        <f>IFERROR(__xludf.DUMMYFUNCTION("GOOGLETRANSLATE(D69, ""th"", ""en"")"),"A) Talk and help each other relieve stress.")</f>
        <v>A) Talk and help each other relieve stress.</v>
      </c>
    </row>
    <row r="70" ht="14.25" customHeight="1">
      <c r="A70" s="13">
        <v>69.0</v>
      </c>
      <c r="B70" s="15" t="s">
        <v>3265</v>
      </c>
      <c r="C70" s="15" t="s">
        <v>3266</v>
      </c>
      <c r="D70" s="15" t="s">
        <v>3118</v>
      </c>
      <c r="E70" s="15" t="s">
        <v>3267</v>
      </c>
      <c r="M70" s="16" t="str">
        <f>IFERROR(__xludf.DUMMYFUNCTION("GOOGLETRANSLATE(B70, ""th"", ""en"")"),"Your opponent is committing multiple fouls. What do you do?")</f>
        <v>Your opponent is committing multiple fouls. What do you do?</v>
      </c>
      <c r="N70" s="16" t="str">
        <f>IFERROR(__xludf.DUMMYFUNCTION("GOOGLETRANSLATE(C70, ""th"", ""en"")"),"A) Tell the referee and continue playing; B) Call back the foul; C) Let them continue fouling; D) Stop play.")</f>
        <v>A) Tell the referee and continue playing; B) Call back the foul; C) Let them continue fouling; D) Stop play.</v>
      </c>
      <c r="O70" s="16" t="str">
        <f>IFERROR(__xludf.DUMMYFUNCTION("GOOGLETRANSLATE(D70, ""th"", ""en"")"),"A) Inform the referee and continue playing.")</f>
        <v>A) Inform the referee and continue playing.</v>
      </c>
    </row>
    <row r="71" ht="14.25" customHeight="1">
      <c r="A71" s="13">
        <v>70.0</v>
      </c>
      <c r="B71" s="15" t="s">
        <v>3268</v>
      </c>
      <c r="C71" s="15" t="s">
        <v>3269</v>
      </c>
      <c r="D71" s="15" t="s">
        <v>3270</v>
      </c>
      <c r="E71" s="15" t="s">
        <v>3271</v>
      </c>
      <c r="M71" s="16" t="str">
        <f>IFERROR(__xludf.DUMMYFUNCTION("GOOGLETRANSLATE(B71, ""th"", ""en"")"),"You see the opposing team lacking coordination in their play, what do you do?")</f>
        <v>You see the opposing team lacking coordination in their play, what do you do?</v>
      </c>
      <c r="N71" s="16" t="str">
        <f>IFERROR(__xludf.DUMMYFUNCTION("GOOGLETRANSLATE(C71, ""th"", ""en"")"),"A) Use this opportunity to score; B) Stay calm and play according to plan; C) Counterattack and make the game more difficult; D) Ignore it.")</f>
        <v>A) Use this opportunity to score; B) Stay calm and play according to plan; C) Counterattack and make the game more difficult; D) Ignore it.</v>
      </c>
      <c r="O71" s="16" t="str">
        <f>IFERROR(__xludf.DUMMYFUNCTION("GOOGLETRANSLATE(D71, ""th"", ""en"")"),"A) Use this opportunity to score points.")</f>
        <v>A) Use this opportunity to score points.</v>
      </c>
    </row>
    <row r="72" ht="14.25" customHeight="1">
      <c r="A72" s="13">
        <v>71.0</v>
      </c>
      <c r="B72" s="15" t="s">
        <v>3272</v>
      </c>
      <c r="C72" s="15" t="s">
        <v>3273</v>
      </c>
      <c r="D72" s="15" t="s">
        <v>3274</v>
      </c>
      <c r="E72" s="15" t="s">
        <v>3275</v>
      </c>
      <c r="M72" s="16" t="str">
        <f>IFERROR(__xludf.DUMMYFUNCTION("GOOGLETRANSLATE(B72, ""th"", ""en"")"),"During the game, you feel that you have problems with your movement. What should you do?")</f>
        <v>During the game, you feel that you have problems with your movement. What should you do?</v>
      </c>
      <c r="N72" s="16" t="str">
        <f>IFERROR(__xludf.DUMMYFUNCTION("GOOGLETRANSLATE(C72, ""th"", ""en"")"),"A) Inform the coach to find a solution; B) Stop playing; C) Continue playing; D) Ask someone else to take his place.")</f>
        <v>A) Inform the coach to find a solution; B) Stop playing; C) Continue playing; D) Ask someone else to take his place.</v>
      </c>
      <c r="O72" s="16" t="str">
        <f>IFERROR(__xludf.DUMMYFUNCTION("GOOGLETRANSLATE(D72, ""th"", ""en"")"),"A) Inform the coach to find a solution.")</f>
        <v>A) Inform the coach to find a solution.</v>
      </c>
    </row>
    <row r="73" ht="14.25" customHeight="1">
      <c r="A73" s="13">
        <v>72.0</v>
      </c>
      <c r="B73" s="15" t="s">
        <v>3276</v>
      </c>
      <c r="C73" s="15" t="s">
        <v>3277</v>
      </c>
      <c r="D73" s="15" t="s">
        <v>3278</v>
      </c>
      <c r="E73" s="15" t="s">
        <v>3279</v>
      </c>
      <c r="M73" s="16" t="str">
        <f>IFERROR(__xludf.DUMMYFUNCTION("GOOGLETRANSLATE(B73, ""th"", ""en"")"),"You receive a difficult ball from your opponent, what do you do?")</f>
        <v>You receive a difficult ball from your opponent, what do you do?</v>
      </c>
      <c r="N73" s="16" t="str">
        <f>IFERROR(__xludf.DUMMYFUNCTION("GOOGLETRANSLATE(C73, ""th"", ""en"")"),"A) Attack the ball with your best skill; B) Hit the ball carefully to get the team ready; C) Let the ball drop; D) Hit the ball out of bounds.")</f>
        <v>A) Attack the ball with your best skill; B) Hit the ball carefully to get the team ready; C) Let the ball drop; D) Hit the ball out of bounds.</v>
      </c>
      <c r="O73" s="16" t="str">
        <f>IFERROR(__xludf.DUMMYFUNCTION("GOOGLETRANSLATE(D73, ""th"", ""en"")"),"A) Attack the ball with your best skills.")</f>
        <v>A) Attack the ball with your best skills.</v>
      </c>
    </row>
    <row r="74" ht="14.25" customHeight="1">
      <c r="A74" s="13">
        <v>73.0</v>
      </c>
      <c r="B74" s="15" t="s">
        <v>3280</v>
      </c>
      <c r="C74" s="15" t="s">
        <v>3281</v>
      </c>
      <c r="D74" s="15" t="s">
        <v>3282</v>
      </c>
      <c r="E74" s="15" t="s">
        <v>3283</v>
      </c>
      <c r="M74" s="16" t="str">
        <f>IFERROR(__xludf.DUMMYFUNCTION("GOOGLETRANSLATE(B74, ""th"", ""en"")"),"Your team needs a win. What will you do?")</f>
        <v>Your team needs a win. What will you do?</v>
      </c>
      <c r="N74" s="16" t="str">
        <f>IFERROR(__xludf.DUMMYFUNCTION("GOOGLETRANSLATE(C74, ""th"", ""en"")"),"A) Increase your commitment and play your best; B) Wait for the opposing team to make a mistake; C) Reduce your risk and stop playing; D) Refuse to concede.")</f>
        <v>A) Increase your commitment and play your best; B) Wait for the opposing team to make a mistake; C) Reduce your risk and stop playing; D) Refuse to concede.</v>
      </c>
      <c r="O74" s="16" t="str">
        <f>IFERROR(__xludf.DUMMYFUNCTION("GOOGLETRANSLATE(D74, ""th"", ""en"")"),"A) Increase your commitment and play your best.")</f>
        <v>A) Increase your commitment and play your best.</v>
      </c>
    </row>
    <row r="75" ht="14.25" customHeight="1">
      <c r="A75" s="13">
        <v>74.0</v>
      </c>
      <c r="B75" s="15" t="s">
        <v>3284</v>
      </c>
      <c r="C75" s="15" t="s">
        <v>3285</v>
      </c>
      <c r="D75" s="15" t="s">
        <v>3286</v>
      </c>
      <c r="E75" s="15" t="s">
        <v>3287</v>
      </c>
      <c r="M75" s="16" t="str">
        <f>IFERROR(__xludf.DUMMYFUNCTION("GOOGLETRANSLATE(B75, ""th"", ""en"")"),"During the game, you feel that your opponent is gaining an advantage, what will you do?")</f>
        <v>During the game, you feel that your opponent is gaining an advantage, what will you do?</v>
      </c>
      <c r="N75" s="16" t="str">
        <f>IFERROR(__xludf.DUMMYFUNCTION("GOOGLETRANSLATE(C75, ""th"", ""en"")"),"A) Take the opportunity to counterattack; B) Let them win; C) Return the foul; D) Avoid playing.")</f>
        <v>A) Take the opportunity to counterattack; B) Let them win; C) Return the foul; D) Avoid playing.</v>
      </c>
      <c r="O75" s="16" t="str">
        <f>IFERROR(__xludf.DUMMYFUNCTION("GOOGLETRANSLATE(D75, ""th"", ""en"")"),"A) Take the opportunity to counterattack.")</f>
        <v>A) Take the opportunity to counterattack.</v>
      </c>
    </row>
    <row r="76" ht="14.25" customHeight="1">
      <c r="A76" s="13">
        <v>75.0</v>
      </c>
      <c r="B76" s="15" t="s">
        <v>3288</v>
      </c>
      <c r="C76" s="15" t="s">
        <v>3289</v>
      </c>
      <c r="D76" s="15" t="s">
        <v>3290</v>
      </c>
      <c r="E76" s="15" t="s">
        <v>1393</v>
      </c>
      <c r="M76" s="16" t="str">
        <f>IFERROR(__xludf.DUMMYFUNCTION("GOOGLETRANSLATE(B76, ""th"", ""en"")"),"A player on your team feels insecure. What should you do?")</f>
        <v>A player on your team feels insecure. What should you do?</v>
      </c>
      <c r="N76" s="16" t="str">
        <f>IFERROR(__xludf.DUMMYFUNCTION("GOOGLETRANSLATE(C76, ""th"", ""en"")"),"A) Support and encourage him; B) Let him play his own way; C) Criticize him; D) Avoid talking about it.")</f>
        <v>A) Support and encourage him; B) Let him play his own way; C) Criticize him; D) Avoid talking about it.</v>
      </c>
      <c r="O76" s="16" t="str">
        <f>IFERROR(__xludf.DUMMYFUNCTION("GOOGLETRANSLATE(D76, ""th"", ""en"")"),"A) Support and encourage him.")</f>
        <v>A) Support and encourage him.</v>
      </c>
    </row>
    <row r="77" ht="14.25" customHeight="1">
      <c r="A77" s="13">
        <v>76.0</v>
      </c>
      <c r="B77" s="15" t="s">
        <v>3291</v>
      </c>
      <c r="C77" s="15" t="s">
        <v>3292</v>
      </c>
      <c r="D77" s="15" t="s">
        <v>3293</v>
      </c>
      <c r="E77" s="15" t="s">
        <v>3294</v>
      </c>
      <c r="M77" s="16" t="str">
        <f>IFERROR(__xludf.DUMMYFUNCTION("GOOGLETRANSLATE(B77, ""th"", ""en"")"),"You see the opposing team playing in an inappropriate manner, what should you do?")</f>
        <v>You see the opposing team playing in an inappropriate manner, what should you do?</v>
      </c>
      <c r="N77" s="16" t="str">
        <f>IFERROR(__xludf.DUMMYFUNCTION("GOOGLETRANSLATE(C77, ""th"", ""en"")"),"A) Tell the referee to warn them; B) Use the gesture to your advantage; C) Avoid playing; D) Complain to a teammate.")</f>
        <v>A) Tell the referee to warn them; B) Use the gesture to your advantage; C) Avoid playing; D) Complain to a teammate.</v>
      </c>
      <c r="O77" s="16" t="str">
        <f>IFERROR(__xludf.DUMMYFUNCTION("GOOGLETRANSLATE(D77, ""th"", ""en"")"),"A) Inform the referee to warn them.")</f>
        <v>A) Inform the referee to warn them.</v>
      </c>
    </row>
    <row r="78" ht="14.25" customHeight="1">
      <c r="A78" s="13">
        <v>77.0</v>
      </c>
      <c r="B78" s="15" t="s">
        <v>3295</v>
      </c>
      <c r="C78" s="15" t="s">
        <v>3296</v>
      </c>
      <c r="D78" s="15" t="s">
        <v>3297</v>
      </c>
      <c r="E78" s="15" t="s">
        <v>3298</v>
      </c>
      <c r="M78" s="16" t="str">
        <f>IFERROR(__xludf.DUMMYFUNCTION("GOOGLETRANSLATE(B78, ""th"", ""en"")"),"You notice that the players on your team are not concentrating. What do you do?")</f>
        <v>You notice that the players on your team are not concentrating. What do you do?</v>
      </c>
      <c r="N78" s="16" t="str">
        <f>IFERROR(__xludf.DUMMYFUNCTION("GOOGLETRANSLATE(C78, ""th"", ""en"")"),"A) Help him refocus; B) Let him stop playing; C) Reprimand him; D) Ignore him.")</f>
        <v>A) Help him refocus; B) Let him stop playing; C) Reprimand him; D) Ignore him.</v>
      </c>
      <c r="O78" s="16" t="str">
        <f>IFERROR(__xludf.DUMMYFUNCTION("GOOGLETRANSLATE(D78, ""th"", ""en"")"),"A) Help him refocus.")</f>
        <v>A) Help him refocus.</v>
      </c>
    </row>
    <row r="79" ht="14.25" customHeight="1">
      <c r="A79" s="13">
        <v>78.0</v>
      </c>
      <c r="B79" s="15" t="s">
        <v>3299</v>
      </c>
      <c r="C79" s="15" t="s">
        <v>3300</v>
      </c>
      <c r="D79" s="15" t="s">
        <v>3301</v>
      </c>
      <c r="E79" s="15" t="s">
        <v>3302</v>
      </c>
      <c r="M79" s="16" t="str">
        <f>IFERROR(__xludf.DUMMYFUNCTION("GOOGLETRANSLATE(B79, ""th"", ""en"")"),"The game is in its final stages and you have to decide to serve. What will you do?")</f>
        <v>The game is in its final stages and you have to decide to serve. What will you do?</v>
      </c>
      <c r="N79" s="16" t="str">
        <f>IFERROR(__xludf.DUMMYFUNCTION("GOOGLETRANSLATE(C79, ""th"", ""en"")"),"A) Serve confidently and thoughtfully; B) Serve without thinking too much; C) Ask someone else to serve; D) Stop playing.")</f>
        <v>A) Serve confidently and thoughtfully; B) Serve without thinking too much; C) Ask someone else to serve; D) Stop playing.</v>
      </c>
      <c r="O79" s="16" t="str">
        <f>IFERROR(__xludf.DUMMYFUNCTION("GOOGLETRANSLATE(D79, ""th"", ""en"")"),"A) Serve with confidence and thoughtfulness.")</f>
        <v>A) Serve with confidence and thoughtfulness.</v>
      </c>
    </row>
    <row r="80" ht="14.25" customHeight="1">
      <c r="A80" s="13">
        <v>79.0</v>
      </c>
      <c r="B80" s="15" t="s">
        <v>3303</v>
      </c>
      <c r="C80" s="15" t="s">
        <v>3304</v>
      </c>
      <c r="D80" s="15" t="s">
        <v>3305</v>
      </c>
      <c r="E80" s="15" t="s">
        <v>3306</v>
      </c>
      <c r="M80" s="16" t="str">
        <f>IFERROR(__xludf.DUMMYFUNCTION("GOOGLETRANSLATE(B80, ""th"", ""en"")"),"You see that your opponent is waiting for you to make a mistake, what do you do?")</f>
        <v>You see that your opponent is waiting for you to make a mistake, what do you do?</v>
      </c>
      <c r="N80" s="16" t="str">
        <f>IFERROR(__xludf.DUMMYFUNCTION("GOOGLETRANSLATE(C80, ""th"", ""en"")"),"A) Play confidently and never give up; B) Get discouraged and slow down the team; C) Avoid playing; D) Counterattack with force.")</f>
        <v>A) Play confidently and never give up; B) Get discouraged and slow down the team; C) Avoid playing; D) Counterattack with force.</v>
      </c>
      <c r="O80" s="16" t="str">
        <f>IFERROR(__xludf.DUMMYFUNCTION("GOOGLETRANSLATE(D80, ""th"", ""en"")"),"A) Play with confidence and never give up.")</f>
        <v>A) Play with confidence and never give up.</v>
      </c>
    </row>
    <row r="81" ht="14.25" customHeight="1">
      <c r="A81" s="13">
        <v>80.0</v>
      </c>
      <c r="B81" s="15" t="s">
        <v>3307</v>
      </c>
      <c r="C81" s="15" t="s">
        <v>3308</v>
      </c>
      <c r="D81" s="15" t="s">
        <v>3309</v>
      </c>
      <c r="E81" s="15" t="s">
        <v>3310</v>
      </c>
      <c r="M81" s="16" t="str">
        <f>IFERROR(__xludf.DUMMYFUNCTION("GOOGLETRANSLATE(B81, ""th"", ""en"")"),"You're about to play an important game and you're feeling stressed out. What do you do?")</f>
        <v>You're about to play an important game and you're feeling stressed out. What do you do?</v>
      </c>
      <c r="N81" s="16" t="str">
        <f>IFERROR(__xludf.DUMMYFUNCTION("GOOGLETRANSLATE(C81, ""th"", ""en"")"),"A) Take a deep breath and stay calm; B) Take risks and make the game more tense; C) Avoid playing; D) Take a break.")</f>
        <v>A) Take a deep breath and stay calm; B) Take risks and make the game more tense; C) Avoid playing; D) Take a break.</v>
      </c>
      <c r="O81" s="16" t="str">
        <f>IFERROR(__xludf.DUMMYFUNCTION("GOOGLETRANSLATE(D81, ""th"", ""en"")"),"A) Take a deep breath and stay calm.")</f>
        <v>A) Take a deep breath and stay calm.</v>
      </c>
    </row>
    <row r="82" ht="14.25" customHeight="1">
      <c r="A82" s="13">
        <v>81.0</v>
      </c>
      <c r="B82" s="15" t="s">
        <v>3311</v>
      </c>
      <c r="C82" s="15" t="s">
        <v>3312</v>
      </c>
      <c r="D82" s="15" t="s">
        <v>3313</v>
      </c>
      <c r="E82" s="15" t="s">
        <v>3314</v>
      </c>
      <c r="M82" s="16" t="str">
        <f>IFERROR(__xludf.DUMMYFUNCTION("GOOGLETRANSLATE(B82, ""th"", ""en"")"),"The game is starting and you have to choose your playing position. What do you do?")</f>
        <v>The game is starting and you have to choose your playing position. What do you do?</v>
      </c>
      <c r="N82" s="16" t="str">
        <f>IFERROR(__xludf.DUMMYFUNCTION("GOOGLETRANSLATE(C82, ""th"", ""en"")"),"A) Choose a position you are comfortable with; B) Ask your coach for advice; C) Choose a position the team needs; D) Wait until a decision is made.")</f>
        <v>A) Choose a position you are comfortable with; B) Ask your coach for advice; C) Choose a position the team needs; D) Wait until a decision is made.</v>
      </c>
      <c r="O82" s="16" t="str">
        <f>IFERROR(__xludf.DUMMYFUNCTION("GOOGLETRANSLATE(D82, ""th"", ""en"")"),"A) Choose a position that you are good at.")</f>
        <v>A) Choose a position that you are good at.</v>
      </c>
    </row>
    <row r="83" ht="14.25" customHeight="1">
      <c r="A83" s="13">
        <v>82.0</v>
      </c>
      <c r="B83" s="15" t="s">
        <v>3315</v>
      </c>
      <c r="C83" s="15" t="s">
        <v>3316</v>
      </c>
      <c r="D83" s="15" t="s">
        <v>3317</v>
      </c>
      <c r="E83" s="15" t="s">
        <v>3318</v>
      </c>
      <c r="M83" s="16" t="str">
        <f>IFERROR(__xludf.DUMMYFUNCTION("GOOGLETRANSLATE(B83, ""th"", ""en"")"),"You find your opponent is playing better than you expected, what do you do?")</f>
        <v>You find your opponent is playing better than you expected, what do you do?</v>
      </c>
      <c r="N83" s="16" t="str">
        <f>IFERROR(__xludf.DUMMYFUNCTION("GOOGLETRANSLATE(C83, ""th"", ""en"")"),"A) Change your game plan to adjust; B) Give up and let them win; C) Wait until the game is in your favor; D) Slow down the game.")</f>
        <v>A) Change your game plan to adjust; B) Give up and let them win; C) Wait until the game is in your favor; D) Slow down the game.</v>
      </c>
      <c r="O83" s="16" t="str">
        <f>IFERROR(__xludf.DUMMYFUNCTION("GOOGLETRANSLATE(D83, ""th"", ""en"")"),"A) Change the game plan to adjust the condition.")</f>
        <v>A) Change the game plan to adjust the condition.</v>
      </c>
    </row>
    <row r="84" ht="14.25" customHeight="1">
      <c r="A84" s="13">
        <v>83.0</v>
      </c>
      <c r="B84" s="15" t="s">
        <v>3319</v>
      </c>
      <c r="C84" s="15" t="s">
        <v>3320</v>
      </c>
      <c r="D84" s="15" t="s">
        <v>3321</v>
      </c>
      <c r="E84" s="15" t="s">
        <v>3322</v>
      </c>
      <c r="M84" s="16" t="str">
        <f>IFERROR(__xludf.DUMMYFUNCTION("GOOGLETRANSLATE(B84, ""th"", ""en"")"),"Your team is served and you have to receive the ball. What do you do?")</f>
        <v>Your team is served and you have to receive the ball. What do you do?</v>
      </c>
      <c r="N84" s="16" t="str">
        <f>IFERROR(__xludf.DUMMYFUNCTION("GOOGLETRANSLATE(C84, ""th"", ""en"")"),"A) Use your best skills to catch the ball; B) Catch the ball carefully; C) Wait for the ball to fall before catching it; D) Pass the ball to a teammate.")</f>
        <v>A) Use your best skills to catch the ball; B) Catch the ball carefully; C) Wait for the ball to fall before catching it; D) Pass the ball to a teammate.</v>
      </c>
      <c r="O84" s="16" t="str">
        <f>IFERROR(__xludf.DUMMYFUNCTION("GOOGLETRANSLATE(D84, ""th"", ""en"")"),"A) Use your best skills to catch the ball.")</f>
        <v>A) Use your best skills to catch the ball.</v>
      </c>
    </row>
    <row r="85" ht="14.25" customHeight="1">
      <c r="A85" s="13">
        <v>84.0</v>
      </c>
      <c r="B85" s="15" t="s">
        <v>3323</v>
      </c>
      <c r="C85" s="15" t="s">
        <v>3324</v>
      </c>
      <c r="D85" s="15" t="s">
        <v>3290</v>
      </c>
      <c r="E85" s="15" t="s">
        <v>3325</v>
      </c>
      <c r="M85" s="16" t="str">
        <f>IFERROR(__xludf.DUMMYFUNCTION("GOOGLETRANSLATE(B85, ""th"", ""en"")"),"Your teammate makes a mistake in the game. What do you do?")</f>
        <v>Your teammate makes a mistake in the game. What do you do?</v>
      </c>
      <c r="N85" s="16" t="str">
        <f>IFERROR(__xludf.DUMMYFUNCTION("GOOGLETRANSLATE(C85, ""th"", ""en"")"),"A) Support and encourage him; B) Reprimand him; C) Complain about his mistakes; D) Make him feel guilty.")</f>
        <v>A) Support and encourage him; B) Reprimand him; C) Complain about his mistakes; D) Make him feel guilty.</v>
      </c>
      <c r="O85" s="16" t="str">
        <f>IFERROR(__xludf.DUMMYFUNCTION("GOOGLETRANSLATE(D85, ""th"", ""en"")"),"A) Support and encourage him.")</f>
        <v>A) Support and encourage him.</v>
      </c>
    </row>
    <row r="86" ht="14.25" customHeight="1">
      <c r="A86" s="13">
        <v>85.0</v>
      </c>
      <c r="B86" s="15" t="s">
        <v>3326</v>
      </c>
      <c r="C86" s="15" t="s">
        <v>3327</v>
      </c>
      <c r="D86" s="15" t="s">
        <v>3328</v>
      </c>
      <c r="E86" s="15" t="s">
        <v>3329</v>
      </c>
      <c r="M86" s="16" t="str">
        <f>IFERROR(__xludf.DUMMYFUNCTION("GOOGLETRANSLATE(B86, ""th"", ""en"")"),"Your opponent uses a difficult technique and you're not sure if you can handle it. What do you do?")</f>
        <v>Your opponent uses a difficult technique and you're not sure if you can handle it. What do you do?</v>
      </c>
      <c r="N86" s="16" t="str">
        <f>IFERROR(__xludf.DUMMYFUNCTION("GOOGLETRANSLATE(C86, ""th"", ""en"")"),"A) Use your own skills to catch the ball; B) Do not try to catch it and wait for it to fall; C) Notify the referee; D) Pass the ball to a teammate to catch.")</f>
        <v>A) Use your own skills to catch the ball; B) Do not try to catch it and wait for it to fall; C) Notify the referee; D) Pass the ball to a teammate to catch.</v>
      </c>
      <c r="O86" s="16" t="str">
        <f>IFERROR(__xludf.DUMMYFUNCTION("GOOGLETRANSLATE(D86, ""th"", ""en"")"),"A) Use your own skills to receive the ball.")</f>
        <v>A) Use your own skills to receive the ball.</v>
      </c>
    </row>
    <row r="87" ht="14.25" customHeight="1">
      <c r="A87" s="13">
        <v>86.0</v>
      </c>
      <c r="B87" s="15" t="s">
        <v>3330</v>
      </c>
      <c r="C87" s="15" t="s">
        <v>3331</v>
      </c>
      <c r="D87" s="15" t="s">
        <v>3332</v>
      </c>
      <c r="E87" s="15" t="s">
        <v>3333</v>
      </c>
      <c r="M87" s="16" t="str">
        <f>IFERROR(__xludf.DUMMYFUNCTION("GOOGLETRANSLATE(B87, ""th"", ""en"")"),"During the game, you feel stressed and unable to focus. What should you do?")</f>
        <v>During the game, you feel stressed and unable to focus. What should you do?</v>
      </c>
      <c r="N87" s="16" t="str">
        <f>IFERROR(__xludf.DUMMYFUNCTION("GOOGLETRANSLATE(C87, ""th"", ""en"")"),"A) Take a deep breath and try to refocus; B) Complain and feel discouraged; C) Avoid playing; D) Ask someone else to play instead.")</f>
        <v>A) Take a deep breath and try to refocus; B) Complain and feel discouraged; C) Avoid playing; D) Ask someone else to play instead.</v>
      </c>
      <c r="O87" s="16" t="str">
        <f>IFERROR(__xludf.DUMMYFUNCTION("GOOGLETRANSLATE(D87, ""th"", ""en"")"),"A) Take a deep breath and try to refocus.")</f>
        <v>A) Take a deep breath and try to refocus.</v>
      </c>
    </row>
    <row r="88" ht="14.25" customHeight="1">
      <c r="A88" s="13">
        <v>87.0</v>
      </c>
      <c r="B88" s="15" t="s">
        <v>3216</v>
      </c>
      <c r="C88" s="15" t="s">
        <v>3334</v>
      </c>
      <c r="D88" s="15" t="s">
        <v>3247</v>
      </c>
      <c r="E88" s="15" t="s">
        <v>3335</v>
      </c>
      <c r="M88" s="16" t="str">
        <f>IFERROR(__xludf.DUMMYFUNCTION("GOOGLETRANSLATE(B88, ""th"", ""en"")"),"Your team is falling behind in the game, what do you do?")</f>
        <v>Your team is falling behind in the game, what do you do?</v>
      </c>
      <c r="N88" s="16" t="str">
        <f>IFERROR(__xludf.DUMMYFUNCTION("GOOGLETRANSLATE(C88, ""th"", ""en"")"),"A) Increase your commitment and play your best; B) Get discouraged and give up; C) Slow down the game; D) Ask for a break.")</f>
        <v>A) Increase your commitment and play your best; B) Get discouraged and give up; C) Slow down the game; D) Ask for a break.</v>
      </c>
      <c r="O88" s="16" t="str">
        <f>IFERROR(__xludf.DUMMYFUNCTION("GOOGLETRANSLATE(D88, ""th"", ""en"")"),"A) Increase your commitment and play your best.")</f>
        <v>A) Increase your commitment and play your best.</v>
      </c>
    </row>
    <row r="89" ht="14.25" customHeight="1">
      <c r="A89" s="13">
        <v>88.0</v>
      </c>
      <c r="B89" s="15" t="s">
        <v>3336</v>
      </c>
      <c r="C89" s="15" t="s">
        <v>3337</v>
      </c>
      <c r="D89" s="15" t="s">
        <v>3270</v>
      </c>
      <c r="E89" s="15" t="s">
        <v>3338</v>
      </c>
      <c r="M89" s="16" t="str">
        <f>IFERROR(__xludf.DUMMYFUNCTION("GOOGLETRANSLATE(B89, ""th"", ""en"")"),"During the game, you see that your opponent starts making mistakes. What do you do?")</f>
        <v>During the game, you see that your opponent starts making mistakes. What do you do?</v>
      </c>
      <c r="N89" s="16" t="str">
        <f>IFERROR(__xludf.DUMMYFUNCTION("GOOGLETRANSLATE(C89, ""th"", ""en"")"),"A) Use this opportunity to score; B) Wait for them to make the next mistake; C) Complain about the mistake; D) Foul them so they lose points.")</f>
        <v>A) Use this opportunity to score; B) Wait for them to make the next mistake; C) Complain about the mistake; D) Foul them so they lose points.</v>
      </c>
      <c r="O89" s="16" t="str">
        <f>IFERROR(__xludf.DUMMYFUNCTION("GOOGLETRANSLATE(D89, ""th"", ""en"")"),"A) Use this opportunity to score points.")</f>
        <v>A) Use this opportunity to score points.</v>
      </c>
    </row>
    <row r="90" ht="14.25" customHeight="1">
      <c r="A90" s="13">
        <v>89.0</v>
      </c>
      <c r="B90" s="15" t="s">
        <v>3339</v>
      </c>
      <c r="C90" s="15" t="s">
        <v>3340</v>
      </c>
      <c r="D90" s="15" t="s">
        <v>3341</v>
      </c>
      <c r="E90" s="15" t="s">
        <v>3342</v>
      </c>
      <c r="M90" s="16" t="str">
        <f>IFERROR(__xludf.DUMMYFUNCTION("GOOGLETRANSLATE(B90, ""th"", ""en"")"),"You have to make a decision between serving and receiving in a crucial match. How do you do it?")</f>
        <v>You have to make a decision between serving and receiving in a crucial match. How do you do it?</v>
      </c>
      <c r="N90" s="16" t="str">
        <f>IFERROR(__xludf.DUMMYFUNCTION("GOOGLETRANSLATE(C90, ""th"", ""en"")"),"A) Serve with confidence; B) Receive the ball carefully and safely; C) Ask someone else to serve; D) Avoid playing.")</f>
        <v>A) Serve with confidence; B) Receive the ball carefully and safely; C) Ask someone else to serve; D) Avoid playing.</v>
      </c>
      <c r="O90" s="16" t="str">
        <f>IFERROR(__xludf.DUMMYFUNCTION("GOOGLETRANSLATE(D90, ""th"", ""en"")"),"A) Serve with confidence.")</f>
        <v>A) Serve with confidence.</v>
      </c>
    </row>
    <row r="91" ht="14.25" customHeight="1">
      <c r="A91" s="13">
        <v>90.0</v>
      </c>
      <c r="B91" s="15" t="s">
        <v>3343</v>
      </c>
      <c r="C91" s="15" t="s">
        <v>3344</v>
      </c>
      <c r="D91" s="15" t="s">
        <v>3345</v>
      </c>
      <c r="E91" s="15" t="s">
        <v>3346</v>
      </c>
      <c r="M91" s="16" t="str">
        <f>IFERROR(__xludf.DUMMYFUNCTION("GOOGLETRANSLATE(B91, ""th"", ""en"")"),"You see your teammates making mistakes frequently, what do you do?")</f>
        <v>You see your teammates making mistakes frequently, what do you do?</v>
      </c>
      <c r="N91" s="16" t="str">
        <f>IFERROR(__xludf.DUMMYFUNCTION("GOOGLETRANSLATE(C91, ""th"", ""en"")"),"A) Talk to him to get him back in his thoughts; B) Publicly reprimand him; C) Let him play his own way; D) Do nothing.")</f>
        <v>A) Talk to him to get him back in his thoughts; B) Publicly reprimand him; C) Let him play his own way; D) Do nothing.</v>
      </c>
      <c r="O91" s="16" t="str">
        <f>IFERROR(__xludf.DUMMYFUNCTION("GOOGLETRANSLATE(D91, ""th"", ""en"")"),"A) Talk to him to help him regain focus.")</f>
        <v>A) Talk to him to help him regain focus.</v>
      </c>
    </row>
    <row r="92" ht="14.25" customHeight="1">
      <c r="A92" s="13">
        <v>91.0</v>
      </c>
      <c r="B92" s="15" t="s">
        <v>3347</v>
      </c>
      <c r="C92" s="15" t="s">
        <v>3348</v>
      </c>
      <c r="D92" s="15" t="s">
        <v>3349</v>
      </c>
      <c r="E92" s="15" t="s">
        <v>3350</v>
      </c>
      <c r="M92" s="16" t="str">
        <f>IFERROR(__xludf.DUMMYFUNCTION("GOOGLETRANSLATE(B92, ""th"", ""en"")"),"At the end of the game, you see your opponent getting tired, what do you do?")</f>
        <v>At the end of the game, you see your opponent getting tired, what do you do?</v>
      </c>
      <c r="N92" s="16" t="str">
        <f>IFERROR(__xludf.DUMMYFUNCTION("GOOGLETRANSLATE(C92, ""th"", ""en"")"),"A) Increase pressure and play hard; B) Play according to plan and don't rush; C) Avoid taking risks; D) Wait until they make a mistake.")</f>
        <v>A) Increase pressure and play hard; B) Play according to plan and don't rush; C) Avoid taking risks; D) Wait until they make a mistake.</v>
      </c>
      <c r="O92" s="16" t="str">
        <f>IFERROR(__xludf.DUMMYFUNCTION("GOOGLETRANSLATE(D92, ""th"", ""en"")"),"A) Increase the pressure and play your best.")</f>
        <v>A) Increase the pressure and play your best.</v>
      </c>
    </row>
    <row r="93" ht="14.25" customHeight="1">
      <c r="A93" s="13">
        <v>92.0</v>
      </c>
      <c r="B93" s="15" t="s">
        <v>3351</v>
      </c>
      <c r="C93" s="15" t="s">
        <v>3352</v>
      </c>
      <c r="D93" s="15" t="s">
        <v>3353</v>
      </c>
      <c r="E93" s="15" t="s">
        <v>3354</v>
      </c>
      <c r="M93" s="16" t="str">
        <f>IFERROR(__xludf.DUMMYFUNCTION("GOOGLETRANSLATE(B93, ""th"", ""en"")"),"You feel like you're making frequent mistakes, what should you do?")</f>
        <v>You feel like you're making frequent mistakes, what should you do?</v>
      </c>
      <c r="N93" s="16" t="str">
        <f>IFERROR(__xludf.DUMMYFUNCTION("GOOGLETRANSLATE(C93, ""th"", ""en"")"),"A) Take a break and rethink; B) Continue playing without changing anything; C) Complain about the mistake; D) Ask someone else to take over.")</f>
        <v>A) Take a break and rethink; B) Continue playing without changing anything; C) Complain about the mistake; D) Ask someone else to take over.</v>
      </c>
      <c r="O93" s="16" t="str">
        <f>IFERROR(__xludf.DUMMYFUNCTION("GOOGLETRANSLATE(D93, ""th"", ""en"")"),"A) Take a break and rethink.")</f>
        <v>A) Take a break and rethink.</v>
      </c>
    </row>
    <row r="94" ht="14.25" customHeight="1">
      <c r="A94" s="13">
        <v>93.0</v>
      </c>
      <c r="B94" s="15" t="s">
        <v>3355</v>
      </c>
      <c r="C94" s="15" t="s">
        <v>3356</v>
      </c>
      <c r="D94" s="15" t="s">
        <v>3357</v>
      </c>
      <c r="E94" s="15" t="s">
        <v>3358</v>
      </c>
      <c r="M94" s="16" t="str">
        <f>IFERROR(__xludf.DUMMYFUNCTION("GOOGLETRANSLATE(B94, ""th"", ""en"")"),"During the game, you find that your teammates are not playing well. What will you do?")</f>
        <v>During the game, you find that your teammates are not playing well. What will you do?</v>
      </c>
      <c r="N94" s="16" t="str">
        <f>IFERROR(__xludf.DUMMYFUNCTION("GOOGLETRANSLATE(C94, ""th"", ""en"")"),"A) Talk to him and help him solve his problems; B) Blame him; C) Complain about his mistakes; D) Let him do what he wants.")</f>
        <v>A) Talk to him and help him solve his problems; B) Blame him; C) Complain about his mistakes; D) Let him do what he wants.</v>
      </c>
      <c r="O94" s="16" t="str">
        <f>IFERROR(__xludf.DUMMYFUNCTION("GOOGLETRANSLATE(D94, ""th"", ""en"")"),"A) Talk to him and help him solve the problem.")</f>
        <v>A) Talk to him and help him solve the problem.</v>
      </c>
    </row>
    <row r="95" ht="14.25" customHeight="1">
      <c r="A95" s="13">
        <v>94.0</v>
      </c>
      <c r="B95" s="15" t="s">
        <v>3359</v>
      </c>
      <c r="C95" s="15" t="s">
        <v>3360</v>
      </c>
      <c r="D95" s="15" t="s">
        <v>3361</v>
      </c>
      <c r="E95" s="15" t="s">
        <v>3362</v>
      </c>
      <c r="M95" s="16" t="str">
        <f>IFERROR(__xludf.DUMMYFUNCTION("GOOGLETRANSLATE(B95, ""th"", ""en"")"),"Your team serves at a crucial moment and you must respond. What do you do?")</f>
        <v>Your team serves at a crucial moment and you must respond. What do you do?</v>
      </c>
      <c r="N95" s="16" t="str">
        <f>IFERROR(__xludf.DUMMYFUNCTION("GOOGLETRANSLATE(C95, ""th"", ""en"")"),"A) Respond confidently; B) Respond cautiously; C) Wait until the opponent makes a mistake; D) Let the ball drop.")</f>
        <v>A) Respond confidently; B) Respond cautiously; C) Wait until the opponent makes a mistake; D) Let the ball drop.</v>
      </c>
      <c r="O95" s="16" t="str">
        <f>IFERROR(__xludf.DUMMYFUNCTION("GOOGLETRANSLATE(D95, ""th"", ""en"")"),"A) Respond with confidence.")</f>
        <v>A) Respond with confidence.</v>
      </c>
    </row>
    <row r="96" ht="14.25" customHeight="1">
      <c r="A96" s="13">
        <v>95.0</v>
      </c>
      <c r="B96" s="15" t="s">
        <v>3363</v>
      </c>
      <c r="C96" s="15" t="s">
        <v>3364</v>
      </c>
      <c r="D96" s="15" t="s">
        <v>3255</v>
      </c>
      <c r="E96" s="15" t="s">
        <v>3365</v>
      </c>
      <c r="M96" s="16" t="str">
        <f>IFERROR(__xludf.DUMMYFUNCTION("GOOGLETRANSLATE(B96, ""th"", ""en"")"),"During the game, you see your opponent starting to put pressure on your team. What do you do?")</f>
        <v>During the game, you see your opponent starting to put pressure on your team. What do you do?</v>
      </c>
      <c r="N96" s="16" t="str">
        <f>IFERROR(__xludf.DUMMYFUNCTION("GOOGLETRANSLATE(C96, ""th"", ""en"")"),"A) Keep calm and play according to plan; B) Slow down the game to put pressure on them; C) Complain about the pressure; D) Avoid playing.")</f>
        <v>A) Keep calm and play according to plan; B) Slow down the game to put pressure on them; C) Complain about the pressure; D) Avoid playing.</v>
      </c>
      <c r="O96" s="16" t="str">
        <f>IFERROR(__xludf.DUMMYFUNCTION("GOOGLETRANSLATE(D96, ""th"", ""en"")"),"A) Keep calm and play according to plan.")</f>
        <v>A) Keep calm and play according to plan.</v>
      </c>
    </row>
    <row r="97" ht="14.25" customHeight="1">
      <c r="A97" s="13">
        <v>96.0</v>
      </c>
      <c r="B97" s="15" t="s">
        <v>3366</v>
      </c>
      <c r="C97" s="15" t="s">
        <v>3367</v>
      </c>
      <c r="D97" s="15" t="s">
        <v>3368</v>
      </c>
      <c r="E97" s="15" t="s">
        <v>3369</v>
      </c>
      <c r="M97" s="16" t="str">
        <f>IFERROR(__xludf.DUMMYFUNCTION("GOOGLETRANSLATE(B97, ""th"", ""en"")"),"You feel like you're making too many mistakes, what should you do?")</f>
        <v>You feel like you're making too many mistakes, what should you do?</v>
      </c>
      <c r="N97" s="16" t="str">
        <f>IFERROR(__xludf.DUMMYFUNCTION("GOOGLETRANSLATE(C97, ""th"", ""en"")"),"A) Improve skills and confidence in playing; B) Complain about your own playing; C) Avoid playing; D) Give up.")</f>
        <v>A) Improve skills and confidence in playing; B) Complain about your own playing; C) Avoid playing; D) Give up.</v>
      </c>
      <c r="O97" s="16" t="str">
        <f>IFERROR(__xludf.DUMMYFUNCTION("GOOGLETRANSLATE(D97, ""th"", ""en"")"),"A) Improve playing skills and confidence.")</f>
        <v>A) Improve playing skills and confidence.</v>
      </c>
    </row>
    <row r="98" ht="14.25" customHeight="1">
      <c r="A98" s="13">
        <v>97.0</v>
      </c>
      <c r="B98" s="15" t="s">
        <v>3370</v>
      </c>
      <c r="C98" s="15" t="s">
        <v>3371</v>
      </c>
      <c r="D98" s="15" t="s">
        <v>3372</v>
      </c>
      <c r="E98" s="15" t="s">
        <v>3373</v>
      </c>
      <c r="M98" s="16" t="str">
        <f>IFERROR(__xludf.DUMMYFUNCTION("GOOGLETRANSLATE(B98, ""th"", ""en"")"),"During the game, you feel that your opponent is trying to distract you, what should you do?")</f>
        <v>During the game, you feel that your opponent is trying to distract you, what should you do?</v>
      </c>
      <c r="N98" s="16" t="str">
        <f>IFERROR(__xludf.DUMMYFUNCTION("GOOGLETRANSLATE(C98, ""th"", ""en"")"),"A) Stay focused and keep playing; B) Counterattack and make the game more tense; C) Avoid playing; D) Complain to your teammates.")</f>
        <v>A) Stay focused and keep playing; B) Counterattack and make the game more tense; C) Avoid playing; D) Complain to your teammates.</v>
      </c>
      <c r="O98" s="16" t="str">
        <f>IFERROR(__xludf.DUMMYFUNCTION("GOOGLETRANSLATE(D98, ""th"", ""en"")"),"A) Stay focused and keep playing.")</f>
        <v>A) Stay focused and keep playing.</v>
      </c>
    </row>
    <row r="99" ht="14.25" customHeight="1">
      <c r="A99" s="13">
        <v>98.0</v>
      </c>
      <c r="B99" s="15" t="s">
        <v>3374</v>
      </c>
      <c r="C99" s="15" t="s">
        <v>3375</v>
      </c>
      <c r="D99" s="15" t="s">
        <v>3376</v>
      </c>
      <c r="E99" s="15" t="s">
        <v>3377</v>
      </c>
      <c r="M99" s="16" t="str">
        <f>IFERROR(__xludf.DUMMYFUNCTION("GOOGLETRANSLATE(B99, ""th"", ""en"")"),"During a crucial game, you need to make quick decisions. What will you do?")</f>
        <v>During a crucial game, you need to make quick decisions. What will you do?</v>
      </c>
      <c r="N99" s="16" t="str">
        <f>IFERROR(__xludf.DUMMYFUNCTION("GOOGLETRANSLATE(C99, ""th"", ""en"")"),"A) Make a confident decision and continue playing; B) Ask for a chance to consider before making a decision; C) Let others make the decision for you; D) Avoid making a decision.")</f>
        <v>A) Make a confident decision and continue playing; B) Ask for a chance to consider before making a decision; C) Let others make the decision for you; D) Avoid making a decision.</v>
      </c>
      <c r="O99" s="16" t="str">
        <f>IFERROR(__xludf.DUMMYFUNCTION("GOOGLETRANSLATE(D99, ""th"", ""en"")"),"A) Make a confident decision and continue playing.")</f>
        <v>A) Make a confident decision and continue playing.</v>
      </c>
    </row>
    <row r="100" ht="14.25" customHeight="1">
      <c r="A100" s="13">
        <v>99.0</v>
      </c>
      <c r="B100" s="15" t="s">
        <v>3378</v>
      </c>
      <c r="C100" s="15" t="s">
        <v>3379</v>
      </c>
      <c r="D100" s="15" t="s">
        <v>3380</v>
      </c>
      <c r="E100" s="15" t="s">
        <v>3381</v>
      </c>
      <c r="M100" s="16" t="str">
        <f>IFERROR(__xludf.DUMMYFUNCTION("GOOGLETRANSLATE(B100, ""th"", ""en"")"),"Your teammates lack confidence. What should you do?")</f>
        <v>Your teammates lack confidence. What should you do?</v>
      </c>
      <c r="N100" s="16" t="str">
        <f>IFERROR(__xludf.DUMMYFUNCTION("GOOGLETRANSLATE(C100, ""th"", ""en"")"),"A) Encourage and support him; B) Let him play as he wants; C) Criticize him in public; D) Avoid talking about it.")</f>
        <v>A) Encourage and support him; B) Let him play as he wants; C) Criticize him in public; D) Avoid talking about it.</v>
      </c>
      <c r="O100" s="16" t="str">
        <f>IFERROR(__xludf.DUMMYFUNCTION("GOOGLETRANSLATE(D100, ""th"", ""en"")"),"A) Encourage and support him.")</f>
        <v>A) Encourage and support him.</v>
      </c>
    </row>
    <row r="101" ht="14.25" customHeight="1">
      <c r="A101" s="13">
        <v>100.0</v>
      </c>
      <c r="B101" s="15" t="s">
        <v>3382</v>
      </c>
      <c r="C101" s="15" t="s">
        <v>3383</v>
      </c>
      <c r="D101" s="15" t="s">
        <v>3384</v>
      </c>
      <c r="E101" s="15" t="s">
        <v>3385</v>
      </c>
      <c r="M101" s="16" t="str">
        <f>IFERROR(__xludf.DUMMYFUNCTION("GOOGLETRANSLATE(B101, ""th"", ""en"")"),"In a crucial game, you need to receive the ball and you have little time. What do you do?")</f>
        <v>In a crucial game, you need to receive the ball and you have little time. What do you do?</v>
      </c>
      <c r="N101" s="16" t="str">
        <f>IFERROR(__xludf.DUMMYFUNCTION("GOOGLETRANSLATE(C101, ""th"", ""en"")"),"A) Catch the ball quickly and accurately; B) Let the ball drop and wait for it to go to another player; C) Give up; D) Complain about the situation.")</f>
        <v>A) Catch the ball quickly and accurately; B) Let the ball drop and wait for it to go to another player; C) Give up; D) Complain about the situation.</v>
      </c>
      <c r="O101" s="16" t="str">
        <f>IFERROR(__xludf.DUMMYFUNCTION("GOOGLETRANSLATE(D101, ""th"", ""en"")"),"A) Receive the ball quickly and accurately.")</f>
        <v>A) Receive the ball quickly and accurately.</v>
      </c>
    </row>
    <row r="102" ht="14.25" customHeight="1">
      <c r="A102" s="13">
        <v>101.0</v>
      </c>
      <c r="B102" s="15" t="s">
        <v>3386</v>
      </c>
      <c r="C102" s="15" t="s">
        <v>3387</v>
      </c>
      <c r="D102" s="15" t="s">
        <v>3388</v>
      </c>
      <c r="E102" s="15" t="s">
        <v>3389</v>
      </c>
      <c r="M102" s="16" t="str">
        <f>IFERROR(__xludf.DUMMYFUNCTION("GOOGLETRANSLATE(B102, ""th"", ""en"")"),"The game is starting and you're feeling excited. What do you do?")</f>
        <v>The game is starting and you're feeling excited. What do you do?</v>
      </c>
      <c r="N102" s="16" t="str">
        <f>IFERROR(__xludf.DUMMYFUNCTION("GOOGLETRANSLATE(C102, ""th"", ""en"")"),"A) Try to relax; B) Accept the excitement and use it to your advantage; C) Stop playing and take a break; D) Complain about the excitement.")</f>
        <v>A) Try to relax; B) Accept the excitement and use it to your advantage; C) Stop playing and take a break; D) Complain about the excitement.</v>
      </c>
      <c r="O102" s="16" t="str">
        <f>IFERROR(__xludf.DUMMYFUNCTION("GOOGLETRANSLATE(D102, ""th"", ""en"")"),"A) Try to relax.")</f>
        <v>A) Try to relax.</v>
      </c>
    </row>
    <row r="103" ht="14.25" customHeight="1">
      <c r="A103" s="13">
        <v>102.0</v>
      </c>
      <c r="B103" s="15" t="s">
        <v>3390</v>
      </c>
      <c r="C103" s="15" t="s">
        <v>3391</v>
      </c>
      <c r="D103" s="15" t="s">
        <v>3392</v>
      </c>
      <c r="E103" s="15" t="s">
        <v>3393</v>
      </c>
      <c r="M103" s="16" t="str">
        <f>IFERROR(__xludf.DUMMYFUNCTION("GOOGLETRANSLATE(B103, ""th"", ""en"")"),"Your opponent tries new techniques you've never seen before. What will you do?")</f>
        <v>Your opponent tries new techniques you've never seen before. What will you do?</v>
      </c>
      <c r="N103" s="16" t="str">
        <f>IFERROR(__xludf.DUMMYFUNCTION("GOOGLETRANSLATE(C103, ""th"", ""en"")"),"A) Study and try to deal with it; B) Complain about new techniques; C) Avoid playing; D) Ask the referee to intervene.")</f>
        <v>A) Study and try to deal with it; B) Complain about new techniques; C) Avoid playing; D) Ask the referee to intervene.</v>
      </c>
      <c r="O103" s="16" t="str">
        <f>IFERROR(__xludf.DUMMYFUNCTION("GOOGLETRANSLATE(D103, ""th"", ""en"")"),"A) Study it and try to deal with it.")</f>
        <v>A) Study it and try to deal with it.</v>
      </c>
    </row>
    <row r="104" ht="14.25" customHeight="1">
      <c r="A104" s="13">
        <v>103.0</v>
      </c>
      <c r="B104" s="15" t="s">
        <v>3394</v>
      </c>
      <c r="C104" s="15" t="s">
        <v>3395</v>
      </c>
      <c r="D104" s="15" t="s">
        <v>3396</v>
      </c>
      <c r="E104" s="15" t="s">
        <v>3397</v>
      </c>
      <c r="M104" s="16" t="str">
        <f>IFERROR(__xludf.DUMMYFUNCTION("GOOGLETRANSLATE(B104, ""th"", ""en"")"),"At the end of the game, you feel your team is tired. What do you do?")</f>
        <v>At the end of the game, you feel your team is tired. What do you do?</v>
      </c>
      <c r="N104" s="16" t="str">
        <f>IFERROR(__xludf.DUMMYFUNCTION("GOOGLETRANSLATE(C104, ""th"", ""en"")"),"A) Try to motivate your teammates; B) Give up and wait for the game to end; C) Stop playing and take a break; D) Ask to slow down the game.")</f>
        <v>A) Try to motivate your teammates; B) Give up and wait for the game to end; C) Stop playing and take a break; D) Ask to slow down the game.</v>
      </c>
      <c r="O104" s="16" t="str">
        <f>IFERROR(__xludf.DUMMYFUNCTION("GOOGLETRANSLATE(D104, ""th"", ""en"")"),"A) Try to motivate your teammates.")</f>
        <v>A) Try to motivate your teammates.</v>
      </c>
    </row>
    <row r="105" ht="14.25" customHeight="1">
      <c r="A105" s="13">
        <v>104.0</v>
      </c>
      <c r="B105" s="15" t="s">
        <v>3398</v>
      </c>
      <c r="C105" s="15" t="s">
        <v>3399</v>
      </c>
      <c r="D105" s="15" t="s">
        <v>3400</v>
      </c>
      <c r="E105" s="15" t="s">
        <v>3401</v>
      </c>
      <c r="M105" s="16" t="str">
        <f>IFERROR(__xludf.DUMMYFUNCTION("GOOGLETRANSLATE(B105, ""th"", ""en"")"),"You have a difficult child and you are not sure what to do. What do you do?")</f>
        <v>You have a difficult child and you are not sure what to do. What do you do?</v>
      </c>
      <c r="N105" s="16" t="str">
        <f>IFERROR(__xludf.DUMMYFUNCTION("GOOGLETRANSLATE(C105, ""th"", ""en"")"),"A) Try to catch the ball confidently; B) Avoid receiving the ball; C) Ask a teammate to receive the ball for you; D) Let the ball drop.")</f>
        <v>A) Try to catch the ball confidently; B) Avoid receiving the ball; C) Ask a teammate to receive the ball for you; D) Let the ball drop.</v>
      </c>
      <c r="O105" s="16" t="str">
        <f>IFERROR(__xludf.DUMMYFUNCTION("GOOGLETRANSLATE(D105, ""th"", ""en"")"),"A) Try to catch the ball with confidence.")</f>
        <v>A) Try to catch the ball with confidence.</v>
      </c>
    </row>
    <row r="106" ht="14.25" customHeight="1">
      <c r="A106" s="13">
        <v>105.0</v>
      </c>
      <c r="B106" s="15" t="s">
        <v>3402</v>
      </c>
      <c r="C106" s="15" t="s">
        <v>3403</v>
      </c>
      <c r="D106" s="15" t="s">
        <v>3404</v>
      </c>
      <c r="E106" s="15" t="s">
        <v>3405</v>
      </c>
      <c r="M106" s="16" t="str">
        <f>IFERROR(__xludf.DUMMYFUNCTION("GOOGLETRANSLATE(B106, ""th"", ""en"")"),"You see your opponent trying to distract you, what do you do?")</f>
        <v>You see your opponent trying to distract you, what do you do?</v>
      </c>
      <c r="N106" s="16" t="str">
        <f>IFERROR(__xludf.DUMMYFUNCTION("GOOGLETRANSLATE(C106, ""th"", ""en"")"),"A) Stay focused and play according to plan; B) Counterattack and make the game more tense; C) Avoid making plays; D) Complain to your teammates.")</f>
        <v>A) Stay focused and play according to plan; B) Counterattack and make the game more tense; C) Avoid making plays; D) Complain to your teammates.</v>
      </c>
      <c r="O106" s="16" t="str">
        <f>IFERROR(__xludf.DUMMYFUNCTION("GOOGLETRANSLATE(D106, ""th"", ""en"")"),"A) Stay focused and play according to plan.")</f>
        <v>A) Stay focused and play according to plan.</v>
      </c>
    </row>
    <row r="107" ht="14.25" customHeight="1">
      <c r="A107" s="13">
        <v>106.0</v>
      </c>
      <c r="B107" s="15" t="s">
        <v>3406</v>
      </c>
      <c r="C107" s="15" t="s">
        <v>3407</v>
      </c>
      <c r="D107" s="15" t="s">
        <v>3408</v>
      </c>
      <c r="E107" s="15" t="s">
        <v>3409</v>
      </c>
      <c r="M107" s="16" t="str">
        <f>IFERROR(__xludf.DUMMYFUNCTION("GOOGLETRANSLATE(B107, ""th"", ""en"")"),"You see your team making the same mistakes over and over again, what do you do?")</f>
        <v>You see your team making the same mistakes over and over again, what do you do?</v>
      </c>
      <c r="N107" s="16" t="str">
        <f>IFERROR(__xludf.DUMMYFUNCTION("GOOGLETRANSLATE(C107, ""th"", ""en"")"),"A) Help the team regain focus; B) Blame the team; C) Avoid playing; D) Surrender.")</f>
        <v>A) Help the team regain focus; B) Blame the team; C) Avoid playing; D) Surrender.</v>
      </c>
      <c r="O107" s="16" t="str">
        <f>IFERROR(__xludf.DUMMYFUNCTION("GOOGLETRANSLATE(D107, ""th"", ""en"")"),"A) Help the team regain focus.")</f>
        <v>A) Help the team regain focus.</v>
      </c>
    </row>
    <row r="108" ht="14.25" customHeight="1">
      <c r="A108" s="13">
        <v>107.0</v>
      </c>
      <c r="B108" s="15" t="s">
        <v>3410</v>
      </c>
      <c r="C108" s="15" t="s">
        <v>3411</v>
      </c>
      <c r="D108" s="15" t="s">
        <v>3412</v>
      </c>
      <c r="E108" s="15" t="s">
        <v>3413</v>
      </c>
      <c r="M108" s="16" t="str">
        <f>IFERROR(__xludf.DUMMYFUNCTION("GOOGLETRANSLATE(B108, ""th"", ""en"")"),"Your opponent is using techniques that you cannot handle. What should you do?")</f>
        <v>Your opponent is using techniques that you cannot handle. What should you do?</v>
      </c>
      <c r="N108" s="16" t="str">
        <f>IFERROR(__xludf.DUMMYFUNCTION("GOOGLETRANSLATE(C108, ""th"", ""en"")"),"A) Adjust the game plan; B) Let them win; C) Wait for them to make a mistake; D) Avoid making the play.")</f>
        <v>A) Adjust the game plan; B) Let them win; C) Wait for them to make a mistake; D) Avoid making the play.</v>
      </c>
      <c r="O108" s="16" t="str">
        <f>IFERROR(__xludf.DUMMYFUNCTION("GOOGLETRANSLATE(D108, ""th"", ""en"")"),"A) Change the game plan.")</f>
        <v>A) Change the game plan.</v>
      </c>
    </row>
    <row r="109" ht="14.25" customHeight="1">
      <c r="A109" s="13">
        <v>108.0</v>
      </c>
      <c r="B109" s="15" t="s">
        <v>3414</v>
      </c>
      <c r="C109" s="15" t="s">
        <v>3415</v>
      </c>
      <c r="D109" s="15" t="s">
        <v>3416</v>
      </c>
      <c r="E109" s="15" t="s">
        <v>3417</v>
      </c>
      <c r="M109" s="16" t="str">
        <f>IFERROR(__xludf.DUMMYFUNCTION("GOOGLETRANSLATE(B109, ""th"", ""en"")"),"During the game, you notice that your opponent is tired. What do you do?")</f>
        <v>During the game, you notice that your opponent is tired. What do you do?</v>
      </c>
      <c r="N109" s="16" t="str">
        <f>IFERROR(__xludf.DUMMYFUNCTION("GOOGLETRANSLATE(C109, ""th"", ""en"")"),"A) Increase the pressure and speed up the game; B) Slow down and wait for them to make mistakes; C) Avoid taking risks; D) Wait for the game to end.")</f>
        <v>A) Increase the pressure and speed up the game; B) Slow down and wait for them to make mistakes; C) Avoid taking risks; D) Wait for the game to end.</v>
      </c>
      <c r="O109" s="16" t="str">
        <f>IFERROR(__xludf.DUMMYFUNCTION("GOOGLETRANSLATE(D109, ""th"", ""en"")"),"A) Increase pressure and speed up the game.")</f>
        <v>A) Increase pressure and speed up the game.</v>
      </c>
    </row>
    <row r="110" ht="14.25" customHeight="1">
      <c r="A110" s="13">
        <v>109.0</v>
      </c>
      <c r="B110" s="15" t="s">
        <v>3418</v>
      </c>
      <c r="C110" s="15" t="s">
        <v>3308</v>
      </c>
      <c r="D110" s="15" t="s">
        <v>3309</v>
      </c>
      <c r="E110" s="15" t="s">
        <v>3419</v>
      </c>
      <c r="M110" s="16" t="str">
        <f>IFERROR(__xludf.DUMMYFUNCTION("GOOGLETRANSLATE(B110, ""th"", ""en"")"),"You feel that this game is very important and you feel stressed. What do you do?")</f>
        <v>You feel that this game is very important and you feel stressed. What do you do?</v>
      </c>
      <c r="N110" s="16" t="str">
        <f>IFERROR(__xludf.DUMMYFUNCTION("GOOGLETRANSLATE(C110, ""th"", ""en"")"),"A) Take a deep breath and stay calm; B) Take risks and make the game more tense; C) Avoid playing; D) Take a break.")</f>
        <v>A) Take a deep breath and stay calm; B) Take risks and make the game more tense; C) Avoid playing; D) Take a break.</v>
      </c>
      <c r="O110" s="16" t="str">
        <f>IFERROR(__xludf.DUMMYFUNCTION("GOOGLETRANSLATE(D110, ""th"", ""en"")"),"A) Take a deep breath and stay calm.")</f>
        <v>A) Take a deep breath and stay calm.</v>
      </c>
    </row>
    <row r="111" ht="14.25" customHeight="1">
      <c r="A111" s="13">
        <v>110.0</v>
      </c>
      <c r="B111" s="15" t="s">
        <v>3420</v>
      </c>
      <c r="C111" s="15" t="s">
        <v>3421</v>
      </c>
      <c r="D111" s="15" t="s">
        <v>3422</v>
      </c>
      <c r="E111" s="15" t="s">
        <v>3423</v>
      </c>
      <c r="M111" s="16" t="str">
        <f>IFERROR(__xludf.DUMMYFUNCTION("GOOGLETRANSLATE(B111, ""th"", ""en"")"),"You notice your opponent committing a foul, what do you do?")</f>
        <v>You notice your opponent committing a foul, what do you do?</v>
      </c>
      <c r="N111" s="16" t="str">
        <f>IFERROR(__xludf.DUMMYFUNCTION("GOOGLETRANSLATE(C111, ""th"", ""en"")"),"A) Tell the referee to make a decision; B) Use the foul to your advantage; C) Let it go; D) Complain about the foul.")</f>
        <v>A) Tell the referee to make a decision; B) Use the foul to your advantage; C) Let it go; D) Complain about the foul.</v>
      </c>
      <c r="O111" s="16" t="str">
        <f>IFERROR(__xludf.DUMMYFUNCTION("GOOGLETRANSLATE(D111, ""th"", ""en"")"),"A) Inform the board of directors to make a decision.")</f>
        <v>A) Inform the board of directors to make a decision.</v>
      </c>
    </row>
    <row r="112" ht="14.25" customHeight="1">
      <c r="A112" s="13">
        <v>111.0</v>
      </c>
      <c r="B112" s="15" t="s">
        <v>3424</v>
      </c>
      <c r="C112" s="15" t="s">
        <v>3425</v>
      </c>
      <c r="D112" s="15" t="s">
        <v>3426</v>
      </c>
      <c r="E112" s="15" t="s">
        <v>3302</v>
      </c>
      <c r="M112" s="16" t="str">
        <f>IFERROR(__xludf.DUMMYFUNCTION("GOOGLETRANSLATE(B112, ""th"", ""en"")"),"In a crucial game, you have to make a decision to serve. How do you do it?")</f>
        <v>In a crucial game, you have to make a decision to serve. How do you do it?</v>
      </c>
      <c r="N112" s="16" t="str">
        <f>IFERROR(__xludf.DUMMYFUNCTION("GOOGLETRANSLATE(C112, ""th"", ""en"")"),"A) Serve with confidence and careful thought; B) Serve without thinking too much; C) Ask someone else to serve; D) Stop playing.")</f>
        <v>A) Serve with confidence and careful thought; B) Serve without thinking too much; C) Ask someone else to serve; D) Stop playing.</v>
      </c>
      <c r="O112" s="16" t="str">
        <f>IFERROR(__xludf.DUMMYFUNCTION("GOOGLETRANSLATE(D112, ""th"", ""en"")"),"A) Serve with confidence and thoughtfulness.")</f>
        <v>A) Serve with confidence and thoughtfulness.</v>
      </c>
    </row>
    <row r="113" ht="14.25" customHeight="1">
      <c r="A113" s="13">
        <v>112.0</v>
      </c>
      <c r="B113" s="15" t="s">
        <v>3427</v>
      </c>
      <c r="C113" s="15" t="s">
        <v>3428</v>
      </c>
      <c r="D113" s="15" t="s">
        <v>3429</v>
      </c>
      <c r="E113" s="15" t="s">
        <v>3430</v>
      </c>
      <c r="M113" s="16" t="str">
        <f>IFERROR(__xludf.DUMMYFUNCTION("GOOGLETRANSLATE(B113, ""th"", ""en"")"),"Your team is trailing and needs more points. What do you do?")</f>
        <v>Your team is trailing and needs more points. What do you do?</v>
      </c>
      <c r="N113" s="16" t="str">
        <f>IFERROR(__xludf.DUMMYFUNCTION("GOOGLETRANSLATE(C113, ""th"", ""en"")"),"A) Be determined and try to score as many points as possible; B) Minimize risk and wait for your opponent to make mistakes; C) Avoid taking risks; D) Try to end the game quickly.")</f>
        <v>A) Be determined and try to score as many points as possible; B) Minimize risk and wait for your opponent to make mistakes; C) Avoid taking risks; D) Try to end the game quickly.</v>
      </c>
      <c r="O113" s="16" t="str">
        <f>IFERROR(__xludf.DUMMYFUNCTION("GOOGLETRANSLATE(D113, ""th"", ""en"")"),"A) Be determined and try to score as many points as possible.")</f>
        <v>A) Be determined and try to score as many points as possible.</v>
      </c>
    </row>
    <row r="114" ht="14.25" customHeight="1">
      <c r="A114" s="13">
        <v>113.0</v>
      </c>
      <c r="B114" s="15" t="s">
        <v>3431</v>
      </c>
      <c r="C114" s="15" t="s">
        <v>3432</v>
      </c>
      <c r="D114" s="15" t="s">
        <v>3380</v>
      </c>
      <c r="E114" s="15" t="s">
        <v>1393</v>
      </c>
      <c r="M114" s="16" t="str">
        <f>IFERROR(__xludf.DUMMYFUNCTION("GOOGLETRANSLATE(B114, ""th"", ""en"")"),"You see your teammates feeling stressed and unsure, what do you do?")</f>
        <v>You see your teammates feeling stressed and unsure, what do you do?</v>
      </c>
      <c r="N114" s="16" t="str">
        <f>IFERROR(__xludf.DUMMYFUNCTION("GOOGLETRANSLATE(C114, ""th"", ""en"")"),"A) Encourage and support him; B) Let him play as he wants; C) Reprimand him; D) Avoid talking about it.")</f>
        <v>A) Encourage and support him; B) Let him play as he wants; C) Reprimand him; D) Avoid talking about it.</v>
      </c>
      <c r="O114" s="16" t="str">
        <f>IFERROR(__xludf.DUMMYFUNCTION("GOOGLETRANSLATE(D114, ""th"", ""en"")"),"A) Encourage and support him.")</f>
        <v>A) Encourage and support him.</v>
      </c>
    </row>
    <row r="115" ht="14.25" customHeight="1">
      <c r="A115" s="13">
        <v>114.0</v>
      </c>
      <c r="B115" s="15" t="s">
        <v>3433</v>
      </c>
      <c r="C115" s="15" t="s">
        <v>3434</v>
      </c>
      <c r="D115" s="15" t="s">
        <v>3435</v>
      </c>
      <c r="E115" s="15" t="s">
        <v>3436</v>
      </c>
      <c r="M115" s="16" t="str">
        <f>IFERROR(__xludf.DUMMYFUNCTION("GOOGLETRANSLATE(B115, ""th"", ""en"")"),"You feel that this game is very important and you are under pressure. What do you do?")</f>
        <v>You feel that this game is very important and you are under pressure. What do you do?</v>
      </c>
      <c r="N115" s="16" t="str">
        <f>IFERROR(__xludf.DUMMYFUNCTION("GOOGLETRANSLATE(C115, ""th"", ""en"")"),"A) Stay calm and continue playing; B) Get frustrated and make the game more stressful; C) Avoid playing; D) Take a break.")</f>
        <v>A) Stay calm and continue playing; B) Get frustrated and make the game more stressful; C) Avoid playing; D) Take a break.</v>
      </c>
      <c r="O115" s="16" t="str">
        <f>IFERROR(__xludf.DUMMYFUNCTION("GOOGLETRANSLATE(D115, ""th"", ""en"")"),"A) Keep calm and keep playing.")</f>
        <v>A) Keep calm and keep playing.</v>
      </c>
    </row>
    <row r="116" ht="14.25" customHeight="1">
      <c r="A116" s="13">
        <v>115.0</v>
      </c>
      <c r="B116" s="15" t="s">
        <v>3437</v>
      </c>
      <c r="C116" s="15" t="s">
        <v>3438</v>
      </c>
      <c r="D116" s="15" t="s">
        <v>3439</v>
      </c>
      <c r="E116" s="15" t="s">
        <v>3440</v>
      </c>
      <c r="M116" s="16" t="str">
        <f>IFERROR(__xludf.DUMMYFUNCTION("GOOGLETRANSLATE(B116, ""th"", ""en"")"),"Your team scores and your opponent is getting stressed out. What do you do?")</f>
        <v>Your team scores and your opponent is getting stressed out. What do you do?</v>
      </c>
      <c r="N116" s="16" t="str">
        <f>IFERROR(__xludf.DUMMYFUNCTION("GOOGLETRANSLATE(C116, ""th"", ""en"")"),"A) Maintain pressure and increase your chances of scoring; B) Avoid playing; C) Wait until your opponent makes a mistake; D) Ask to slow down.")</f>
        <v>A) Maintain pressure and increase your chances of scoring; B) Avoid playing; C) Wait until your opponent makes a mistake; D) Ask to slow down.</v>
      </c>
      <c r="O116" s="16" t="str">
        <f>IFERROR(__xludf.DUMMYFUNCTION("GOOGLETRANSLATE(D116, ""th"", ""en"")"),"A) Maintain pressure and increase your chances of scoring.")</f>
        <v>A) Maintain pressure and increase your chances of scoring.</v>
      </c>
    </row>
    <row r="117" ht="14.25" customHeight="1">
      <c r="A117" s="13">
        <v>116.0</v>
      </c>
      <c r="B117" s="15" t="s">
        <v>3441</v>
      </c>
      <c r="C117" s="15" t="s">
        <v>3442</v>
      </c>
      <c r="D117" s="15" t="s">
        <v>3443</v>
      </c>
      <c r="E117" s="15" t="s">
        <v>3444</v>
      </c>
      <c r="M117" s="16" t="str">
        <f>IFERROR(__xludf.DUMMYFUNCTION("GOOGLETRANSLATE(B117, ""th"", ""en"")"),"At the end of the game, you want to score a crucial point. How do you do that?")</f>
        <v>At the end of the game, you want to score a crucial point. How do you do that?</v>
      </c>
      <c r="N117" s="16" t="str">
        <f>IFERROR(__xludf.DUMMYFUNCTION("GOOGLETRANSLATE(C117, ""th"", ""en"")"),"A) Use your best skills to score; B) Follow the plan; C) Reduce the risk; D) Wait for your opponent to make a mistake.")</f>
        <v>A) Use your best skills to score; B) Follow the plan; C) Reduce the risk; D) Wait for your opponent to make a mistake.</v>
      </c>
      <c r="O117" s="16" t="str">
        <f>IFERROR(__xludf.DUMMYFUNCTION("GOOGLETRANSLATE(D117, ""th"", ""en"")"),"A) Use your best skills to score.")</f>
        <v>A) Use your best skills to score.</v>
      </c>
    </row>
    <row r="118" ht="14.25" customHeight="1">
      <c r="A118" s="13">
        <v>117.0</v>
      </c>
      <c r="B118" s="15" t="s">
        <v>3445</v>
      </c>
      <c r="C118" s="15" t="s">
        <v>3446</v>
      </c>
      <c r="D118" s="15" t="s">
        <v>3447</v>
      </c>
      <c r="E118" s="15" t="s">
        <v>1733</v>
      </c>
      <c r="M118" s="16" t="str">
        <f>IFERROR(__xludf.DUMMYFUNCTION("GOOGLETRANSLATE(B118, ""th"", ""en"")"),"Your team has lost points many times, what will you do?")</f>
        <v>Your team has lost points many times, what will you do?</v>
      </c>
      <c r="N118" s="16" t="str">
        <f>IFERROR(__xludf.DUMMYFUNCTION("GOOGLETRANSLATE(C118, ""th"", ""en"")"),"A) Try to motivate the team to focus and restore confidence; B) Give up and wait for the game to end; C) Avoid playing; D) Complain about the situation.")</f>
        <v>A) Try to motivate the team to focus and restore confidence; B) Give up and wait for the game to end; C) Avoid playing; D) Complain about the situation.</v>
      </c>
      <c r="O118" s="16" t="str">
        <f>IFERROR(__xludf.DUMMYFUNCTION("GOOGLETRANSLATE(D118, ""th"", ""en"")"),"A) Try to motivate the team to focus and restore confidence.")</f>
        <v>A) Try to motivate the team to focus and restore confidence.</v>
      </c>
    </row>
    <row r="119" ht="14.25" customHeight="1">
      <c r="A119" s="13">
        <v>118.0</v>
      </c>
      <c r="B119" s="15" t="s">
        <v>3448</v>
      </c>
      <c r="C119" s="15" t="s">
        <v>3449</v>
      </c>
      <c r="D119" s="15" t="s">
        <v>3270</v>
      </c>
      <c r="E119" s="15" t="s">
        <v>3450</v>
      </c>
      <c r="M119" s="16" t="str">
        <f>IFERROR(__xludf.DUMMYFUNCTION("GOOGLETRANSLATE(B119, ""th"", ""en"")"),"During the game, you see your opponent making frequent mistakes. What should you do?")</f>
        <v>During the game, you see your opponent making frequent mistakes. What should you do?</v>
      </c>
      <c r="N119" s="16" t="str">
        <f>IFERROR(__xludf.DUMMYFUNCTION("GOOGLETRANSLATE(C119, ""th"", ""en"")"),"A) Use this opportunity to score; B) Wait for them to make the next mistake; C) Complain about the mistake; D) Avoid playing.")</f>
        <v>A) Use this opportunity to score; B) Wait for them to make the next mistake; C) Complain about the mistake; D) Avoid playing.</v>
      </c>
      <c r="O119" s="16" t="str">
        <f>IFERROR(__xludf.DUMMYFUNCTION("GOOGLETRANSLATE(D119, ""th"", ""en"")"),"A) Use this opportunity to score points.")</f>
        <v>A) Use this opportunity to score points.</v>
      </c>
    </row>
    <row r="120" ht="14.25" customHeight="1">
      <c r="A120" s="13">
        <v>119.0</v>
      </c>
      <c r="B120" s="15" t="s">
        <v>3451</v>
      </c>
      <c r="C120" s="15" t="s">
        <v>3452</v>
      </c>
      <c r="D120" s="15" t="s">
        <v>3453</v>
      </c>
      <c r="E120" s="15" t="s">
        <v>3454</v>
      </c>
      <c r="M120" s="16" t="str">
        <f>IFERROR(__xludf.DUMMYFUNCTION("GOOGLETRANSLATE(B120, ""th"", ""en"")"),"You are playing an important game and you feel stressed. What do you do?")</f>
        <v>You are playing an important game and you feel stressed. What do you do?</v>
      </c>
      <c r="N120" s="16" t="str">
        <f>IFERROR(__xludf.DUMMYFUNCTION("GOOGLETRANSLATE(C120, ""th"", ""en"")"),"A) Take a deep breath and try to stay calm; B) Take risks and make the game more tense; C) Avoid playing; D) Take a break.")</f>
        <v>A) Take a deep breath and try to stay calm; B) Take risks and make the game more tense; C) Avoid playing; D) Take a break.</v>
      </c>
      <c r="O120" s="16" t="str">
        <f>IFERROR(__xludf.DUMMYFUNCTION("GOOGLETRANSLATE(D120, ""th"", ""en"")"),"A) Take a deep breath and try to stay calm.")</f>
        <v>A) Take a deep breath and try to stay calm.</v>
      </c>
    </row>
    <row r="121" ht="14.25" customHeight="1">
      <c r="A121" s="13">
        <v>120.0</v>
      </c>
      <c r="B121" s="15" t="s">
        <v>3455</v>
      </c>
      <c r="C121" s="15" t="s">
        <v>3456</v>
      </c>
      <c r="D121" s="15" t="s">
        <v>3457</v>
      </c>
      <c r="E121" s="15" t="s">
        <v>3458</v>
      </c>
      <c r="M121" s="16" t="str">
        <f>IFERROR(__xludf.DUMMYFUNCTION("GOOGLETRANSLATE(B121, ""th"", ""en"")"),"You see your teammates getting distracted during the game, what do you do?")</f>
        <v>You see your teammates getting distracted during the game, what do you do?</v>
      </c>
      <c r="N121" s="16" t="str">
        <f>IFERROR(__xludf.DUMMYFUNCTION("GOOGLETRANSLATE(C121, ""th"", ""en"")"),"A) Help your teammate refocus; B) Publicly criticize him; C) Avoid talking about it; D) Let him play on his own.")</f>
        <v>A) Help your teammate refocus; B) Publicly criticize him; C) Avoid talking about it; D) Let him play on his own.</v>
      </c>
      <c r="O121" s="16" t="str">
        <f>IFERROR(__xludf.DUMMYFUNCTION("GOOGLETRANSLATE(D121, ""th"", ""en"")"),"A) Help your teammates regain focus.")</f>
        <v>A) Help your teammates regain focus.</v>
      </c>
    </row>
    <row r="122" ht="14.25" customHeight="1">
      <c r="A122" s="13">
        <v>121.0</v>
      </c>
      <c r="B122" s="15" t="s">
        <v>3459</v>
      </c>
      <c r="C122" s="15" t="s">
        <v>3460</v>
      </c>
      <c r="D122" s="15" t="s">
        <v>3461</v>
      </c>
      <c r="E122" s="15" t="s">
        <v>3462</v>
      </c>
      <c r="M122" s="16" t="str">
        <f>IFERROR(__xludf.DUMMYFUNCTION("GOOGLETRANSLATE(B122, ""th"", ""en"")"),"You see that your team is starting to make mistakes frequently, what should you do?")</f>
        <v>You see that your team is starting to make mistakes frequently, what should you do?</v>
      </c>
      <c r="N122" s="16" t="str">
        <f>IFERROR(__xludf.DUMMYFUNCTION("GOOGLETRANSLATE(C122, ""th"", ""en"")"),"A) Help the team regain focus; B) Blame the team; C) Avoid playing; D) Surrender.")</f>
        <v>A) Help the team regain focus; B) Blame the team; C) Avoid playing; D) Surrender.</v>
      </c>
      <c r="O122" s="16" t="str">
        <f>IFERROR(__xludf.DUMMYFUNCTION("GOOGLETRANSLATE(D122, ""th"", ""en"")"),"A) Help the team regain focus.")</f>
        <v>A) Help the team regain focus.</v>
      </c>
    </row>
    <row r="123" ht="14.25" customHeight="1">
      <c r="A123" s="13">
        <v>122.0</v>
      </c>
      <c r="B123" s="15" t="s">
        <v>3463</v>
      </c>
      <c r="C123" s="15" t="s">
        <v>3464</v>
      </c>
      <c r="D123" s="15" t="s">
        <v>3435</v>
      </c>
      <c r="E123" s="15" t="s">
        <v>3465</v>
      </c>
      <c r="M123" s="16" t="str">
        <f>IFERROR(__xludf.DUMMYFUNCTION("GOOGLETRANSLATE(B123, ""th"", ""en"")"),"At crucial moments, you feel your opponent is starting to put pressure on you, what do you do?")</f>
        <v>At crucial moments, you feel your opponent is starting to put pressure on you, what do you do?</v>
      </c>
      <c r="N123" s="16" t="str">
        <f>IFERROR(__xludf.DUMMYFUNCTION("GOOGLETRANSLATE(C123, ""th"", ""en"")"),"A) Keep calm and continue playing; B) Counter the opponent; C) Avoid playing; D) Ask to slow down.")</f>
        <v>A) Keep calm and continue playing; B) Counter the opponent; C) Avoid playing; D) Ask to slow down.</v>
      </c>
      <c r="O123" s="16" t="str">
        <f>IFERROR(__xludf.DUMMYFUNCTION("GOOGLETRANSLATE(D123, ""th"", ""en"")"),"A) Keep calm and keep playing.")</f>
        <v>A) Keep calm and keep playing.</v>
      </c>
    </row>
    <row r="124" ht="14.25" customHeight="1">
      <c r="A124" s="13">
        <v>123.0</v>
      </c>
      <c r="B124" s="15" t="s">
        <v>3466</v>
      </c>
      <c r="C124" s="15" t="s">
        <v>3467</v>
      </c>
      <c r="D124" s="15" t="s">
        <v>3468</v>
      </c>
      <c r="E124" s="15" t="s">
        <v>3469</v>
      </c>
      <c r="M124" s="16" t="str">
        <f>IFERROR(__xludf.DUMMYFUNCTION("GOOGLETRANSLATE(B124, ""th"", ""en"")"),"The game is in a crucial situation and you have to make a decision to pass the ball. What will you do?")</f>
        <v>The game is in a crucial situation and you have to make a decision to pass the ball. What will you do?</v>
      </c>
      <c r="N124" s="16" t="str">
        <f>IFERROR(__xludf.DUMMYFUNCTION("GOOGLETRANSLATE(C124, ""th"", ""en"")"),"A) Pass the ball accurately and carefully; B) Pass without thinking too much; C) Ask a teammate to pass; D) Avoid passing.")</f>
        <v>A) Pass the ball accurately and carefully; B) Pass without thinking too much; C) Ask a teammate to pass; D) Avoid passing.</v>
      </c>
      <c r="O124" s="16" t="str">
        <f>IFERROR(__xludf.DUMMYFUNCTION("GOOGLETRANSLATE(D124, ""th"", ""en"")"),"A) Pass the ball accurately and carefully.")</f>
        <v>A) Pass the ball accurately and carefully.</v>
      </c>
    </row>
    <row r="125" ht="14.25" customHeight="1">
      <c r="A125" s="13">
        <v>124.0</v>
      </c>
      <c r="B125" s="15" t="s">
        <v>3470</v>
      </c>
      <c r="C125" s="15" t="s">
        <v>3456</v>
      </c>
      <c r="D125" s="15" t="s">
        <v>3457</v>
      </c>
      <c r="E125" s="15" t="s">
        <v>3458</v>
      </c>
      <c r="M125" s="16" t="str">
        <f>IFERROR(__xludf.DUMMYFUNCTION("GOOGLETRANSLATE(B125, ""th"", ""en"")"),"You see your teammates are losing focus, what do you do?")</f>
        <v>You see your teammates are losing focus, what do you do?</v>
      </c>
      <c r="N125" s="16" t="str">
        <f>IFERROR(__xludf.DUMMYFUNCTION("GOOGLETRANSLATE(C125, ""th"", ""en"")"),"A) Help your teammate refocus; B) Publicly criticize him; C) Avoid talking about it; D) Let him play on his own.")</f>
        <v>A) Help your teammate refocus; B) Publicly criticize him; C) Avoid talking about it; D) Let him play on his own.</v>
      </c>
      <c r="O125" s="16" t="str">
        <f>IFERROR(__xludf.DUMMYFUNCTION("GOOGLETRANSLATE(D125, ""th"", ""en"")"),"A) Help your teammates regain focus.")</f>
        <v>A) Help your teammates regain focus.</v>
      </c>
    </row>
    <row r="126" ht="14.25" customHeight="1">
      <c r="A126" s="13">
        <v>125.0</v>
      </c>
      <c r="B126" s="15" t="s">
        <v>3471</v>
      </c>
      <c r="C126" s="15" t="s">
        <v>3472</v>
      </c>
      <c r="D126" s="15" t="s">
        <v>3473</v>
      </c>
      <c r="E126" s="15" t="s">
        <v>3474</v>
      </c>
      <c r="M126" s="16" t="str">
        <f>IFERROR(__xludf.DUMMYFUNCTION("GOOGLETRANSLATE(B126, ""th"", ""en"")"),"You see your opponent commit a foul, but the referee doesn't see it. What do you do?")</f>
        <v>You see your opponent commit a foul, but the referee doesn't see it. What do you do?</v>
      </c>
      <c r="N126" s="16" t="str">
        <f>IFERROR(__xludf.DUMMYFUNCTION("GOOGLETRANSLATE(C126, ""th"", ""en"")"),"A) Inform the referee of the foul; B) Use the foul to your advantage; C) Let it go; D) Avoid mentioning the foul.")</f>
        <v>A) Inform the referee of the foul; B) Use the foul to your advantage; C) Let it go; D) Avoid mentioning the foul.</v>
      </c>
      <c r="O126" s="16" t="str">
        <f>IFERROR(__xludf.DUMMYFUNCTION("GOOGLETRANSLATE(D126, ""th"", ""en"")"),"A) Inform the referee about the foul.")</f>
        <v>A) Inform the referee about the foul.</v>
      </c>
    </row>
    <row r="127" ht="14.25" customHeight="1">
      <c r="A127" s="13">
        <v>126.0</v>
      </c>
      <c r="B127" s="15" t="s">
        <v>3475</v>
      </c>
      <c r="C127" s="15" t="s">
        <v>3476</v>
      </c>
      <c r="D127" s="15" t="s">
        <v>3477</v>
      </c>
      <c r="E127" s="15" t="s">
        <v>3478</v>
      </c>
      <c r="M127" s="16" t="str">
        <f>IFERROR(__xludf.DUMMYFUNCTION("GOOGLETRANSLATE(B127, ""th"", ""en"")"),"During the competition, you feel tired, what do you do?")</f>
        <v>During the competition, you feel tired, what do you do?</v>
      </c>
      <c r="N127" s="16" t="str">
        <f>IFERROR(__xludf.DUMMYFUNCTION("GOOGLETRANSLATE(C127, ""th"", ""en"")"),"A) Take a break and regain focus; B) Give up and stop playing; C) Complain about being tired; D) Wait for a teammate to help.")</f>
        <v>A) Take a break and regain focus; B) Give up and stop playing; C) Complain about being tired; D) Wait for a teammate to help.</v>
      </c>
      <c r="O127" s="16" t="str">
        <f>IFERROR(__xludf.DUMMYFUNCTION("GOOGLETRANSLATE(D127, ""th"", ""en"")"),"A) Take a break and then come back to focus.")</f>
        <v>A) Take a break and then come back to focus.</v>
      </c>
    </row>
    <row r="128" ht="14.25" customHeight="1">
      <c r="A128" s="13">
        <v>127.0</v>
      </c>
      <c r="B128" s="15" t="s">
        <v>3479</v>
      </c>
      <c r="C128" s="15" t="s">
        <v>3480</v>
      </c>
      <c r="D128" s="15" t="s">
        <v>3481</v>
      </c>
      <c r="E128" s="15" t="s">
        <v>3482</v>
      </c>
      <c r="M128" s="16" t="str">
        <f>IFERROR(__xludf.DUMMYFUNCTION("GOOGLETRANSLATE(B128, ""th"", ""en"")"),"Your opponent is using techniques you've never seen before. What will you do?")</f>
        <v>Your opponent is using techniques you've never seen before. What will you do?</v>
      </c>
      <c r="N128" s="16" t="str">
        <f>IFERROR(__xludf.DUMMYFUNCTION("GOOGLETRANSLATE(C128, ""th"", ""en"")"),"A) Study and try to cope with it; B) Avoid playing it; C) Complain about new techniques; D) Ask the referee to intervene.")</f>
        <v>A) Study and try to cope with it; B) Avoid playing it; C) Complain about new techniques; D) Ask the referee to intervene.</v>
      </c>
      <c r="O128" s="16" t="str">
        <f>IFERROR(__xludf.DUMMYFUNCTION("GOOGLETRANSLATE(D128, ""th"", ""en"")"),"A) Study it and try to deal with it.")</f>
        <v>A) Study it and try to deal with it.</v>
      </c>
    </row>
    <row r="129" ht="14.25" customHeight="1">
      <c r="A129" s="13">
        <v>128.0</v>
      </c>
      <c r="B129" s="15" t="s">
        <v>3483</v>
      </c>
      <c r="C129" s="15" t="s">
        <v>3484</v>
      </c>
      <c r="D129" s="15" t="s">
        <v>3485</v>
      </c>
      <c r="E129" s="15" t="s">
        <v>3486</v>
      </c>
      <c r="M129" s="16" t="str">
        <f>IFERROR(__xludf.DUMMYFUNCTION("GOOGLETRANSLATE(B129, ""th"", ""en"")"),"At the end of the game, you see that time is running out. What do you do?")</f>
        <v>At the end of the game, you see that time is running out. What do you do?</v>
      </c>
      <c r="N129" s="16" t="str">
        <f>IFERROR(__xludf.DUMMYFUNCTION("GOOGLETRANSLATE(C129, ""th"", ""en"")"),"A) Rush the game to score points; B) Wait for the game to end quickly; C) Avoid taking risks; D) Complain about the remaining time.")</f>
        <v>A) Rush the game to score points; B) Wait for the game to end quickly; C) Avoid taking risks; D) Complain about the remaining time.</v>
      </c>
      <c r="O129" s="16" t="str">
        <f>IFERROR(__xludf.DUMMYFUNCTION("GOOGLETRANSLATE(D129, ""th"", ""en"")"),"A) Speed ​​up the game to score points.")</f>
        <v>A) Speed ​​up the game to score points.</v>
      </c>
    </row>
    <row r="130" ht="14.25" customHeight="1">
      <c r="A130" s="13">
        <v>129.0</v>
      </c>
      <c r="B130" s="15" t="s">
        <v>3487</v>
      </c>
      <c r="C130" s="15" t="s">
        <v>3432</v>
      </c>
      <c r="D130" s="15" t="s">
        <v>3380</v>
      </c>
      <c r="E130" s="15" t="s">
        <v>3488</v>
      </c>
      <c r="M130" s="16" t="str">
        <f>IFERROR(__xludf.DUMMYFUNCTION("GOOGLETRANSLATE(B130, ""th"", ""en"")"),"You see your teammates feeling discouraged and unsure, what do you do?")</f>
        <v>You see your teammates feeling discouraged and unsure, what do you do?</v>
      </c>
      <c r="N130" s="16" t="str">
        <f>IFERROR(__xludf.DUMMYFUNCTION("GOOGLETRANSLATE(C130, ""th"", ""en"")"),"A) Encourage and support him; B) Let him play as he wants; C) Reprimand him; D) Avoid talking about it.")</f>
        <v>A) Encourage and support him; B) Let him play as he wants; C) Reprimand him; D) Avoid talking about it.</v>
      </c>
      <c r="O130" s="16" t="str">
        <f>IFERROR(__xludf.DUMMYFUNCTION("GOOGLETRANSLATE(D130, ""th"", ""en"")"),"A) Encourage and support him.")</f>
        <v>A) Encourage and support him.</v>
      </c>
    </row>
    <row r="131" ht="14.25" customHeight="1">
      <c r="A131" s="13">
        <v>130.0</v>
      </c>
      <c r="B131" s="15" t="s">
        <v>3489</v>
      </c>
      <c r="C131" s="15" t="s">
        <v>3490</v>
      </c>
      <c r="D131" s="15" t="s">
        <v>3491</v>
      </c>
      <c r="E131" s="15" t="s">
        <v>3492</v>
      </c>
      <c r="M131" s="16" t="str">
        <f>IFERROR(__xludf.DUMMYFUNCTION("GOOGLETRANSLATE(B131, ""th"", ""en"")"),"You are about to serve the ball in an important match. What will you do?")</f>
        <v>You are about to serve the ball in an important match. What will you do?</v>
      </c>
      <c r="N131" s="16" t="str">
        <f>IFERROR(__xludf.DUMMYFUNCTION("GOOGLETRANSLATE(C131, ""th"", ""en"")"),"A) Serve confidently and carefully; B) Serve hastily; C) Ask someone else to serve; D) Avoid serving.")</f>
        <v>A) Serve confidently and carefully; B) Serve hastily; C) Ask someone else to serve; D) Avoid serving.</v>
      </c>
      <c r="O131" s="16" t="str">
        <f>IFERROR(__xludf.DUMMYFUNCTION("GOOGLETRANSLATE(D131, ""th"", ""en"")"),"A) Serve confidently and carefully.")</f>
        <v>A) Serve confidently and carefully.</v>
      </c>
    </row>
    <row r="132" ht="14.25" customHeight="1">
      <c r="A132" s="13">
        <v>131.0</v>
      </c>
      <c r="B132" s="15" t="s">
        <v>3493</v>
      </c>
      <c r="C132" s="15" t="s">
        <v>3494</v>
      </c>
      <c r="D132" s="15" t="s">
        <v>3270</v>
      </c>
      <c r="E132" s="15" t="s">
        <v>3495</v>
      </c>
      <c r="M132" s="16" t="str">
        <f>IFERROR(__xludf.DUMMYFUNCTION("GOOGLETRANSLATE(B132, ""th"", ""en"")"),"You see your opponent making more mistakes, what do you do?")</f>
        <v>You see your opponent making more mistakes, what do you do?</v>
      </c>
      <c r="N132" s="16" t="str">
        <f>IFERROR(__xludf.DUMMYFUNCTION("GOOGLETRANSLATE(C132, ""th"", ""en"")"),"A) Use the opportunity to score; B) Wait for them to make more mistakes; C) Avoid playing; D) Complain about the mistakes.")</f>
        <v>A) Use the opportunity to score; B) Wait for them to make more mistakes; C) Avoid playing; D) Complain about the mistakes.</v>
      </c>
      <c r="O132" s="16" t="str">
        <f>IFERROR(__xludf.DUMMYFUNCTION("GOOGLETRANSLATE(D132, ""th"", ""en"")"),"A) Use this opportunity to score points.")</f>
        <v>A) Use this opportunity to score points.</v>
      </c>
    </row>
    <row r="133" ht="14.25" customHeight="1">
      <c r="A133" s="13">
        <v>132.0</v>
      </c>
      <c r="B133" s="15" t="s">
        <v>3496</v>
      </c>
      <c r="C133" s="15" t="s">
        <v>3497</v>
      </c>
      <c r="D133" s="15" t="s">
        <v>3498</v>
      </c>
      <c r="E133" s="15" t="s">
        <v>3499</v>
      </c>
      <c r="M133" s="16" t="str">
        <f>IFERROR(__xludf.DUMMYFUNCTION("GOOGLETRANSLATE(B133, ""th"", ""en"")"),"During the match, you feel that your team is getting tired, what do you do?")</f>
        <v>During the match, you feel that your team is getting tired, what do you do?</v>
      </c>
      <c r="N133" s="16" t="str">
        <f>IFERROR(__xludf.DUMMYFUNCTION("GOOGLETRANSLATE(C133, ""th"", ""en"")"),"A) motivate the team to focus and regain energy; B) wait for the team to make mistakes; C) reduce the risk in the game; D) complain about being tired.")</f>
        <v>A) motivate the team to focus and regain energy; B) wait for the team to make mistakes; C) reduce the risk in the game; D) complain about being tired.</v>
      </c>
      <c r="O133" s="16" t="str">
        <f>IFERROR(__xludf.DUMMYFUNCTION("GOOGLETRANSLATE(D133, ""th"", ""en"")"),"A) Encourage the team to focus and regain energy.")</f>
        <v>A) Encourage the team to focus and regain energy.</v>
      </c>
    </row>
    <row r="134" ht="14.25" customHeight="1">
      <c r="A134" s="13">
        <v>133.0</v>
      </c>
      <c r="B134" s="15" t="s">
        <v>3500</v>
      </c>
      <c r="C134" s="15" t="s">
        <v>3501</v>
      </c>
      <c r="D134" s="15" t="s">
        <v>3502</v>
      </c>
      <c r="E134" s="15" t="s">
        <v>3503</v>
      </c>
      <c r="M134" s="16" t="str">
        <f>IFERROR(__xludf.DUMMYFUNCTION("GOOGLETRANSLATE(B134, ""th"", ""en"")"),"You see this game as very important, what will you do?")</f>
        <v>You see this game as very important, what will you do?</v>
      </c>
      <c r="N134" s="16" t="str">
        <f>IFERROR(__xludf.DUMMYFUNCTION("GOOGLETRANSLATE(C134, ""th"", ""en"")"),"A) Stay calm and focus on the game; B) Get stressed and make the game more tense; C) Avoid playing; D) Take a break.")</f>
        <v>A) Stay calm and focus on the game; B) Get stressed and make the game more tense; C) Avoid playing; D) Take a break.</v>
      </c>
      <c r="O134" s="16" t="str">
        <f>IFERROR(__xludf.DUMMYFUNCTION("GOOGLETRANSLATE(D134, ""th"", ""en"")"),"A) Keep calm and focus on the game.")</f>
        <v>A) Keep calm and focus on the game.</v>
      </c>
    </row>
    <row r="135" ht="14.25" customHeight="1">
      <c r="A135" s="13">
        <v>134.0</v>
      </c>
      <c r="B135" s="15" t="s">
        <v>3504</v>
      </c>
      <c r="C135" s="15" t="s">
        <v>3505</v>
      </c>
      <c r="D135" s="15" t="s">
        <v>3506</v>
      </c>
      <c r="E135" s="15" t="s">
        <v>3507</v>
      </c>
      <c r="M135" s="16" t="str">
        <f>IFERROR(__xludf.DUMMYFUNCTION("GOOGLETRANSLATE(B135, ""th"", ""en"")"),"While playing, you find that your opponent starts using complicated techniques. What do you do?")</f>
        <v>While playing, you find that your opponent starts using complicated techniques. What do you do?</v>
      </c>
      <c r="N135" s="16" t="str">
        <f>IFERROR(__xludf.DUMMYFUNCTION("GOOGLETRANSLATE(C135, ""th"", ""en"")"),"A) Try to learn or adapt to their techniques; B) Counter their techniques; C) Avoid receiving the ball; D) Wait for them to make a mistake.")</f>
        <v>A) Try to learn or adapt to their techniques; B) Counter their techniques; C) Avoid receiving the ball; D) Wait for them to make a mistake.</v>
      </c>
      <c r="O135" s="16" t="str">
        <f>IFERROR(__xludf.DUMMYFUNCTION("GOOGLETRANSLATE(D135, ""th"", ""en"")"),"A) Try to study or adapt to the technique.")</f>
        <v>A) Try to study or adapt to the technique.</v>
      </c>
    </row>
    <row r="136" ht="14.25" customHeight="1">
      <c r="A136" s="13">
        <v>135.0</v>
      </c>
      <c r="B136" s="15" t="s">
        <v>3508</v>
      </c>
      <c r="C136" s="15" t="s">
        <v>3509</v>
      </c>
      <c r="D136" s="15" t="s">
        <v>3510</v>
      </c>
      <c r="E136" s="15" t="s">
        <v>3511</v>
      </c>
      <c r="M136" s="16" t="str">
        <f>IFERROR(__xludf.DUMMYFUNCTION("GOOGLETRANSLATE(B136, ""th"", ""en"")"),"Your game is almost over and you need to make a crucial catch. What do you do?")</f>
        <v>Your game is almost over and you need to make a crucial catch. What do you do?</v>
      </c>
      <c r="N136" s="16" t="str">
        <f>IFERROR(__xludf.DUMMYFUNCTION("GOOGLETRANSLATE(C136, ""th"", ""en"")"),"A) Receive the ball confidently and wait for the opportunity; B) Take risks in receiving the ball; C) Let the ball drop; D) Ask a teammate to receive the ball instead.")</f>
        <v>A) Receive the ball confidently and wait for the opportunity; B) Take risks in receiving the ball; C) Let the ball drop; D) Ask a teammate to receive the ball instead.</v>
      </c>
      <c r="O136" s="16" t="str">
        <f>IFERROR(__xludf.DUMMYFUNCTION("GOOGLETRANSLATE(D136, ""th"", ""en"")"),"A) Take the ball with confidence and wait for the opportunity.")</f>
        <v>A) Take the ball with confidence and wait for the opportunity.</v>
      </c>
    </row>
    <row r="137" ht="14.25" customHeight="1">
      <c r="A137" s="13">
        <v>136.0</v>
      </c>
      <c r="B137" s="15" t="s">
        <v>3512</v>
      </c>
      <c r="C137" s="15" t="s">
        <v>3513</v>
      </c>
      <c r="D137" s="15" t="s">
        <v>3514</v>
      </c>
      <c r="E137" s="15" t="s">
        <v>3515</v>
      </c>
      <c r="M137" s="16" t="str">
        <f>IFERROR(__xludf.DUMMYFUNCTION("GOOGLETRANSLATE(B137, ""th"", ""en"")"),"Your team is attacking quickly, but you're feeling unsure about scoring. What do you do?")</f>
        <v>Your team is attacking quickly, but you're feeling unsure about scoring. What do you do?</v>
      </c>
      <c r="N137" s="16" t="str">
        <f>IFERROR(__xludf.DUMMYFUNCTION("GOOGLETRANSLATE(C137, ""th"", ""en"")"),"A) Stick to the game plan and try to score; B) Avoid taking risks; C) Wait for the team to score instead; D) Complain about the situation.")</f>
        <v>A) Stick to the game plan and try to score; B) Avoid taking risks; C) Wait for the team to score instead; D) Complain about the situation.</v>
      </c>
      <c r="O137" s="16" t="str">
        <f>IFERROR(__xludf.DUMMYFUNCTION("GOOGLETRANSLATE(D137, ""th"", ""en"")"),"A) Stick to the game plan and try to score.")</f>
        <v>A) Stick to the game plan and try to score.</v>
      </c>
    </row>
    <row r="138" ht="14.25" customHeight="1">
      <c r="A138" s="13">
        <v>137.0</v>
      </c>
      <c r="B138" s="15" t="s">
        <v>3516</v>
      </c>
      <c r="C138" s="15" t="s">
        <v>3517</v>
      </c>
      <c r="D138" s="15" t="s">
        <v>3518</v>
      </c>
      <c r="E138" s="15" t="s">
        <v>3519</v>
      </c>
      <c r="M138" s="16" t="str">
        <f>IFERROR(__xludf.DUMMYFUNCTION("GOOGLETRANSLATE(B138, ""th"", ""en"")"),"You want to keep your team focused on playing. How do you do that?")</f>
        <v>You want to keep your team focused on playing. How do you do that?</v>
      </c>
      <c r="N138" s="16" t="str">
        <f>IFERROR(__xludf.DUMMYFUNCTION("GOOGLETRANSLATE(C138, ""th"", ""en"")"),"A) Motivate the team to focus and re-energize; B) Avoid talking about it; C) Publicly criticize the team; D) Let the team do what they want.")</f>
        <v>A) Motivate the team to focus and re-energize; B) Avoid talking about it; C) Publicly criticize the team; D) Let the team do what they want.</v>
      </c>
      <c r="O138" s="16" t="str">
        <f>IFERROR(__xludf.DUMMYFUNCTION("GOOGLETRANSLATE(D138, ""th"", ""en"")"),"A) Stimulate the team to focus and re-energize.")</f>
        <v>A) Stimulate the team to focus and re-energize.</v>
      </c>
    </row>
    <row r="139" ht="14.25" customHeight="1">
      <c r="A139" s="13">
        <v>138.0</v>
      </c>
      <c r="B139" s="15" t="s">
        <v>3520</v>
      </c>
      <c r="C139" s="15" t="s">
        <v>3521</v>
      </c>
      <c r="D139" s="15" t="s">
        <v>3522</v>
      </c>
      <c r="E139" s="15" t="s">
        <v>3523</v>
      </c>
      <c r="M139" s="16" t="str">
        <f>IFERROR(__xludf.DUMMYFUNCTION("GOOGLETRANSLATE(B139, ""th"", ""en"")"),"Your opponent is scoring quickly, what will you do?")</f>
        <v>Your opponent is scoring quickly, what will you do?</v>
      </c>
      <c r="N139" s="16" t="str">
        <f>IFERROR(__xludf.DUMMYFUNCTION("GOOGLETRANSLATE(C139, ""th"", ""en"")"),"A) Increase the pressure and try to score back; B) Reduce the risk and wait for them to make a mistake; C) Avoid making plays; D) Allow them to score.")</f>
        <v>A) Increase the pressure and try to score back; B) Reduce the risk and wait for them to make a mistake; C) Avoid making plays; D) Allow them to score.</v>
      </c>
      <c r="O139" s="16" t="str">
        <f>IFERROR(__xludf.DUMMYFUNCTION("GOOGLETRANSLATE(D139, ""th"", ""en"")"),"A) Increase the pressure and try to score back.")</f>
        <v>A) Increase the pressure and try to score back.</v>
      </c>
    </row>
    <row r="140" ht="14.25" customHeight="1">
      <c r="A140" s="13">
        <v>139.0</v>
      </c>
      <c r="B140" s="15" t="s">
        <v>3524</v>
      </c>
      <c r="C140" s="15" t="s">
        <v>3525</v>
      </c>
      <c r="D140" s="15" t="s">
        <v>3526</v>
      </c>
      <c r="E140" s="15" t="s">
        <v>3527</v>
      </c>
      <c r="M140" s="16" t="str">
        <f>IFERROR(__xludf.DUMMYFUNCTION("GOOGLETRANSLATE(B140, ""th"", ""en"")"),"While playing, you see that your teammates are not following the game. What do you do?")</f>
        <v>While playing, you see that your teammates are not following the game. What do you do?</v>
      </c>
      <c r="N140" s="16" t="str">
        <f>IFERROR(__xludf.DUMMYFUNCTION("GOOGLETRANSLATE(C140, ""th"", ""en"")"),"A) Encourage him and try to help him regain his focus; B) Reprimand him; C) Let him do what he wants; D) Wait for him to make a mistake.")</f>
        <v>A) Encourage him and try to help him regain his focus; B) Reprimand him; C) Let him do what he wants; D) Wait for him to make a mistake.</v>
      </c>
      <c r="O140" s="16" t="str">
        <f>IFERROR(__xludf.DUMMYFUNCTION("GOOGLETRANSLATE(D140, ""th"", ""en"")"),"A) Encourage him and try to help him regain focus.")</f>
        <v>A) Encourage him and try to help him regain focus.</v>
      </c>
    </row>
    <row r="141" ht="14.25" customHeight="1">
      <c r="A141" s="13">
        <v>140.0</v>
      </c>
      <c r="B141" s="15" t="s">
        <v>3528</v>
      </c>
      <c r="C141" s="15" t="s">
        <v>3529</v>
      </c>
      <c r="D141" s="15" t="s">
        <v>3530</v>
      </c>
      <c r="E141" s="15" t="s">
        <v>3531</v>
      </c>
      <c r="M141" s="16" t="str">
        <f>IFERROR(__xludf.DUMMYFUNCTION("GOOGLETRANSLATE(B141, ""th"", ""en"")"),"Your game is in a crucial moment and you need to serve. What do you do?")</f>
        <v>Your game is in a crucial moment and you need to serve. What do you do?</v>
      </c>
      <c r="N141" s="16" t="str">
        <f>IFERROR(__xludf.DUMMYFUNCTION("GOOGLETRANSLATE(C141, ""th"", ""en"")"),"A) Serve with confidence and remain calm; B) Serve in a hurry; C) Ask someone else to serve; D) Avoid serving.")</f>
        <v>A) Serve with confidence and remain calm; B) Serve in a hurry; C) Ask someone else to serve; D) Avoid serving.</v>
      </c>
      <c r="O141" s="16" t="str">
        <f>IFERROR(__xludf.DUMMYFUNCTION("GOOGLETRANSLATE(D141, ""th"", ""en"")"),"A) Serve with confidence and maintain composure.")</f>
        <v>A) Serve with confidence and maintain composure.</v>
      </c>
    </row>
    <row r="142" ht="14.25" customHeight="1">
      <c r="A142" s="13">
        <v>141.0</v>
      </c>
      <c r="B142" s="15" t="s">
        <v>3532</v>
      </c>
      <c r="C142" s="15" t="s">
        <v>3533</v>
      </c>
      <c r="D142" s="15" t="s">
        <v>3522</v>
      </c>
      <c r="E142" s="15" t="s">
        <v>3534</v>
      </c>
      <c r="M142" s="16" t="str">
        <f>IFERROR(__xludf.DUMMYFUNCTION("GOOGLETRANSLATE(B142, ""th"", ""en"")"),"You feel your opponent is becoming more confident, what do you do?")</f>
        <v>You feel your opponent is becoming more confident, what do you do?</v>
      </c>
      <c r="N142" s="16" t="str">
        <f>IFERROR(__xludf.DUMMYFUNCTION("GOOGLETRANSLATE(C142, ""th"", ""en"")"),"A) Increase the pressure and try to score back; B) Reduce the risk and avoid making plays; C) Wait for them to make mistakes; D) Feel stressed.")</f>
        <v>A) Increase the pressure and try to score back; B) Reduce the risk and avoid making plays; C) Wait for them to make mistakes; D) Feel stressed.</v>
      </c>
      <c r="O142" s="16" t="str">
        <f>IFERROR(__xludf.DUMMYFUNCTION("GOOGLETRANSLATE(D142, ""th"", ""en"")"),"A) Increase the pressure and try to score back.")</f>
        <v>A) Increase the pressure and try to score back.</v>
      </c>
    </row>
    <row r="143" ht="14.25" customHeight="1">
      <c r="A143" s="13">
        <v>142.0</v>
      </c>
      <c r="B143" s="15" t="s">
        <v>3535</v>
      </c>
      <c r="C143" s="15" t="s">
        <v>3536</v>
      </c>
      <c r="D143" s="15" t="s">
        <v>3537</v>
      </c>
      <c r="E143" s="15" t="s">
        <v>3538</v>
      </c>
      <c r="M143" s="16" t="str">
        <f>IFERROR(__xludf.DUMMYFUNCTION("GOOGLETRANSLATE(B143, ""th"", ""en"")"),"During the game, you see your teammates getting tired. What do you do?")</f>
        <v>During the game, you see your teammates getting tired. What do you do?</v>
      </c>
      <c r="N143" s="16" t="str">
        <f>IFERROR(__xludf.DUMMYFUNCTION("GOOGLETRANSLATE(C143, ""th"", ""en"")"),"A) Support and help him regain his energy; B) Let him rest; C) Complain about being tired; D) Wait for the game to end.")</f>
        <v>A) Support and help him regain his energy; B) Let him rest; C) Complain about being tired; D) Wait for the game to end.</v>
      </c>
      <c r="O143" s="16" t="str">
        <f>IFERROR(__xludf.DUMMYFUNCTION("GOOGLETRANSLATE(D143, ""th"", ""en"")"),"A) Support and help him gain new energy.")</f>
        <v>A) Support and help him gain new energy.</v>
      </c>
    </row>
    <row r="144" ht="14.25" customHeight="1">
      <c r="A144" s="13">
        <v>143.0</v>
      </c>
      <c r="B144" s="15" t="s">
        <v>3539</v>
      </c>
      <c r="C144" s="15" t="s">
        <v>3540</v>
      </c>
      <c r="D144" s="15" t="s">
        <v>3541</v>
      </c>
      <c r="E144" s="15" t="s">
        <v>3542</v>
      </c>
      <c r="M144" s="16" t="str">
        <f>IFERROR(__xludf.DUMMYFUNCTION("GOOGLETRANSLATE(B144, ""th"", ""en"")"),"The game is getting intense, what can you do to keep your team focused?")</f>
        <v>The game is getting intense, what can you do to keep your team focused?</v>
      </c>
      <c r="N144" s="16" t="str">
        <f>IFERROR(__xludf.DUMMYFUNCTION("GOOGLETRANSLATE(C144, ""th"", ""en"")"),"A) encourage the team to focus and concentrate; B) let the team play in their own style; C) avoid taking risks; D) complain about the situation.")</f>
        <v>A) encourage the team to focus and concentrate; B) let the team play in their own style; C) avoid taking risks; D) complain about the situation.</v>
      </c>
      <c r="O144" s="16" t="str">
        <f>IFERROR(__xludf.DUMMYFUNCTION("GOOGLETRANSLATE(D144, ""th"", ""en"")"),"A) Encourage the team to focus and concentrate.")</f>
        <v>A) Encourage the team to focus and concentrate.</v>
      </c>
    </row>
    <row r="145" ht="14.25" customHeight="1">
      <c r="A145" s="13">
        <v>144.0</v>
      </c>
      <c r="B145" s="15" t="s">
        <v>3543</v>
      </c>
      <c r="C145" s="15" t="s">
        <v>3544</v>
      </c>
      <c r="D145" s="15" t="s">
        <v>3545</v>
      </c>
      <c r="E145" s="15" t="s">
        <v>3546</v>
      </c>
      <c r="M145" s="16" t="str">
        <f>IFERROR(__xludf.DUMMYFUNCTION("GOOGLETRANSLATE(B145, ""th"", ""en"")"),"While playing, you feel like you are making mistakes. What should you do?")</f>
        <v>While playing, you feel like you are making mistakes. What should you do?</v>
      </c>
      <c r="N145" s="16" t="str">
        <f>IFERROR(__xludf.DUMMYFUNCTION("GOOGLETRANSLATE(C145, ""th"", ""en"")"),"A) Take a deep breath and refocus; B) Stop playing and take a break; C) Complain about your mistake; D) Wait for your teammates to help you.")</f>
        <v>A) Take a deep breath and refocus; B) Stop playing and take a break; C) Complain about your mistake; D) Wait for your teammates to help you.</v>
      </c>
      <c r="O145" s="16" t="str">
        <f>IFERROR(__xludf.DUMMYFUNCTION("GOOGLETRANSLATE(D145, ""th"", ""en"")"),"A) Take a deep breath and refocus.")</f>
        <v>A) Take a deep breath and refocus.</v>
      </c>
    </row>
    <row r="146" ht="14.25" customHeight="1">
      <c r="A146" s="13">
        <v>145.0</v>
      </c>
      <c r="B146" s="15" t="s">
        <v>3547</v>
      </c>
      <c r="C146" s="15" t="s">
        <v>3548</v>
      </c>
      <c r="D146" s="15" t="s">
        <v>3549</v>
      </c>
      <c r="E146" s="15" t="s">
        <v>3550</v>
      </c>
      <c r="M146" s="16" t="str">
        <f>IFERROR(__xludf.DUMMYFUNCTION("GOOGLETRANSLATE(B146, ""th"", ""en"")"),"When you see your teammate making a mistake, what do you do?")</f>
        <v>When you see your teammate making a mistake, what do you do?</v>
      </c>
      <c r="N146" s="16" t="str">
        <f>IFERROR(__xludf.DUMMYFUNCTION("GOOGLETRANSLATE(C146, ""th"", ""en"")"),"A) Encourage him and help him refocus; B) Publicly reprimand him; C) Avoid talking about it; D) Let him do what he wants.")</f>
        <v>A) Encourage him and help him refocus; B) Publicly reprimand him; C) Avoid talking about it; D) Let him do what he wants.</v>
      </c>
      <c r="O146" s="16" t="str">
        <f>IFERROR(__xludf.DUMMYFUNCTION("GOOGLETRANSLATE(D146, ""th"", ""en"")"),"A) Encourage him and help him regain focus.")</f>
        <v>A) Encourage him and help him regain focus.</v>
      </c>
    </row>
    <row r="147" ht="14.25" customHeight="1">
      <c r="A147" s="13">
        <v>146.0</v>
      </c>
      <c r="B147" s="15" t="s">
        <v>3551</v>
      </c>
      <c r="C147" s="15" t="s">
        <v>3552</v>
      </c>
      <c r="D147" s="15" t="s">
        <v>3553</v>
      </c>
      <c r="E147" s="15" t="s">
        <v>3554</v>
      </c>
      <c r="M147" s="16" t="str">
        <f>IFERROR(__xludf.DUMMYFUNCTION("GOOGLETRANSLATE(B147, ""th"", ""en"")"),"At the end of the game, you have to receive a crucial ball. What do you do?")</f>
        <v>At the end of the game, you have to receive a crucial ball. What do you do?</v>
      </c>
      <c r="N147" s="16" t="str">
        <f>IFERROR(__xludf.DUMMYFUNCTION("GOOGLETRANSLATE(C147, ""th"", ""en"")"),"A) Catch the ball confidently and carefully; B) Take risks in catching the ball; C) Let the ball drop; D) Ask someone else to catch the ball.")</f>
        <v>A) Catch the ball confidently and carefully; B) Take risks in catching the ball; C) Let the ball drop; D) Ask someone else to catch the ball.</v>
      </c>
      <c r="O147" s="16" t="str">
        <f>IFERROR(__xludf.DUMMYFUNCTION("GOOGLETRANSLATE(D147, ""th"", ""en"")"),"A) Receive the ball with confidence and caution.")</f>
        <v>A) Receive the ball with confidence and caution.</v>
      </c>
    </row>
    <row r="148" ht="14.25" customHeight="1">
      <c r="A148" s="13">
        <v>147.0</v>
      </c>
      <c r="B148" s="15" t="s">
        <v>3555</v>
      </c>
      <c r="C148" s="15" t="s">
        <v>3556</v>
      </c>
      <c r="D148" s="15" t="s">
        <v>3270</v>
      </c>
      <c r="E148" s="15" t="s">
        <v>3557</v>
      </c>
      <c r="M148" s="16" t="str">
        <f>IFERROR(__xludf.DUMMYFUNCTION("GOOGLETRANSLATE(B148, ""th"", ""en"")"),"You see your opponent is starting to make mistakes, what do you do?")</f>
        <v>You see your opponent is starting to make mistakes, what do you do?</v>
      </c>
      <c r="N148" s="16" t="str">
        <f>IFERROR(__xludf.DUMMYFUNCTION("GOOGLETRANSLATE(C148, ""th"", ""en"")"),"A) Take the opportunity to score; B) Wait for them to make more mistakes; C) Avoid taking risks; D) Complain about the mistakes.")</f>
        <v>A) Take the opportunity to score; B) Wait for them to make more mistakes; C) Avoid taking risks; D) Complain about the mistakes.</v>
      </c>
      <c r="O148" s="16" t="str">
        <f>IFERROR(__xludf.DUMMYFUNCTION("GOOGLETRANSLATE(D148, ""th"", ""en"")"),"A) Use this opportunity to score points.")</f>
        <v>A) Use this opportunity to score points.</v>
      </c>
    </row>
    <row r="149" ht="14.25" customHeight="1">
      <c r="A149" s="13">
        <v>148.0</v>
      </c>
      <c r="B149" s="15" t="s">
        <v>3558</v>
      </c>
      <c r="C149" s="15" t="s">
        <v>3559</v>
      </c>
      <c r="D149" s="15" t="s">
        <v>3560</v>
      </c>
      <c r="E149" s="15" t="s">
        <v>3561</v>
      </c>
      <c r="M149" s="16" t="str">
        <f>IFERROR(__xludf.DUMMYFUNCTION("GOOGLETRANSLATE(B149, ""th"", ""en"")"),"When your opponent is launching a quick attack, what do you do?")</f>
        <v>When your opponent is launching a quick attack, what do you do?</v>
      </c>
      <c r="N149" s="16" t="str">
        <f>IFERROR(__xludf.DUMMYFUNCTION("GOOGLETRANSLATE(C149, ""th"", ""en"")"),"A) Adjust your posture and prepare to receive the ball; B) Avoid playing; C) Complain about their attack; D) Ask a teammate for help.")</f>
        <v>A) Adjust your posture and prepare to receive the ball; B) Avoid playing; C) Complain about their attack; D) Ask a teammate for help.</v>
      </c>
      <c r="O149" s="16" t="str">
        <f>IFERROR(__xludf.DUMMYFUNCTION("GOOGLETRANSLATE(D149, ""th"", ""en"")"),"A) Adjust your posture and prepare to receive the ball.")</f>
        <v>A) Adjust your posture and prepare to receive the ball.</v>
      </c>
    </row>
    <row r="150" ht="14.25" customHeight="1">
      <c r="A150" s="13">
        <v>149.0</v>
      </c>
      <c r="B150" s="15" t="s">
        <v>3562</v>
      </c>
      <c r="C150" s="15" t="s">
        <v>3563</v>
      </c>
      <c r="D150" s="15" t="s">
        <v>3564</v>
      </c>
      <c r="E150" s="15" t="s">
        <v>3565</v>
      </c>
      <c r="M150" s="16" t="str">
        <f>IFERROR(__xludf.DUMMYFUNCTION("GOOGLETRANSLATE(B150, ""th"", ""en"")"),"You see the game is getting tense, what do you do?")</f>
        <v>You see the game is getting tense, what do you do?</v>
      </c>
      <c r="N150" s="16" t="str">
        <f>IFERROR(__xludf.DUMMYFUNCTION("GOOGLETRANSLATE(C150, ""th"", ""en"")"),"A) Stay calm and focused; B) Get stressed and make the game more tense; C) Avoid playing; D) Take a break.")</f>
        <v>A) Stay calm and focused; B) Get stressed and make the game more tense; C) Avoid playing; D) Take a break.</v>
      </c>
      <c r="O150" s="16" t="str">
        <f>IFERROR(__xludf.DUMMYFUNCTION("GOOGLETRANSLATE(D150, ""th"", ""en"")"),"A) Maintain calm and focus.")</f>
        <v>A) Maintain calm and focus.</v>
      </c>
    </row>
    <row r="151" ht="14.25" customHeight="1">
      <c r="A151" s="13">
        <v>150.0</v>
      </c>
      <c r="B151" s="15" t="s">
        <v>3566</v>
      </c>
      <c r="C151" s="15" t="s">
        <v>3567</v>
      </c>
      <c r="D151" s="15" t="s">
        <v>3568</v>
      </c>
      <c r="E151" s="15" t="s">
        <v>3569</v>
      </c>
      <c r="M151" s="16" t="str">
        <f>IFERROR(__xludf.DUMMYFUNCTION("GOOGLETRANSLATE(B151, ""th"", ""en"")"),"Your opponent starts using unfamiliar techniques, what will you do?")</f>
        <v>Your opponent starts using unfamiliar techniques, what will you do?</v>
      </c>
      <c r="N151" s="16" t="str">
        <f>IFERROR(__xludf.DUMMYFUNCTION("GOOGLETRANSLATE(C151, ""th"", ""en"")"),"A) Try to learn and adapt to new techniques; B) Avoid playing; C) Complain about new techniques; D) Ask the referee to intervene.")</f>
        <v>A) Try to learn and adapt to new techniques; B) Avoid playing; C) Complain about new techniques; D) Ask the referee to intervene.</v>
      </c>
      <c r="O151" s="16" t="str">
        <f>IFERROR(__xludf.DUMMYFUNCTION("GOOGLETRANSLATE(D151, ""th"", ""en"")"),"A) Try to study and adapt to new techniques.")</f>
        <v>A) Try to study and adapt to new techniques.</v>
      </c>
    </row>
    <row r="152" ht="14.25" customHeight="1">
      <c r="A152" s="13">
        <v>151.0</v>
      </c>
      <c r="B152" s="15" t="s">
        <v>3570</v>
      </c>
      <c r="C152" s="15" t="s">
        <v>3571</v>
      </c>
      <c r="D152" s="15" t="s">
        <v>3572</v>
      </c>
      <c r="E152" s="15" t="s">
        <v>3573</v>
      </c>
      <c r="M152" s="16" t="str">
        <f>IFERROR(__xludf.DUMMYFUNCTION("GOOGLETRANSLATE(B152, ""th"", ""en"")"),"When your team starts making mistakes, what do you do?")</f>
        <v>When your team starts making mistakes, what do you do?</v>
      </c>
      <c r="N152" s="16" t="str">
        <f>IFERROR(__xludf.DUMMYFUNCTION("GOOGLETRANSLATE(C152, ""th"", ""en"")"),"A) Help the team regain focus and concentration; B) Publicly criticize the team; C) Avoid talking about it; D) Give up.")</f>
        <v>A) Help the team regain focus and concentration; B) Publicly criticize the team; C) Avoid talking about it; D) Give up.</v>
      </c>
      <c r="O152" s="16" t="str">
        <f>IFERROR(__xludf.DUMMYFUNCTION("GOOGLETRANSLATE(D152, ""th"", ""en"")"),"A) Help the team regain focus and concentration.")</f>
        <v>A) Help the team regain focus and concentration.</v>
      </c>
    </row>
    <row r="153" ht="14.25" customHeight="1">
      <c r="A153" s="13">
        <v>152.0</v>
      </c>
      <c r="B153" s="15" t="s">
        <v>3493</v>
      </c>
      <c r="C153" s="15" t="s">
        <v>3494</v>
      </c>
      <c r="D153" s="15" t="s">
        <v>3270</v>
      </c>
      <c r="E153" s="15" t="s">
        <v>3557</v>
      </c>
      <c r="M153" s="16" t="str">
        <f>IFERROR(__xludf.DUMMYFUNCTION("GOOGLETRANSLATE(B153, ""th"", ""en"")"),"You see your opponent making more mistakes, what do you do?")</f>
        <v>You see your opponent making more mistakes, what do you do?</v>
      </c>
      <c r="N153" s="16" t="str">
        <f>IFERROR(__xludf.DUMMYFUNCTION("GOOGLETRANSLATE(C153, ""th"", ""en"")"),"A) Use the opportunity to score; B) Wait for them to make more mistakes; C) Avoid playing; D) Complain about the mistakes.")</f>
        <v>A) Use the opportunity to score; B) Wait for them to make more mistakes; C) Avoid playing; D) Complain about the mistakes.</v>
      </c>
      <c r="O153" s="16" t="str">
        <f>IFERROR(__xludf.DUMMYFUNCTION("GOOGLETRANSLATE(D153, ""th"", ""en"")"),"A) Use this opportunity to score points.")</f>
        <v>A) Use this opportunity to score points.</v>
      </c>
    </row>
    <row r="154" ht="14.25" customHeight="1">
      <c r="A154" s="13">
        <v>153.0</v>
      </c>
      <c r="B154" s="15" t="s">
        <v>3574</v>
      </c>
      <c r="C154" s="15" t="s">
        <v>3575</v>
      </c>
      <c r="D154" s="15" t="s">
        <v>3576</v>
      </c>
      <c r="E154" s="15" t="s">
        <v>3577</v>
      </c>
      <c r="M154" s="16" t="str">
        <f>IFERROR(__xludf.DUMMYFUNCTION("GOOGLETRANSLATE(B154, ""th"", ""en"")"),"At crucial moments, you feel unsure about your performance, what do you do?")</f>
        <v>At crucial moments, you feel unsure about your performance, what do you do?</v>
      </c>
      <c r="N154" s="16" t="str">
        <f>IFERROR(__xludf.DUMMYFUNCTION("GOOGLETRANSLATE(C154, ""th"", ""en"")"),"A) Refocus and believe in yourself; B) Complain about your insecurity; C) Avoid playing; D) Wait for your teammates to help you.")</f>
        <v>A) Refocus and believe in yourself; B) Complain about your insecurity; C) Avoid playing; D) Wait for your teammates to help you.</v>
      </c>
      <c r="O154" s="16" t="str">
        <f>IFERROR(__xludf.DUMMYFUNCTION("GOOGLETRANSLATE(D154, ""th"", ""en"")"),"A) Refocus and believe in yourself.")</f>
        <v>A) Refocus and believe in yourself.</v>
      </c>
    </row>
    <row r="155" ht="14.25" customHeight="1">
      <c r="A155" s="13">
        <v>154.0</v>
      </c>
      <c r="B155" s="15" t="s">
        <v>3578</v>
      </c>
      <c r="C155" s="15" t="s">
        <v>3579</v>
      </c>
      <c r="D155" s="15" t="s">
        <v>3580</v>
      </c>
      <c r="E155" s="15" t="s">
        <v>3581</v>
      </c>
      <c r="M155" s="16" t="str">
        <f>IFERROR(__xludf.DUMMYFUNCTION("GOOGLETRANSLATE(B155, ""th"", ""en"")"),"You see your teammates starting to get discouraged, what do you do?")</f>
        <v>You see your teammates starting to get discouraged, what do you do?</v>
      </c>
      <c r="N155" s="16" t="str">
        <f>IFERROR(__xludf.DUMMYFUNCTION("GOOGLETRANSLATE(C155, ""th"", ""en"")"),"A) Encourage him and help him regain focus; B) Let him do what he wants; C) Criticize him publicly; D) Avoid talking about it.")</f>
        <v>A) Encourage him and help him regain focus; B) Let him do what he wants; C) Criticize him publicly; D) Avoid talking about it.</v>
      </c>
      <c r="O155" s="16" t="str">
        <f>IFERROR(__xludf.DUMMYFUNCTION("GOOGLETRANSLATE(D155, ""th"", ""en"")"),"A) Encourage him and help him regain focus.")</f>
        <v>A) Encourage him and help him regain focus.</v>
      </c>
    </row>
    <row r="156" ht="14.25" customHeight="1">
      <c r="A156" s="13">
        <v>155.0</v>
      </c>
      <c r="B156" s="15" t="s">
        <v>3582</v>
      </c>
      <c r="C156" s="15" t="s">
        <v>3552</v>
      </c>
      <c r="D156" s="15" t="s">
        <v>3553</v>
      </c>
      <c r="E156" s="15" t="s">
        <v>3583</v>
      </c>
      <c r="M156" s="16" t="str">
        <f>IFERROR(__xludf.DUMMYFUNCTION("GOOGLETRANSLATE(B156, ""th"", ""en"")"),"Your game is almost over and you need to make a crucial catch. What do you do?")</f>
        <v>Your game is almost over and you need to make a crucial catch. What do you do?</v>
      </c>
      <c r="N156" s="16" t="str">
        <f>IFERROR(__xludf.DUMMYFUNCTION("GOOGLETRANSLATE(C156, ""th"", ""en"")"),"A) Catch the ball confidently and carefully; B) Take risks in catching the ball; C) Let the ball drop; D) Ask someone else to catch the ball.")</f>
        <v>A) Catch the ball confidently and carefully; B) Take risks in catching the ball; C) Let the ball drop; D) Ask someone else to catch the ball.</v>
      </c>
      <c r="O156" s="16" t="str">
        <f>IFERROR(__xludf.DUMMYFUNCTION("GOOGLETRANSLATE(D156, ""th"", ""en"")"),"A) Receive the ball with confidence and caution.")</f>
        <v>A) Receive the ball with confidence and caution.</v>
      </c>
    </row>
    <row r="157" ht="14.25" customHeight="1">
      <c r="A157" s="13">
        <v>156.0</v>
      </c>
      <c r="B157" s="15" t="s">
        <v>3584</v>
      </c>
      <c r="C157" s="15" t="s">
        <v>3585</v>
      </c>
      <c r="D157" s="15" t="s">
        <v>3586</v>
      </c>
      <c r="E157" s="15" t="s">
        <v>3587</v>
      </c>
      <c r="M157" s="16" t="str">
        <f>IFERROR(__xludf.DUMMYFUNCTION("GOOGLETRANSLATE(B157, ""th"", ""en"")"),"You feel like your team is making more mistakes. What should you do?")</f>
        <v>You feel like your team is making more mistakes. What should you do?</v>
      </c>
      <c r="N157" s="16" t="str">
        <f>IFERROR(__xludf.DUMMYFUNCTION("GOOGLETRANSLATE(C157, ""th"", ""en"")"),"A) Help the team refocus and re-focus; B) Let the team do what it wants; C) Avoid talking about it; D) Blame the team.")</f>
        <v>A) Help the team refocus and re-focus; B) Let the team do what it wants; C) Avoid talking about it; D) Blame the team.</v>
      </c>
      <c r="O157" s="16" t="str">
        <f>IFERROR(__xludf.DUMMYFUNCTION("GOOGLETRANSLATE(D157, ""th"", ""en"")"),"A) Help the team refocus and re-focus.")</f>
        <v>A) Help the team refocus and re-focus.</v>
      </c>
    </row>
    <row r="158" ht="14.25" customHeight="1">
      <c r="A158" s="13">
        <v>157.0</v>
      </c>
      <c r="B158" s="15" t="s">
        <v>3588</v>
      </c>
      <c r="C158" s="15" t="s">
        <v>3563</v>
      </c>
      <c r="D158" s="15" t="s">
        <v>3564</v>
      </c>
      <c r="E158" s="15" t="s">
        <v>3565</v>
      </c>
      <c r="M158" s="16" t="str">
        <f>IFERROR(__xludf.DUMMYFUNCTION("GOOGLETRANSLATE(B158, ""th"", ""en"")"),"You see your game is getting tense, what do you do?")</f>
        <v>You see your game is getting tense, what do you do?</v>
      </c>
      <c r="N158" s="16" t="str">
        <f>IFERROR(__xludf.DUMMYFUNCTION("GOOGLETRANSLATE(C158, ""th"", ""en"")"),"A) Stay calm and focused; B) Get stressed and make the game more tense; C) Avoid playing; D) Take a break.")</f>
        <v>A) Stay calm and focused; B) Get stressed and make the game more tense; C) Avoid playing; D) Take a break.</v>
      </c>
      <c r="O158" s="16" t="str">
        <f>IFERROR(__xludf.DUMMYFUNCTION("GOOGLETRANSLATE(D158, ""th"", ""en"")"),"A) Maintain calm and focus.")</f>
        <v>A) Maintain calm and focus.</v>
      </c>
    </row>
    <row r="159" ht="14.25" customHeight="1">
      <c r="A159" s="13">
        <v>158.0</v>
      </c>
      <c r="B159" s="15" t="s">
        <v>3589</v>
      </c>
      <c r="C159" s="15" t="s">
        <v>3590</v>
      </c>
      <c r="D159" s="15" t="s">
        <v>3591</v>
      </c>
      <c r="E159" s="15" t="s">
        <v>3592</v>
      </c>
      <c r="M159" s="16" t="str">
        <f>IFERROR(__xludf.DUMMYFUNCTION("GOOGLETRANSLATE(B159, ""th"", ""en"")"),"During the game, you see that your team is getting tired. What do you do?")</f>
        <v>During the game, you see that your team is getting tired. What do you do?</v>
      </c>
      <c r="N159" s="16" t="str">
        <f>IFERROR(__xludf.DUMMYFUNCTION("GOOGLETRANSLATE(C159, ""th"", ""en"")"),"A) Stimulate the team to focus and recharge; B) Let the team play in their own style; C) Reduce the risk in the game; D) Complain about fatigue.")</f>
        <v>A) Stimulate the team to focus and recharge; B) Let the team play in their own style; C) Reduce the risk in the game; D) Complain about fatigue.</v>
      </c>
      <c r="O159" s="16" t="str">
        <f>IFERROR(__xludf.DUMMYFUNCTION("GOOGLETRANSLATE(D159, ""th"", ""en"")"),"A) Stimulate the team to focus and recharge.")</f>
        <v>A) Stimulate the team to focus and recharge.</v>
      </c>
    </row>
    <row r="160" ht="14.25" customHeight="1">
      <c r="A160" s="13">
        <v>159.0</v>
      </c>
      <c r="B160" s="15" t="s">
        <v>3593</v>
      </c>
      <c r="C160" s="15" t="s">
        <v>3594</v>
      </c>
      <c r="D160" s="15" t="s">
        <v>3522</v>
      </c>
      <c r="E160" s="15" t="s">
        <v>3595</v>
      </c>
      <c r="M160" s="16" t="str">
        <f>IFERROR(__xludf.DUMMYFUNCTION("GOOGLETRANSLATE(B160, ""th"", ""en"")"),"You see your opponent starting to score quickly, what do you do?")</f>
        <v>You see your opponent starting to score quickly, what do you do?</v>
      </c>
      <c r="N160" s="16" t="str">
        <f>IFERROR(__xludf.DUMMYFUNCTION("GOOGLETRANSLATE(C160, ""th"", ""en"")"),"A) Increase the pressure and try to score back; B) Avoid playing; C) Wait for them to make a mistake; D) Complain about the situation.")</f>
        <v>A) Increase the pressure and try to score back; B) Avoid playing; C) Wait for them to make a mistake; D) Complain about the situation.</v>
      </c>
      <c r="O160" s="16" t="str">
        <f>IFERROR(__xludf.DUMMYFUNCTION("GOOGLETRANSLATE(D160, ""th"", ""en"")"),"A) Increase the pressure and try to score back.")</f>
        <v>A) Increase the pressure and try to score back.</v>
      </c>
    </row>
    <row r="161" ht="14.25" customHeight="1">
      <c r="A161" s="13">
        <v>160.0</v>
      </c>
      <c r="B161" s="15" t="s">
        <v>3596</v>
      </c>
      <c r="C161" s="15" t="s">
        <v>3529</v>
      </c>
      <c r="D161" s="15" t="s">
        <v>3530</v>
      </c>
      <c r="E161" s="15" t="s">
        <v>3597</v>
      </c>
      <c r="M161" s="16" t="str">
        <f>IFERROR(__xludf.DUMMYFUNCTION("GOOGLETRANSLATE(B161, ""th"", ""en"")"),"You have to serve at a crucial moment. How do you do it?")</f>
        <v>You have to serve at a crucial moment. How do you do it?</v>
      </c>
      <c r="N161" s="16" t="str">
        <f>IFERROR(__xludf.DUMMYFUNCTION("GOOGLETRANSLATE(C161, ""th"", ""en"")"),"A) Serve with confidence and remain calm; B) Serve in a hurry; C) Ask someone else to serve; D) Avoid serving.")</f>
        <v>A) Serve with confidence and remain calm; B) Serve in a hurry; C) Ask someone else to serve; D) Avoid serving.</v>
      </c>
      <c r="O161" s="16" t="str">
        <f>IFERROR(__xludf.DUMMYFUNCTION("GOOGLETRANSLATE(D161, ""th"", ""en"")"),"A) Serve with confidence and maintain composure.")</f>
        <v>A) Serve with confidence and maintain composure.</v>
      </c>
    </row>
    <row r="162" ht="14.25" customHeight="1">
      <c r="A162" s="13">
        <v>161.0</v>
      </c>
      <c r="B162" s="15" t="s">
        <v>3598</v>
      </c>
      <c r="C162" s="15" t="s">
        <v>3599</v>
      </c>
      <c r="D162" s="15" t="s">
        <v>3526</v>
      </c>
      <c r="E162" s="15" t="s">
        <v>3600</v>
      </c>
      <c r="M162" s="16" t="str">
        <f>IFERROR(__xludf.DUMMYFUNCTION("GOOGLETRANSLATE(B162, ""th"", ""en"")"),"You see your teammates getting discouraged after making a mistake, what do you do?")</f>
        <v>You see your teammates getting discouraged after making a mistake, what do you do?</v>
      </c>
      <c r="N162" s="16" t="str">
        <f>IFERROR(__xludf.DUMMYFUNCTION("GOOGLETRANSLATE(C162, ""th"", ""en"")"),"A) Encourage him and try to help him regain his focus; B) Let him do what he wants; C) Scold him publicly; D) Avoid talking about it.")</f>
        <v>A) Encourage him and try to help him regain his focus; B) Let him do what he wants; C) Scold him publicly; D) Avoid talking about it.</v>
      </c>
      <c r="O162" s="16" t="str">
        <f>IFERROR(__xludf.DUMMYFUNCTION("GOOGLETRANSLATE(D162, ""th"", ""en"")"),"A) Encourage him and try to help him regain focus.")</f>
        <v>A) Encourage him and try to help him regain focus.</v>
      </c>
    </row>
    <row r="163" ht="14.25" customHeight="1">
      <c r="A163" s="13">
        <v>162.0</v>
      </c>
      <c r="B163" s="15" t="s">
        <v>3601</v>
      </c>
      <c r="C163" s="15" t="s">
        <v>3602</v>
      </c>
      <c r="D163" s="15" t="s">
        <v>3603</v>
      </c>
      <c r="E163" s="15" t="s">
        <v>3604</v>
      </c>
      <c r="M163" s="16" t="str">
        <f>IFERROR(__xludf.DUMMYFUNCTION("GOOGLETRANSLATE(B163, ""th"", ""en"")"),"During the game, you notice your opponent starts making mistakes. What do you do?")</f>
        <v>During the game, you notice your opponent starts making mistakes. What do you do?</v>
      </c>
      <c r="N163" s="16" t="str">
        <f>IFERROR(__xludf.DUMMYFUNCTION("GOOGLETRANSLATE(C163, ""th"", ""en"")"),"A) Use this opportunity to increase your score; B) Wait for them to make more mistakes; C) Avoid playing; D) Complain about their mistakes.")</f>
        <v>A) Use this opportunity to increase your score; B) Wait for them to make more mistakes; C) Avoid playing; D) Complain about their mistakes.</v>
      </c>
      <c r="O163" s="16" t="str">
        <f>IFERROR(__xludf.DUMMYFUNCTION("GOOGLETRANSLATE(D163, ""th"", ""en"")"),"A) Use this opportunity to increase your score.")</f>
        <v>A) Use this opportunity to increase your score.</v>
      </c>
    </row>
    <row r="164" ht="14.25" customHeight="1">
      <c r="A164" s="13">
        <v>163.0</v>
      </c>
      <c r="B164" s="15" t="s">
        <v>3605</v>
      </c>
      <c r="C164" s="15" t="s">
        <v>3606</v>
      </c>
      <c r="D164" s="15" t="s">
        <v>3607</v>
      </c>
      <c r="E164" s="15" t="s">
        <v>3608</v>
      </c>
      <c r="M164" s="16" t="str">
        <f>IFERROR(__xludf.DUMMYFUNCTION("GOOGLETRANSLATE(B164, ""th"", ""en"")"),"In an intense game, you feel like you're getting tired, what do you do?")</f>
        <v>In an intense game, you feel like you're getting tired, what do you do?</v>
      </c>
      <c r="N164" s="16" t="str">
        <f>IFERROR(__xludf.DUMMYFUNCTION("GOOGLETRANSLATE(C164, ""th"", ""en"")"),"A) Ask a teammate for help during this time; B) Stop playing and take a break; C) Refocus and continue playing; D) Complain about being tired.")</f>
        <v>A) Ask a teammate for help during this time; B) Stop playing and take a break; C) Refocus and continue playing; D) Complain about being tired.</v>
      </c>
      <c r="O164" s="16" t="str">
        <f>IFERROR(__xludf.DUMMYFUNCTION("GOOGLETRANSLATE(D164, ""th"", ""en"")"),"A) Ask your teammates for help during this time.")</f>
        <v>A) Ask your teammates for help during this time.</v>
      </c>
    </row>
    <row r="165" ht="14.25" customHeight="1">
      <c r="A165" s="13">
        <v>164.0</v>
      </c>
      <c r="B165" s="15" t="s">
        <v>3609</v>
      </c>
      <c r="C165" s="15" t="s">
        <v>3610</v>
      </c>
      <c r="D165" s="15" t="s">
        <v>3611</v>
      </c>
      <c r="E165" s="15" t="s">
        <v>3612</v>
      </c>
      <c r="M165" s="16" t="str">
        <f>IFERROR(__xludf.DUMMYFUNCTION("GOOGLETRANSLATE(B165, ""th"", ""en"")"),"The game is about to end and the score is still tied. What do you do?")</f>
        <v>The game is about to end and the score is still tied. What do you do?</v>
      </c>
      <c r="N165" s="16" t="str">
        <f>IFERROR(__xludf.DUMMYFUNCTION("GOOGLETRANSLATE(C165, ""th"", ""en"")"),"A) Serve with confidence and determination; B) Avoid taking risks; C) Wait for your opponent to make a mistake; D) Surrender.")</f>
        <v>A) Serve with confidence and determination; B) Avoid taking risks; C) Wait for your opponent to make a mistake; D) Surrender.</v>
      </c>
      <c r="O165" s="16" t="str">
        <f>IFERROR(__xludf.DUMMYFUNCTION("GOOGLETRANSLATE(D165, ""th"", ""en"")"),"A) Serve with confidence and determination.")</f>
        <v>A) Serve with confidence and determination.</v>
      </c>
    </row>
    <row r="166" ht="14.25" customHeight="1">
      <c r="A166" s="13">
        <v>165.0</v>
      </c>
      <c r="B166" s="15" t="s">
        <v>3613</v>
      </c>
      <c r="C166" s="15" t="s">
        <v>3614</v>
      </c>
      <c r="D166" s="15" t="s">
        <v>3615</v>
      </c>
      <c r="E166" s="15" t="s">
        <v>3616</v>
      </c>
      <c r="M166" s="16" t="str">
        <f>IFERROR(__xludf.DUMMYFUNCTION("GOOGLETRANSLATE(B166, ""th"", ""en"")"),"Your team is starting to score more points than your opponent, what do you do?")</f>
        <v>Your team is starting to score more points than your opponent, what do you do?</v>
      </c>
      <c r="N166" s="16" t="str">
        <f>IFERROR(__xludf.DUMMYFUNCTION("GOOGLETRANSLATE(C166, ""th"", ""en"")"),"A) Maintain balance and be careful; B) Play in haste to score more points; C) Avoid taking risks; D) Complain about the situation.")</f>
        <v>A) Maintain balance and be careful; B) Play in haste to score more points; C) Avoid taking risks; D) Complain about the situation.</v>
      </c>
      <c r="O166" s="16" t="str">
        <f>IFERROR(__xludf.DUMMYFUNCTION("GOOGLETRANSLATE(D166, ""th"", ""en"")"),"A) Maintain balance and be careful.")</f>
        <v>A) Maintain balance and be careful.</v>
      </c>
    </row>
    <row r="167" ht="14.25" customHeight="1">
      <c r="A167" s="13">
        <v>166.0</v>
      </c>
      <c r="B167" s="15" t="s">
        <v>3617</v>
      </c>
      <c r="C167" s="15" t="s">
        <v>3618</v>
      </c>
      <c r="D167" s="15" t="s">
        <v>3549</v>
      </c>
      <c r="E167" s="15" t="s">
        <v>3619</v>
      </c>
      <c r="M167" s="16" t="str">
        <f>IFERROR(__xludf.DUMMYFUNCTION("GOOGLETRANSLATE(B167, ""th"", ""en"")"),"Your teammate makes a crucial mistake. What do you do?")</f>
        <v>Your teammate makes a crucial mistake. What do you do?</v>
      </c>
      <c r="N167" s="16" t="str">
        <f>IFERROR(__xludf.DUMMYFUNCTION("GOOGLETRANSLATE(C167, ""th"", ""en"")"),"A) Encourage him and help him refocus; B) Publicly criticize him; C) Avoid talking about it; D) Give up.")</f>
        <v>A) Encourage him and help him refocus; B) Publicly criticize him; C) Avoid talking about it; D) Give up.</v>
      </c>
      <c r="O167" s="16" t="str">
        <f>IFERROR(__xludf.DUMMYFUNCTION("GOOGLETRANSLATE(D167, ""th"", ""en"")"),"A) Encourage him and help him regain focus.")</f>
        <v>A) Encourage him and help him regain focus.</v>
      </c>
    </row>
    <row r="168" ht="14.25" customHeight="1">
      <c r="A168" s="13">
        <v>167.0</v>
      </c>
      <c r="B168" s="15" t="s">
        <v>3620</v>
      </c>
      <c r="C168" s="15" t="s">
        <v>3621</v>
      </c>
      <c r="D168" s="15" t="s">
        <v>3622</v>
      </c>
      <c r="E168" s="15" t="s">
        <v>3623</v>
      </c>
      <c r="M168" s="16" t="str">
        <f>IFERROR(__xludf.DUMMYFUNCTION("GOOGLETRANSLATE(B168, ""th"", ""en"")"),"When you need to make a major attack, what do you do?")</f>
        <v>When you need to make a major attack, what do you do?</v>
      </c>
      <c r="N168" s="16" t="str">
        <f>IFERROR(__xludf.DUMMYFUNCTION("GOOGLETRANSLATE(C168, ""th"", ""en"")"),"A) Attack with confidence and caution; B) Avoid attacks; C) Give your teammates a chance to attack instead; D) Attack quickly without thinking.")</f>
        <v>A) Attack with confidence and caution; B) Avoid attacks; C) Give your teammates a chance to attack instead; D) Attack quickly without thinking.</v>
      </c>
      <c r="O168" s="16" t="str">
        <f>IFERROR(__xludf.DUMMYFUNCTION("GOOGLETRANSLATE(D168, ""th"", ""en"")"),"A) Attack with confidence and caution.")</f>
        <v>A) Attack with confidence and caution.</v>
      </c>
    </row>
    <row r="169" ht="14.25" customHeight="1">
      <c r="A169" s="13">
        <v>168.0</v>
      </c>
      <c r="B169" s="15" t="s">
        <v>3624</v>
      </c>
      <c r="C169" s="15" t="s">
        <v>3625</v>
      </c>
      <c r="D169" s="15" t="s">
        <v>3626</v>
      </c>
      <c r="E169" s="15" t="s">
        <v>3627</v>
      </c>
      <c r="M169" s="16" t="str">
        <f>IFERROR(__xludf.DUMMYFUNCTION("GOOGLETRANSLATE(B169, ""th"", ""en"")"),"Your game is under pressure from your opponent, what will you do?")</f>
        <v>Your game is under pressure from your opponent, what will you do?</v>
      </c>
      <c r="N169" s="16" t="str">
        <f>IFERROR(__xludf.DUMMYFUNCTION("GOOGLETRANSLATE(C169, ""th"", ""en"")"),"A) Control your emotions and try to play your own game; B) Feel stressed and distracted; C) Avoid playing; D) Blame the team.")</f>
        <v>A) Control your emotions and try to play your own game; B) Feel stressed and distracted; C) Avoid playing; D) Blame the team.</v>
      </c>
      <c r="O169" s="16" t="str">
        <f>IFERROR(__xludf.DUMMYFUNCTION("GOOGLETRANSLATE(D169, ""th"", ""en"")"),"A) Control your emotions and try to play your own game.")</f>
        <v>A) Control your emotions and try to play your own game.</v>
      </c>
    </row>
    <row r="170" ht="14.25" customHeight="1">
      <c r="A170" s="13">
        <v>169.0</v>
      </c>
      <c r="B170" s="15" t="s">
        <v>3628</v>
      </c>
      <c r="C170" s="15" t="s">
        <v>3629</v>
      </c>
      <c r="D170" s="15" t="s">
        <v>3630</v>
      </c>
      <c r="E170" s="15" t="s">
        <v>3631</v>
      </c>
      <c r="M170" s="16" t="str">
        <f>IFERROR(__xludf.DUMMYFUNCTION("GOOGLETRANSLATE(B170, ""th"", ""en"")"),"Your opponent is attacking quickly and unpredictably. What will you do?")</f>
        <v>Your opponent is attacking quickly and unpredictably. What will you do?</v>
      </c>
      <c r="N170" s="16" t="str">
        <f>IFERROR(__xludf.DUMMYFUNCTION("GOOGLETRANSLATE(C170, ""th"", ""en"")"),"A) Adjust and prepare to receive the ball; B) Avoid playing; C) Wait for a teammate to help; D) Complain about the attack.")</f>
        <v>A) Adjust and prepare to receive the ball; B) Avoid playing; C) Wait for a teammate to help; D) Complain about the attack.</v>
      </c>
      <c r="O170" s="16" t="str">
        <f>IFERROR(__xludf.DUMMYFUNCTION("GOOGLETRANSLATE(D170, ""th"", ""en"")"),"A) Adjust and prepare for your child.")</f>
        <v>A) Adjust and prepare for your child.</v>
      </c>
    </row>
    <row r="171" ht="14.25" customHeight="1">
      <c r="A171" s="13">
        <v>170.0</v>
      </c>
      <c r="B171" s="15" t="s">
        <v>3632</v>
      </c>
      <c r="C171" s="15" t="s">
        <v>3579</v>
      </c>
      <c r="D171" s="15" t="s">
        <v>3580</v>
      </c>
      <c r="E171" s="15" t="s">
        <v>3600</v>
      </c>
      <c r="M171" s="16" t="str">
        <f>IFERROR(__xludf.DUMMYFUNCTION("GOOGLETRANSLATE(B171, ""th"", ""en"")"),"You see your teammates starting to play poorly, what do you do?")</f>
        <v>You see your teammates starting to play poorly, what do you do?</v>
      </c>
      <c r="N171" s="16" t="str">
        <f>IFERROR(__xludf.DUMMYFUNCTION("GOOGLETRANSLATE(C171, ""th"", ""en"")"),"A) Encourage him and help him regain focus; B) Let him do what he wants; C) Criticize him publicly; D) Avoid talking about it.")</f>
        <v>A) Encourage him and help him regain focus; B) Let him do what he wants; C) Criticize him publicly; D) Avoid talking about it.</v>
      </c>
      <c r="O171" s="16" t="str">
        <f>IFERROR(__xludf.DUMMYFUNCTION("GOOGLETRANSLATE(D171, ""th"", ""en"")"),"A) Encourage him and help him regain focus.")</f>
        <v>A) Encourage him and help him regain focus.</v>
      </c>
    </row>
    <row r="172" ht="14.25" customHeight="1">
      <c r="A172" s="13">
        <v>171.0</v>
      </c>
      <c r="B172" s="15" t="s">
        <v>3633</v>
      </c>
      <c r="C172" s="15" t="s">
        <v>3634</v>
      </c>
      <c r="D172" s="15" t="s">
        <v>3553</v>
      </c>
      <c r="E172" s="15" t="s">
        <v>3635</v>
      </c>
      <c r="M172" s="16" t="str">
        <f>IFERROR(__xludf.DUMMYFUNCTION("GOOGLETRANSLATE(B172, ""th"", ""en"")"),"You feel the game getting intense and you need to make a crucial save. What do you do?")</f>
        <v>You feel the game getting intense and you need to make a crucial save. What do you do?</v>
      </c>
      <c r="N172" s="16" t="str">
        <f>IFERROR(__xludf.DUMMYFUNCTION("GOOGLETRANSLATE(C172, ""th"", ""en"")"),"A) Receive the ball confidently and carefully; B) Avoid receiving the ball; C) Ask someone else to receive the ball; D) Receive the ball quickly without thinking.")</f>
        <v>A) Receive the ball confidently and carefully; B) Avoid receiving the ball; C) Ask someone else to receive the ball; D) Receive the ball quickly without thinking.</v>
      </c>
      <c r="O172" s="16" t="str">
        <f>IFERROR(__xludf.DUMMYFUNCTION("GOOGLETRANSLATE(D172, ""th"", ""en"")"),"A) Receive the ball with confidence and caution.")</f>
        <v>A) Receive the ball with confidence and caution.</v>
      </c>
    </row>
    <row r="173" ht="14.25" customHeight="1">
      <c r="A173" s="13">
        <v>172.0</v>
      </c>
      <c r="B173" s="15" t="s">
        <v>3636</v>
      </c>
      <c r="C173" s="15" t="s">
        <v>3637</v>
      </c>
      <c r="D173" s="15" t="s">
        <v>3603</v>
      </c>
      <c r="E173" s="15" t="s">
        <v>3638</v>
      </c>
      <c r="M173" s="16" t="str">
        <f>IFERROR(__xludf.DUMMYFUNCTION("GOOGLETRANSLATE(B173, ""th"", ""en"")"),"While playing, you see your opponent making mistakes. What do you do?")</f>
        <v>While playing, you see your opponent making mistakes. What do you do?</v>
      </c>
      <c r="N173" s="16" t="str">
        <f>IFERROR(__xludf.DUMMYFUNCTION("GOOGLETRANSLATE(C173, ""th"", ""en"")"),"A) Use this opportunity to increase your score; B) Wait for them to make more mistakes; C) Avoid playing; D) Reprimand them.")</f>
        <v>A) Use this opportunity to increase your score; B) Wait for them to make more mistakes; C) Avoid playing; D) Reprimand them.</v>
      </c>
      <c r="O173" s="16" t="str">
        <f>IFERROR(__xludf.DUMMYFUNCTION("GOOGLETRANSLATE(D173, ""th"", ""en"")"),"A) Use this opportunity to increase your score.")</f>
        <v>A) Use this opportunity to increase your score.</v>
      </c>
    </row>
    <row r="174" ht="14.25" customHeight="1">
      <c r="A174" s="13">
        <v>173.0</v>
      </c>
      <c r="B174" s="15" t="s">
        <v>3639</v>
      </c>
      <c r="C174" s="15" t="s">
        <v>3640</v>
      </c>
      <c r="D174" s="15" t="s">
        <v>3641</v>
      </c>
      <c r="E174" s="15" t="s">
        <v>3642</v>
      </c>
      <c r="M174" s="16" t="str">
        <f>IFERROR(__xludf.DUMMYFUNCTION("GOOGLETRANSLATE(B174, ""th"", ""en"")"),"You feel like the game is becoming more challenging, what do you do?")</f>
        <v>You feel like the game is becoming more challenging, what do you do?</v>
      </c>
      <c r="N174" s="16" t="str">
        <f>IFERROR(__xludf.DUMMYFUNCTION("GOOGLETRANSLATE(C174, ""th"", ""en"")"),"A) Stay calm and focused on the game; B) Get stressed and make the game harder; C) Avoid playing; D) Ask your team for help.")</f>
        <v>A) Stay calm and focused on the game; B) Get stressed and make the game harder; C) Avoid playing; D) Ask your team for help.</v>
      </c>
      <c r="O174" s="16" t="str">
        <f>IFERROR(__xludf.DUMMYFUNCTION("GOOGLETRANSLATE(D174, ""th"", ""en"")"),"A) Keep calm and focus on the game.")</f>
        <v>A) Keep calm and focus on the game.</v>
      </c>
    </row>
    <row r="175" ht="14.25" customHeight="1">
      <c r="A175" s="13">
        <v>174.0</v>
      </c>
      <c r="B175" s="15" t="s">
        <v>3643</v>
      </c>
      <c r="C175" s="15" t="s">
        <v>3644</v>
      </c>
      <c r="D175" s="15" t="s">
        <v>3645</v>
      </c>
      <c r="E175" s="15" t="s">
        <v>3646</v>
      </c>
      <c r="M175" s="16" t="str">
        <f>IFERROR(__xludf.DUMMYFUNCTION("GOOGLETRANSLATE(B175, ""th"", ""en"")"),"During the game, you see your teammates starting to feel tired. What do you do?")</f>
        <v>During the game, you see your teammates starting to feel tired. What do you do?</v>
      </c>
      <c r="N175" s="16" t="str">
        <f>IFERROR(__xludf.DUMMYFUNCTION("GOOGLETRANSLATE(C175, ""th"", ""en"")"),"A) Encourage him to regain his energy and focus; B) Let him rest; C) Complain about being tired; D) Wait for him to stop playing.")</f>
        <v>A) Encourage him to regain his energy and focus; B) Let him rest; C) Complain about being tired; D) Wait for him to stop playing.</v>
      </c>
      <c r="O175" s="16" t="str">
        <f>IFERROR(__xludf.DUMMYFUNCTION("GOOGLETRANSLATE(D175, ""th"", ""en"")"),"A) Stimulate him to revitalize and refocus.")</f>
        <v>A) Stimulate him to revitalize and refocus.</v>
      </c>
    </row>
    <row r="176" ht="14.25" customHeight="1">
      <c r="A176" s="13">
        <v>175.0</v>
      </c>
      <c r="B176" s="15" t="s">
        <v>3647</v>
      </c>
      <c r="C176" s="15" t="s">
        <v>3648</v>
      </c>
      <c r="D176" s="15" t="s">
        <v>3522</v>
      </c>
      <c r="E176" s="15" t="s">
        <v>3534</v>
      </c>
      <c r="M176" s="16" t="str">
        <f>IFERROR(__xludf.DUMMYFUNCTION("GOOGLETRANSLATE(B176, ""th"", ""en"")"),"You see your opponent becoming more confident, what do you do?")</f>
        <v>You see your opponent becoming more confident, what do you do?</v>
      </c>
      <c r="N176" s="16" t="str">
        <f>IFERROR(__xludf.DUMMYFUNCTION("GOOGLETRANSLATE(C176, ""th"", ""en"")"),"A) Increase the pressure and try to score back; B) Feel stressed and unable to play; C) Avoid playing; D) Wait for them to make a mistake.")</f>
        <v>A) Increase the pressure and try to score back; B) Feel stressed and unable to play; C) Avoid playing; D) Wait for them to make a mistake.</v>
      </c>
      <c r="O176" s="16" t="str">
        <f>IFERROR(__xludf.DUMMYFUNCTION("GOOGLETRANSLATE(D176, ""th"", ""en"")"),"A) Increase the pressure and try to score back.")</f>
        <v>A) Increase the pressure and try to score back.</v>
      </c>
    </row>
    <row r="177" ht="14.25" customHeight="1">
      <c r="A177" s="13">
        <v>176.0</v>
      </c>
      <c r="B177" s="15" t="s">
        <v>3649</v>
      </c>
      <c r="C177" s="15" t="s">
        <v>3650</v>
      </c>
      <c r="D177" s="15" t="s">
        <v>3651</v>
      </c>
      <c r="E177" s="15" t="s">
        <v>3652</v>
      </c>
      <c r="M177" s="16" t="str">
        <f>IFERROR(__xludf.DUMMYFUNCTION("GOOGLETRANSLATE(B177, ""th"", ""en"")"),"You are at a crucial moment in the game, what will you do?")</f>
        <v>You are at a crucial moment in the game, what will you do?</v>
      </c>
      <c r="N177" s="16" t="str">
        <f>IFERROR(__xludf.DUMMYFUNCTION("GOOGLETRANSLATE(C177, ""th"", ""en"")"),"A) Maintain confidence and determination; B) Play quickly without thinking; C) Avoid taking risks; D) Ask to cancel the game.")</f>
        <v>A) Maintain confidence and determination; B) Play quickly without thinking; C) Avoid taking risks; D) Ask to cancel the game.</v>
      </c>
      <c r="O177" s="16" t="str">
        <f>IFERROR(__xludf.DUMMYFUNCTION("GOOGLETRANSLATE(D177, ""th"", ""en"")"),"A) Maintain confidence and determination.")</f>
        <v>A) Maintain confidence and determination.</v>
      </c>
    </row>
    <row r="178" ht="14.25" customHeight="1">
      <c r="A178" s="13">
        <v>177.0</v>
      </c>
      <c r="B178" s="15" t="s">
        <v>3653</v>
      </c>
      <c r="C178" s="15" t="s">
        <v>3654</v>
      </c>
      <c r="D178" s="15" t="s">
        <v>3572</v>
      </c>
      <c r="E178" s="15" t="s">
        <v>3655</v>
      </c>
      <c r="M178" s="16" t="str">
        <f>IFERROR(__xludf.DUMMYFUNCTION("GOOGLETRANSLATE(B178, ""th"", ""en"")"),"When you see your team starting to make mistakes, what do you do?")</f>
        <v>When you see your team starting to make mistakes, what do you do?</v>
      </c>
      <c r="N178" s="16" t="str">
        <f>IFERROR(__xludf.DUMMYFUNCTION("GOOGLETRANSLATE(C178, ""th"", ""en"")"),"A) Help the team refocus and re-engage; B) Let the team do what they want; C) Avoid talking about it; D) Give up.")</f>
        <v>A) Help the team refocus and re-engage; B) Let the team do what they want; C) Avoid talking about it; D) Give up.</v>
      </c>
      <c r="O178" s="16" t="str">
        <f>IFERROR(__xludf.DUMMYFUNCTION("GOOGLETRANSLATE(D178, ""th"", ""en"")"),"A) Help the team regain focus and concentration.")</f>
        <v>A) Help the team regain focus and concentration.</v>
      </c>
    </row>
    <row r="179" ht="14.25" customHeight="1">
      <c r="A179" s="13">
        <v>178.0</v>
      </c>
      <c r="B179" s="15" t="s">
        <v>3656</v>
      </c>
      <c r="C179" s="15" t="s">
        <v>3657</v>
      </c>
      <c r="D179" s="15" t="s">
        <v>3658</v>
      </c>
      <c r="E179" s="15" t="s">
        <v>3659</v>
      </c>
      <c r="M179" s="16" t="str">
        <f>IFERROR(__xludf.DUMMYFUNCTION("GOOGLETRANSLATE(B179, ""th"", ""en"")"),"When your opponent starts attacking hard, what do you do?")</f>
        <v>When your opponent starts attacking hard, what do you do?</v>
      </c>
      <c r="N179" s="16" t="str">
        <f>IFERROR(__xludf.DUMMYFUNCTION("GOOGLETRANSLATE(C179, ""th"", ""en"")"),"A) Adjust your posture and prepare to receive the ball; B) Avoid receiving the ball; C) Ask a teammate for help; D) Quickly respond.")</f>
        <v>A) Adjust your posture and prepare to receive the ball; B) Avoid receiving the ball; C) Ask a teammate for help; D) Quickly respond.</v>
      </c>
      <c r="O179" s="16" t="str">
        <f>IFERROR(__xludf.DUMMYFUNCTION("GOOGLETRANSLATE(D179, ""th"", ""en"")"),"A) Adjust your posture and prepare to receive the ball.")</f>
        <v>A) Adjust your posture and prepare to receive the ball.</v>
      </c>
    </row>
    <row r="180" ht="14.25" customHeight="1">
      <c r="A180" s="13">
        <v>179.0</v>
      </c>
      <c r="B180" s="15" t="s">
        <v>3660</v>
      </c>
      <c r="C180" s="15" t="s">
        <v>3661</v>
      </c>
      <c r="D180" s="15" t="s">
        <v>3270</v>
      </c>
      <c r="E180" s="15" t="s">
        <v>3638</v>
      </c>
      <c r="M180" s="16" t="str">
        <f>IFERROR(__xludf.DUMMYFUNCTION("GOOGLETRANSLATE(B180, ""th"", ""en"")"),"During a game, you see your opponent making mistakes. What should you do?")</f>
        <v>During a game, you see your opponent making mistakes. What should you do?</v>
      </c>
      <c r="N180" s="16" t="str">
        <f>IFERROR(__xludf.DUMMYFUNCTION("GOOGLETRANSLATE(C180, ""th"", ""en"")"),"A) Use this opportunity to score; B) Wait for them to make more mistakes; C) Avoid playing; D) Blame them.")</f>
        <v>A) Use this opportunity to score; B) Wait for them to make more mistakes; C) Avoid playing; D) Blame them.</v>
      </c>
      <c r="O180" s="16" t="str">
        <f>IFERROR(__xludf.DUMMYFUNCTION("GOOGLETRANSLATE(D180, ""th"", ""en"")"),"A) Use this opportunity to score points.")</f>
        <v>A) Use this opportunity to score points.</v>
      </c>
    </row>
    <row r="181" ht="14.25" customHeight="1">
      <c r="A181" s="13">
        <v>180.0</v>
      </c>
      <c r="B181" s="15" t="s">
        <v>3662</v>
      </c>
      <c r="C181" s="15" t="s">
        <v>3606</v>
      </c>
      <c r="D181" s="15" t="s">
        <v>3607</v>
      </c>
      <c r="E181" s="15" t="s">
        <v>3663</v>
      </c>
      <c r="M181" s="16" t="str">
        <f>IFERROR(__xludf.DUMMYFUNCTION("GOOGLETRANSLATE(B181, ""th"", ""en"")"),"When you feel like you're getting tired during a game, what do you do?")</f>
        <v>When you feel like you're getting tired during a game, what do you do?</v>
      </c>
      <c r="N181" s="16" t="str">
        <f>IFERROR(__xludf.DUMMYFUNCTION("GOOGLETRANSLATE(C181, ""th"", ""en"")"),"A) Ask a teammate for help during this time; B) Stop playing and take a break; C) Refocus and continue playing; D) Complain about being tired.")</f>
        <v>A) Ask a teammate for help during this time; B) Stop playing and take a break; C) Refocus and continue playing; D) Complain about being tired.</v>
      </c>
      <c r="O181" s="16" t="str">
        <f>IFERROR(__xludf.DUMMYFUNCTION("GOOGLETRANSLATE(D181, ""th"", ""en"")"),"A) Ask your teammates for help during this time.")</f>
        <v>A) Ask your teammates for help during this time.</v>
      </c>
    </row>
    <row r="182" ht="14.25" customHeight="1">
      <c r="A182" s="13">
        <v>181.0</v>
      </c>
      <c r="B182" s="15" t="s">
        <v>3664</v>
      </c>
      <c r="C182" s="15" t="s">
        <v>3665</v>
      </c>
      <c r="D182" s="15" t="s">
        <v>3666</v>
      </c>
      <c r="E182" s="15" t="s">
        <v>3667</v>
      </c>
      <c r="M182" s="16" t="str">
        <f>IFERROR(__xludf.DUMMYFUNCTION("GOOGLETRANSLATE(B182, ""th"", ""en"")"),"You are in a situation where the scores are tied, what will you do?")</f>
        <v>You are in a situation where the scores are tied, what will you do?</v>
      </c>
      <c r="N182" s="16" t="str">
        <f>IFERROR(__xludf.DUMMYFUNCTION("GOOGLETRANSLATE(C182, ""th"", ""en"")"),"A) Control your stress and strive to score; B) Feel pressured and make the situation more difficult; C) Avoid playing; D) Complain about the situation.")</f>
        <v>A) Control your stress and strive to score; B) Feel pressured and make the situation more difficult; C) Avoid playing; D) Complain about the situation.</v>
      </c>
      <c r="O182" s="16" t="str">
        <f>IFERROR(__xludf.DUMMYFUNCTION("GOOGLETRANSLATE(D182, ""th"", ""en"")"),"A) Control your stress and focus on scoring.")</f>
        <v>A) Control your stress and focus on scoring.</v>
      </c>
    </row>
    <row r="183" ht="14.25" customHeight="1">
      <c r="A183" s="13">
        <v>182.0</v>
      </c>
      <c r="B183" s="15" t="s">
        <v>3668</v>
      </c>
      <c r="C183" s="15" t="s">
        <v>3669</v>
      </c>
      <c r="D183" s="15" t="s">
        <v>3670</v>
      </c>
      <c r="E183" s="15" t="s">
        <v>3671</v>
      </c>
      <c r="M183" s="16" t="str">
        <f>IFERROR(__xludf.DUMMYFUNCTION("GOOGLETRANSLATE(B183, ""th"", ""en"")"),"You see your teammates starting to lose confidence in their play, what do you do?")</f>
        <v>You see your teammates starting to lose confidence in their play, what do you do?</v>
      </c>
      <c r="N183" s="16" t="str">
        <f>IFERROR(__xludf.DUMMYFUNCTION("GOOGLETRANSLATE(C183, ""th"", ""en"")"),"A) Encourage him and help him regain focus; B) Let him do what he wants; C) Reprimand him; D) Avoid talking about it.")</f>
        <v>A) Encourage him and help him regain focus; B) Let him do what he wants; C) Reprimand him; D) Avoid talking about it.</v>
      </c>
      <c r="O183" s="16" t="str">
        <f>IFERROR(__xludf.DUMMYFUNCTION("GOOGLETRANSLATE(D183, ""th"", ""en"")"),"A) Encourage him and help him regain focus.")</f>
        <v>A) Encourage him and help him regain focus.</v>
      </c>
    </row>
    <row r="184" ht="14.25" customHeight="1">
      <c r="A184" s="13">
        <v>183.0</v>
      </c>
      <c r="B184" s="15" t="s">
        <v>3672</v>
      </c>
      <c r="C184" s="15" t="s">
        <v>3673</v>
      </c>
      <c r="D184" s="15" t="s">
        <v>3674</v>
      </c>
      <c r="E184" s="15" t="s">
        <v>3675</v>
      </c>
      <c r="M184" s="16" t="str">
        <f>IFERROR(__xludf.DUMMYFUNCTION("GOOGLETRANSLATE(B184, ""th"", ""en"")"),"During the game, you feel like you are making frequent mistakes. What should you do?")</f>
        <v>During the game, you feel like you are making frequent mistakes. What should you do?</v>
      </c>
      <c r="N184" s="16" t="str">
        <f>IFERROR(__xludf.DUMMYFUNCTION("GOOGLETRANSLATE(C184, ""th"", ""en"")"),"A) Take a break and refocus; B) Feel stressed and unable to continue playing; C) Blame yourself; D) Complain about your mistakes.")</f>
        <v>A) Take a break and refocus; B) Feel stressed and unable to continue playing; C) Blame yourself; D) Complain about your mistakes.</v>
      </c>
      <c r="O184" s="16" t="str">
        <f>IFERROR(__xludf.DUMMYFUNCTION("GOOGLETRANSLATE(D184, ""th"", ""en"")"),"A) Take a break and meditate again.")</f>
        <v>A) Take a break and meditate again.</v>
      </c>
    </row>
    <row r="185" ht="14.25" customHeight="1">
      <c r="A185" s="13">
        <v>184.0</v>
      </c>
      <c r="B185" s="15" t="s">
        <v>3676</v>
      </c>
      <c r="C185" s="15" t="s">
        <v>3677</v>
      </c>
      <c r="D185" s="15" t="s">
        <v>3678</v>
      </c>
      <c r="E185" s="15" t="s">
        <v>3679</v>
      </c>
      <c r="M185" s="16" t="str">
        <f>IFERROR(__xludf.DUMMYFUNCTION("GOOGLETRANSLATE(B185, ""th"", ""en"")"),"Your opponent starts attacking quickly and is difficult to defend against. What will you do?")</f>
        <v>Your opponent starts attacking quickly and is difficult to defend against. What will you do?</v>
      </c>
      <c r="N185" s="16" t="str">
        <f>IFERROR(__xludf.DUMMYFUNCTION("GOOGLETRANSLATE(C185, ""th"", ""en"")"),"A) Adjust your posture and prepare to receive the ball; B) Avoid receiving the ball; C) Ask someone else to receive the ball; D) Complain about the attack.")</f>
        <v>A) Adjust your posture and prepare to receive the ball; B) Avoid receiving the ball; C) Ask someone else to receive the ball; D) Complain about the attack.</v>
      </c>
      <c r="O185" s="16" t="str">
        <f>IFERROR(__xludf.DUMMYFUNCTION("GOOGLETRANSLATE(D185, ""th"", ""en"")"),"A) Adjust your posture and prepare to receive the ball.")</f>
        <v>A) Adjust your posture and prepare to receive the ball.</v>
      </c>
    </row>
    <row r="186" ht="14.25" customHeight="1">
      <c r="A186" s="13">
        <v>185.0</v>
      </c>
      <c r="B186" s="15" t="s">
        <v>3680</v>
      </c>
      <c r="C186" s="15" t="s">
        <v>3681</v>
      </c>
      <c r="D186" s="15" t="s">
        <v>3615</v>
      </c>
      <c r="E186" s="15" t="s">
        <v>3682</v>
      </c>
      <c r="M186" s="16" t="str">
        <f>IFERROR(__xludf.DUMMYFUNCTION("GOOGLETRANSLATE(B186, ""th"", ""en"")"),"Your team is losing points to your opponents, what will you do?")</f>
        <v>Your team is losing points to your opponents, what will you do?</v>
      </c>
      <c r="N186" s="16" t="str">
        <f>IFERROR(__xludf.DUMMYFUNCTION("GOOGLETRANSLATE(C186, ""th"", ""en"")"),"A) Maintain balance and be careful; B) Hurry to score more points; C) Avoid taking risks; D) Complain about the situation.")</f>
        <v>A) Maintain balance and be careful; B) Hurry to score more points; C) Avoid taking risks; D) Complain about the situation.</v>
      </c>
      <c r="O186" s="16" t="str">
        <f>IFERROR(__xludf.DUMMYFUNCTION("GOOGLETRANSLATE(D186, ""th"", ""en"")"),"A) Maintain balance and be careful.")</f>
        <v>A) Maintain balance and be careful.</v>
      </c>
    </row>
    <row r="187" ht="14.25" customHeight="1">
      <c r="A187" s="13">
        <v>186.0</v>
      </c>
      <c r="B187" s="15" t="s">
        <v>3683</v>
      </c>
      <c r="C187" s="15" t="s">
        <v>3684</v>
      </c>
      <c r="D187" s="15" t="s">
        <v>3685</v>
      </c>
      <c r="E187" s="15" t="s">
        <v>3686</v>
      </c>
      <c r="M187" s="16" t="str">
        <f>IFERROR(__xludf.DUMMYFUNCTION("GOOGLETRANSLATE(B187, ""th"", ""en"")"),"When your opponent starts to play badly, what do you do?")</f>
        <v>When your opponent starts to play badly, what do you do?</v>
      </c>
      <c r="N187" s="16" t="str">
        <f>IFERROR(__xludf.DUMMYFUNCTION("GOOGLETRANSLATE(C187, ""th"", ""en"")"),"A) Take this opportunity to score; B) Wait for them to make more mistakes; C) Avoid playing; D) Blame them.")</f>
        <v>A) Take this opportunity to score; B) Wait for them to make more mistakes; C) Avoid playing; D) Blame them.</v>
      </c>
      <c r="O187" s="16" t="str">
        <f>IFERROR(__xludf.DUMMYFUNCTION("GOOGLETRANSLATE(D187, ""th"", ""en"")"),"A) Use this opportunity to score points.")</f>
        <v>A) Use this opportunity to score points.</v>
      </c>
    </row>
    <row r="188" ht="14.25" customHeight="1">
      <c r="A188" s="13">
        <v>187.0</v>
      </c>
      <c r="B188" s="15" t="s">
        <v>3639</v>
      </c>
      <c r="C188" s="15" t="s">
        <v>3640</v>
      </c>
      <c r="D188" s="15" t="s">
        <v>3641</v>
      </c>
      <c r="E188" s="15" t="s">
        <v>3642</v>
      </c>
      <c r="M188" s="16" t="str">
        <f>IFERROR(__xludf.DUMMYFUNCTION("GOOGLETRANSLATE(B188, ""th"", ""en"")"),"You feel like the game is becoming more challenging, what do you do?")</f>
        <v>You feel like the game is becoming more challenging, what do you do?</v>
      </c>
      <c r="N188" s="16" t="str">
        <f>IFERROR(__xludf.DUMMYFUNCTION("GOOGLETRANSLATE(C188, ""th"", ""en"")"),"A) Stay calm and focused on the game; B) Get stressed and make the game harder; C) Avoid playing; D) Ask your team for help.")</f>
        <v>A) Stay calm and focused on the game; B) Get stressed and make the game harder; C) Avoid playing; D) Ask your team for help.</v>
      </c>
      <c r="O188" s="16" t="str">
        <f>IFERROR(__xludf.DUMMYFUNCTION("GOOGLETRANSLATE(D188, ""th"", ""en"")"),"A) Keep calm and focus on the game.")</f>
        <v>A) Keep calm and focus on the game.</v>
      </c>
    </row>
    <row r="189" ht="14.25" customHeight="1">
      <c r="A189" s="13">
        <v>188.0</v>
      </c>
      <c r="B189" s="15" t="s">
        <v>3687</v>
      </c>
      <c r="C189" s="15" t="s">
        <v>3688</v>
      </c>
      <c r="D189" s="15" t="s">
        <v>3689</v>
      </c>
      <c r="E189" s="15" t="s">
        <v>3690</v>
      </c>
      <c r="M189" s="16" t="str">
        <f>IFERROR(__xludf.DUMMYFUNCTION("GOOGLETRANSLATE(B189, ""th"", ""en"")"),"Your team is about to start the final set. What will you do?")</f>
        <v>Your team is about to start the final set. What will you do?</v>
      </c>
      <c r="N189" s="16" t="str">
        <f>IFERROR(__xludf.DUMMYFUNCTION("GOOGLETRANSLATE(C189, ""th"", ""en"")"),"A) Prepare yourself and focus; B) Get stressed and make the game harder; C) Avoid playing; D) Complain about the situation.")</f>
        <v>A) Prepare yourself and focus; B) Get stressed and make the game harder; C) Avoid playing; D) Complain about the situation.</v>
      </c>
      <c r="O189" s="16" t="str">
        <f>IFERROR(__xludf.DUMMYFUNCTION("GOOGLETRANSLATE(D189, ""th"", ""en"")"),"A) Be prepared and focused.")</f>
        <v>A) Be prepared and focused.</v>
      </c>
    </row>
    <row r="190" ht="14.25" customHeight="1">
      <c r="A190" s="13">
        <v>189.0</v>
      </c>
      <c r="B190" s="15" t="s">
        <v>3691</v>
      </c>
      <c r="C190" s="15" t="s">
        <v>3692</v>
      </c>
      <c r="D190" s="15" t="s">
        <v>3693</v>
      </c>
      <c r="E190" s="15" t="s">
        <v>3694</v>
      </c>
      <c r="M190" s="16" t="str">
        <f>IFERROR(__xludf.DUMMYFUNCTION("GOOGLETRANSLATE(B190, ""th"", ""en"")"),"When you make a mistake in a game, what do you do?")</f>
        <v>When you make a mistake in a game, what do you do?</v>
      </c>
      <c r="N190" s="16" t="str">
        <f>IFERROR(__xludf.DUMMYFUNCTION("GOOGLETRANSLATE(C190, ""th"", ""en"")"),"A) Refocus and try again; B) Feel stressed and unable to continue playing; C) Blame yourself; D) Avoid talking about it.")</f>
        <v>A) Refocus and try again; B) Feel stressed and unable to continue playing; C) Blame yourself; D) Avoid talking about it.</v>
      </c>
      <c r="O190" s="16" t="str">
        <f>IFERROR(__xludf.DUMMYFUNCTION("GOOGLETRANSLATE(D190, ""th"", ""en"")"),"A) Refocus and try again.")</f>
        <v>A) Refocus and try again.</v>
      </c>
    </row>
    <row r="191" ht="14.25" customHeight="1">
      <c r="A191" s="13">
        <v>190.0</v>
      </c>
      <c r="B191" s="15" t="s">
        <v>3695</v>
      </c>
      <c r="C191" s="15" t="s">
        <v>3696</v>
      </c>
      <c r="D191" s="15" t="s">
        <v>3697</v>
      </c>
      <c r="E191" s="15" t="s">
        <v>3698</v>
      </c>
      <c r="M191" s="16" t="str">
        <f>IFERROR(__xludf.DUMMYFUNCTION("GOOGLETRANSLATE(B191, ""th"", ""en"")"),"When you have to take care of your child in a critical situation, what do you do?")</f>
        <v>When you have to take care of your child in a critical situation, what do you do?</v>
      </c>
      <c r="N191" s="16" t="str">
        <f>IFERROR(__xludf.DUMMYFUNCTION("GOOGLETRANSLATE(C191, ""th"", ""en"")"),"A) Receive the ball confidently and carefully; B) Avoid receiving the ball; C) Ask someone else to receive the ball; D) Quickly receive the ball without thinking.")</f>
        <v>A) Receive the ball confidently and carefully; B) Avoid receiving the ball; C) Ask someone else to receive the ball; D) Quickly receive the ball without thinking.</v>
      </c>
      <c r="O191" s="16" t="str">
        <f>IFERROR(__xludf.DUMMYFUNCTION("GOOGLETRANSLATE(D191, ""th"", ""en"")"),"A) Receive the ball confidently and carefully.")</f>
        <v>A) Receive the ball confidently and carefully.</v>
      </c>
    </row>
    <row r="192" ht="14.25" customHeight="1">
      <c r="A192" s="13">
        <v>191.0</v>
      </c>
      <c r="B192" s="15" t="s">
        <v>3699</v>
      </c>
      <c r="C192" s="15" t="s">
        <v>3700</v>
      </c>
      <c r="D192" s="15" t="s">
        <v>3522</v>
      </c>
      <c r="E192" s="15" t="s">
        <v>3701</v>
      </c>
      <c r="M192" s="16" t="str">
        <f>IFERROR(__xludf.DUMMYFUNCTION("GOOGLETRANSLATE(B192, ""th"", ""en"")"),"At the end of the game, you see your opponent gaining confidence, what do you do?")</f>
        <v>At the end of the game, you see your opponent gaining confidence, what do you do?</v>
      </c>
      <c r="N192" s="16" t="str">
        <f>IFERROR(__xludf.DUMMYFUNCTION("GOOGLETRANSLATE(C192, ""th"", ""en"")"),"A) Increase pressure and try to score back; B) Feel stressed and distracted; C) Avoid playing; D) Wait for them to make a mistake.")</f>
        <v>A) Increase pressure and try to score back; B) Feel stressed and distracted; C) Avoid playing; D) Wait for them to make a mistake.</v>
      </c>
      <c r="O192" s="16" t="str">
        <f>IFERROR(__xludf.DUMMYFUNCTION("GOOGLETRANSLATE(D192, ""th"", ""en"")"),"A) Increase the pressure and try to score back.")</f>
        <v>A) Increase the pressure and try to score back.</v>
      </c>
    </row>
    <row r="193" ht="14.25" customHeight="1">
      <c r="A193" s="13">
        <v>192.0</v>
      </c>
      <c r="B193" s="15" t="s">
        <v>3702</v>
      </c>
      <c r="C193" s="15" t="s">
        <v>3703</v>
      </c>
      <c r="D193" s="15" t="s">
        <v>3704</v>
      </c>
      <c r="E193" s="15" t="s">
        <v>3705</v>
      </c>
      <c r="M193" s="16" t="str">
        <f>IFERROR(__xludf.DUMMYFUNCTION("GOOGLETRANSLATE(B193, ""th"", ""en"")"),"When you have a chance to score in a crucial situation, what do you do?")</f>
        <v>When you have a chance to score in a crucial situation, what do you do?</v>
      </c>
      <c r="N193" s="16" t="str">
        <f>IFERROR(__xludf.DUMMYFUNCTION("GOOGLETRANSLATE(C193, ""th"", ""en"")"),"A) Score with confidence; B) Feel pressured and unable to score; C) Avoid scoring; D) Ask a teammate to score instead.")</f>
        <v>A) Score with confidence; B) Feel pressured and unable to score; C) Avoid scoring; D) Ask a teammate to score instead.</v>
      </c>
      <c r="O193" s="16" t="str">
        <f>IFERROR(__xludf.DUMMYFUNCTION("GOOGLETRANSLATE(D193, ""th"", ""en"")"),"A) Score with confidence.")</f>
        <v>A) Score with confidence.</v>
      </c>
    </row>
    <row r="194" ht="14.25" customHeight="1">
      <c r="A194" s="13">
        <v>193.0</v>
      </c>
      <c r="B194" s="15" t="s">
        <v>3706</v>
      </c>
      <c r="C194" s="15" t="s">
        <v>3707</v>
      </c>
      <c r="D194" s="15" t="s">
        <v>3708</v>
      </c>
      <c r="E194" s="15" t="s">
        <v>3655</v>
      </c>
      <c r="M194" s="16" t="str">
        <f>IFERROR(__xludf.DUMMYFUNCTION("GOOGLETRANSLATE(B194, ""th"", ""en"")"),"Your team is making constant mistakes. What should you do?")</f>
        <v>Your team is making constant mistakes. What should you do?</v>
      </c>
      <c r="N194" s="16" t="str">
        <f>IFERROR(__xludf.DUMMYFUNCTION("GOOGLETRANSLATE(C194, ""th"", ""en"")"),"A) Help the team regain focus and concentration; B) Let the team do what they want; C) Avoid talking about it; D) Complain about mistakes.")</f>
        <v>A) Help the team regain focus and concentration; B) Let the team do what they want; C) Avoid talking about it; D) Complain about mistakes.</v>
      </c>
      <c r="O194" s="16" t="str">
        <f>IFERROR(__xludf.DUMMYFUNCTION("GOOGLETRANSLATE(D194, ""th"", ""en"")"),"A) Help the team regain focus and concentration.")</f>
        <v>A) Help the team regain focus and concentration.</v>
      </c>
    </row>
    <row r="195" ht="14.25" customHeight="1">
      <c r="A195" s="13">
        <v>194.0</v>
      </c>
      <c r="B195" s="15" t="s">
        <v>3709</v>
      </c>
      <c r="C195" s="15" t="s">
        <v>3710</v>
      </c>
      <c r="D195" s="15" t="s">
        <v>3711</v>
      </c>
      <c r="E195" s="15" t="s">
        <v>3712</v>
      </c>
      <c r="M195" s="16" t="str">
        <f>IFERROR(__xludf.DUMMYFUNCTION("GOOGLETRANSLATE(B195, ""th"", ""en"")"),"In times when you feel pressured, what do you do?")</f>
        <v>In times when you feel pressured, what do you do?</v>
      </c>
      <c r="N195" s="16" t="str">
        <f>IFERROR(__xludf.DUMMYFUNCTION("GOOGLETRANSLATE(C195, ""th"", ""en"")"),"A) Control your emotions and play according to plan; B) Feel stressed and unable to play; C) Avoid playing; D) Blame yourself.")</f>
        <v>A) Control your emotions and play according to plan; B) Feel stressed and unable to play; C) Avoid playing; D) Blame yourself.</v>
      </c>
      <c r="O195" s="16" t="str">
        <f>IFERROR(__xludf.DUMMYFUNCTION("GOOGLETRANSLATE(D195, ""th"", ""en"")"),"A) Control your emotions and play according to plan.")</f>
        <v>A) Control your emotions and play according to plan.</v>
      </c>
    </row>
    <row r="196" ht="14.25" customHeight="1">
      <c r="A196" s="13">
        <v>195.0</v>
      </c>
      <c r="B196" s="15" t="s">
        <v>3713</v>
      </c>
      <c r="C196" s="15" t="s">
        <v>3714</v>
      </c>
      <c r="D196" s="15" t="s">
        <v>3658</v>
      </c>
      <c r="E196" s="15" t="s">
        <v>3715</v>
      </c>
      <c r="M196" s="16" t="str">
        <f>IFERROR(__xludf.DUMMYFUNCTION("GOOGLETRANSLATE(B196, ""th"", ""en"")"),"When your opponent launches a heavy attack, what do you do?")</f>
        <v>When your opponent launches a heavy attack, what do you do?</v>
      </c>
      <c r="N196" s="16" t="str">
        <f>IFERROR(__xludf.DUMMYFUNCTION("GOOGLETRANSLATE(C196, ""th"", ""en"")"),"A) Adjust your posture and prepare to receive the ball; B) Avoid receiving the ball; C) Ask someone else to receive the ball; D) Quickly respond.")</f>
        <v>A) Adjust your posture and prepare to receive the ball; B) Avoid receiving the ball; C) Ask someone else to receive the ball; D) Quickly respond.</v>
      </c>
      <c r="O196" s="16" t="str">
        <f>IFERROR(__xludf.DUMMYFUNCTION("GOOGLETRANSLATE(D196, ""th"", ""en"")"),"A) Adjust your posture and prepare to receive the ball.")</f>
        <v>A) Adjust your posture and prepare to receive the ball.</v>
      </c>
    </row>
    <row r="197" ht="14.25" customHeight="1">
      <c r="A197" s="13">
        <v>196.0</v>
      </c>
      <c r="B197" s="15" t="s">
        <v>3609</v>
      </c>
      <c r="C197" s="15" t="s">
        <v>3610</v>
      </c>
      <c r="D197" s="15" t="s">
        <v>3611</v>
      </c>
      <c r="E197" s="15" t="s">
        <v>3597</v>
      </c>
      <c r="M197" s="16" t="str">
        <f>IFERROR(__xludf.DUMMYFUNCTION("GOOGLETRANSLATE(B197, ""th"", ""en"")"),"The game is about to end and the score is still tied. What do you do?")</f>
        <v>The game is about to end and the score is still tied. What do you do?</v>
      </c>
      <c r="N197" s="16" t="str">
        <f>IFERROR(__xludf.DUMMYFUNCTION("GOOGLETRANSLATE(C197, ""th"", ""en"")"),"A) Serve with confidence and determination; B) Avoid taking risks; C) Wait for your opponent to make a mistake; D) Surrender.")</f>
        <v>A) Serve with confidence and determination; B) Avoid taking risks; C) Wait for your opponent to make a mistake; D) Surrender.</v>
      </c>
      <c r="O197" s="16" t="str">
        <f>IFERROR(__xludf.DUMMYFUNCTION("GOOGLETRANSLATE(D197, ""th"", ""en"")"),"A) Serve with confidence and determination.")</f>
        <v>A) Serve with confidence and determination.</v>
      </c>
    </row>
    <row r="198" ht="14.25" customHeight="1">
      <c r="A198" s="13">
        <v>197.0</v>
      </c>
      <c r="B198" s="15" t="s">
        <v>3716</v>
      </c>
      <c r="C198" s="15" t="s">
        <v>3717</v>
      </c>
      <c r="D198" s="15" t="s">
        <v>3580</v>
      </c>
      <c r="E198" s="15" t="s">
        <v>3671</v>
      </c>
      <c r="M198" s="16" t="str">
        <f>IFERROR(__xludf.DUMMYFUNCTION("GOOGLETRANSLATE(B198, ""th"", ""en"")"),"Your teammates are starting to get discouraged, what do you do?")</f>
        <v>Your teammates are starting to get discouraged, what do you do?</v>
      </c>
      <c r="N198" s="16" t="str">
        <f>IFERROR(__xludf.DUMMYFUNCTION("GOOGLETRANSLATE(C198, ""th"", ""en"")"),"A) Encourage him and help him regain focus; B) Let him do what he wants; C) Complain about the situation; D) Wait for him to make a mistake.")</f>
        <v>A) Encourage him and help him regain focus; B) Let him do what he wants; C) Complain about the situation; D) Wait for him to make a mistake.</v>
      </c>
      <c r="O198" s="16" t="str">
        <f>IFERROR(__xludf.DUMMYFUNCTION("GOOGLETRANSLATE(D198, ""th"", ""en"")"),"A) Encourage him and help him regain focus.")</f>
        <v>A) Encourage him and help him regain focus.</v>
      </c>
    </row>
    <row r="199" ht="14.25" customHeight="1">
      <c r="A199" s="13">
        <v>198.0</v>
      </c>
      <c r="B199" s="15" t="s">
        <v>3718</v>
      </c>
      <c r="C199" s="15" t="s">
        <v>3719</v>
      </c>
      <c r="D199" s="15" t="s">
        <v>3720</v>
      </c>
      <c r="E199" s="15" t="s">
        <v>3721</v>
      </c>
      <c r="M199" s="16" t="str">
        <f>IFERROR(__xludf.DUMMYFUNCTION("GOOGLETRANSLATE(B199, ""th"", ""en"")"),"You have a crucial late-game attack, what do you do?")</f>
        <v>You have a crucial late-game attack, what do you do?</v>
      </c>
      <c r="N199" s="16" t="str">
        <f>IFERROR(__xludf.DUMMYFUNCTION("GOOGLETRANSLATE(C199, ""th"", ""en"")"),"A) Attack confidently and cautiously; B) Avoid attacking; C) Make a hasty attack without thinking; D) Ask someone else to attack instead.")</f>
        <v>A) Attack confidently and cautiously; B) Avoid attacking; C) Make a hasty attack without thinking; D) Ask someone else to attack instead.</v>
      </c>
      <c r="O199" s="16" t="str">
        <f>IFERROR(__xludf.DUMMYFUNCTION("GOOGLETRANSLATE(D199, ""th"", ""en"")"),"A) Attack confidently and cautiously.")</f>
        <v>A) Attack confidently and cautiously.</v>
      </c>
    </row>
    <row r="200" ht="14.25" customHeight="1">
      <c r="A200" s="13">
        <v>199.0</v>
      </c>
      <c r="B200" s="15" t="s">
        <v>3722</v>
      </c>
      <c r="C200" s="15" t="s">
        <v>3723</v>
      </c>
      <c r="D200" s="15" t="s">
        <v>3724</v>
      </c>
      <c r="E200" s="15" t="s">
        <v>3725</v>
      </c>
      <c r="M200" s="16" t="str">
        <f>IFERROR(__xludf.DUMMYFUNCTION("GOOGLETRANSLATE(B200, ""th"", ""en"")"),"When you feel tired and the game is still intense, what do you do?")</f>
        <v>When you feel tired and the game is still intense, what do you do?</v>
      </c>
      <c r="N200" s="16" t="str">
        <f>IFERROR(__xludf.DUMMYFUNCTION("GOOGLETRANSLATE(C200, ""th"", ""en"")"),"A) Ask teammates for help and recovery; B) Continue playing regardless of fatigue; C) Avoid playing; D) Complain about fatigue.")</f>
        <v>A) Ask teammates for help and recovery; B) Continue playing regardless of fatigue; C) Avoid playing; D) Complain about fatigue.</v>
      </c>
      <c r="O200" s="16" t="str">
        <f>IFERROR(__xludf.DUMMYFUNCTION("GOOGLETRANSLATE(D200, ""th"", ""en"")"),"A) Ask your teammates to help and heal you.")</f>
        <v>A) Ask your teammates to help and heal you.</v>
      </c>
    </row>
    <row r="201" ht="14.25" customHeight="1">
      <c r="A201" s="13">
        <v>200.0</v>
      </c>
      <c r="B201" s="15" t="s">
        <v>3726</v>
      </c>
      <c r="C201" s="15" t="s">
        <v>3727</v>
      </c>
      <c r="D201" s="15" t="s">
        <v>3728</v>
      </c>
      <c r="E201" s="15" t="s">
        <v>3729</v>
      </c>
      <c r="M201" s="16" t="str">
        <f>IFERROR(__xludf.DUMMYFUNCTION("GOOGLETRANSLATE(B201, ""th"", ""en"")"),"When your team is about to score a crucial goal, what do you do?")</f>
        <v>When your team is about to score a crucial goal, what do you do?</v>
      </c>
      <c r="N201" s="16" t="str">
        <f>IFERROR(__xludf.DUMMYFUNCTION("GOOGLETRANSLATE(C201, ""th"", ""en"")"),"A) Be prepared and focused on every move; B) Rush to score without thinking; C) Avoid playing; D) Wait for the team to score.")</f>
        <v>A) Be prepared and focused on every move; B) Rush to score without thinking; C) Avoid playing; D) Wait for the team to score.</v>
      </c>
      <c r="O201" s="16" t="str">
        <f>IFERROR(__xludf.DUMMYFUNCTION("GOOGLETRANSLATE(D201, ""th"", ""en"")"),"A) Be prepared and committed to every move.")</f>
        <v>A) Be prepared and committed to every move.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4.29"/>
    <col customWidth="1" min="2" max="3" width="80.86"/>
    <col customWidth="1" min="4" max="4" width="47.43"/>
    <col customWidth="1" min="5" max="5" width="65.29"/>
    <col customWidth="1" min="6" max="6" width="8.71"/>
    <col customWidth="1" min="7" max="7" width="14.43"/>
    <col customWidth="1" min="8" max="8" width="28.29"/>
    <col customWidth="1" min="9" max="9" width="39.29"/>
    <col customWidth="1" min="10" max="10" width="21.71"/>
    <col customWidth="1" min="11" max="11" width="39.71"/>
    <col customWidth="1" min="12" max="12" width="8.71"/>
    <col customWidth="1" min="13" max="13" width="13.71"/>
    <col customWidth="1" min="14" max="17" width="43.0"/>
    <col customWidth="1" min="18" max="27" width="8.71"/>
  </cols>
  <sheetData>
    <row r="1" ht="14.25" customHeight="1">
      <c r="A1" s="1" t="s">
        <v>0</v>
      </c>
      <c r="B1" s="1" t="s">
        <v>1180</v>
      </c>
      <c r="C1" s="1" t="s">
        <v>1181</v>
      </c>
      <c r="D1" s="1" t="s">
        <v>701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4.25" customHeight="1">
      <c r="A2" s="4">
        <v>1.0</v>
      </c>
      <c r="B2" s="5" t="str">
        <f>IFERROR(__xludf.DUMMYFUNCTION("GOOGLETRANSLATE(H2, ""th"", ""en"")"),"You notice that your Muay Thai teammates look tired. What do you do?")</f>
        <v>You notice that your Muay Thai teammates look tired. What do you do?</v>
      </c>
      <c r="C2" s="5" t="str">
        <f>IFERROR(__xludf.DUMMYFUNCTION("GOOGLETRANSLATE(I2, ""th"", ""en"")"),"A) Take the lead and motivate the team; B) Slow down; C) Maintain a rhythm and observe; D) Consult the coach.")</f>
        <v>A) Take the lead and motivate the team; B) Slow down; C) Maintain a rhythm and observe; D) Consult the coach.</v>
      </c>
      <c r="D2" s="5" t="str">
        <f>IFERROR(__xludf.DUMMYFUNCTION("GOOGLETRANSLATE(J2, ""th"", ""en"")"),"A) Take on leadership roles and motivate the team.")</f>
        <v>A) Take on leadership roles and motivate the team.</v>
      </c>
      <c r="E2" s="5" t="str">
        <f>IFERROR(__xludf.DUMMYFUNCTION(" GOOGLETRANSLATE(K2, ""th"", ""en"")"),"Leading the team at this pace helps improve team coordination.")</f>
        <v>Leading the team at this pace helps improve team coordination.</v>
      </c>
      <c r="G2" s="6">
        <v>1.0</v>
      </c>
      <c r="H2" s="7" t="s">
        <v>3730</v>
      </c>
      <c r="I2" s="7" t="s">
        <v>11</v>
      </c>
      <c r="J2" s="7" t="s">
        <v>12</v>
      </c>
      <c r="K2" s="7" t="s">
        <v>13</v>
      </c>
    </row>
    <row r="3" ht="14.25" customHeight="1">
      <c r="A3" s="4">
        <v>2.0</v>
      </c>
      <c r="B3" s="5" t="str">
        <f>IFERROR(__xludf.DUMMYFUNCTION("GOOGLETRANSLATE(H3, ""th"", ""en"")"),"The coach asks you to lead the team in singing a cheer song. What do you do?")</f>
        <v>The coach asks you to lead the team in singing a cheer song. What do you do?</v>
      </c>
      <c r="C3" s="5" t="str">
        <f>IFERROR(__xludf.DUMMYFUNCTION("GOOGLETRANSLATE(I3, ""th"", ""en"")"),"A) Refuse; B) Choose easy songs; C) Sing without energy; D) Write a new, complex song.")</f>
        <v>A) Refuse; B) Choose easy songs; C) Sing without energy; D) Write a new, complex song.</v>
      </c>
      <c r="D3" s="5" t="str">
        <f>IFERROR(__xludf.DUMMYFUNCTION("GOOGLETRANSLATE(J3, ""th"", ""en"")"),"B) Choose an easy song.")</f>
        <v>B) Choose an easy song.</v>
      </c>
      <c r="E3" s="5" t="str">
        <f>IFERROR(__xludf.DUMMYFUNCTION(" GOOGLETRANSLATE(K3, ""th"", ""en"")"),"Choosing easy songs helps build confidence and connect with the team.")</f>
        <v>Choosing easy songs helps build confidence and connect with the team.</v>
      </c>
      <c r="G3" s="6">
        <v>2.0</v>
      </c>
      <c r="H3" s="7" t="s">
        <v>3017</v>
      </c>
      <c r="I3" s="7" t="s">
        <v>15</v>
      </c>
      <c r="J3" s="7" t="s">
        <v>16</v>
      </c>
      <c r="K3" s="7" t="s">
        <v>17</v>
      </c>
    </row>
    <row r="4" ht="14.25" customHeight="1">
      <c r="A4" s="4">
        <v>3.0</v>
      </c>
      <c r="B4" s="5" t="str">
        <f>IFERROR(__xludf.DUMMYFUNCTION("GOOGLETRANSLATE(H4, ""th"", ""en"")"),"While practicing Muay Thai, you notice that the circles are not the same size. What do you do?")</f>
        <v>While practicing Muay Thai, you notice that the circles are not the same size. What do you do?</v>
      </c>
      <c r="C4" s="5" t="str">
        <f>IFERROR(__xludf.DUMMYFUNCTION("GOOGLETRANSLATE(I4, ""th"", ""en"")"),"A) Adjust your position immediately; B) Ignore and continue training; C) Notify the trainer; D) Walk out of the circle.")</f>
        <v>A) Adjust your position immediately; B) Ignore and continue training; C) Notify the trainer; D) Walk out of the circle.</v>
      </c>
      <c r="D4" s="5" t="str">
        <f>IFERROR(__xludf.DUMMYFUNCTION("GOOGLETRANSLATE(J4, ""th"", ""en"")"),"A) Adjust your position immediately.")</f>
        <v>A) Adjust your position immediately.</v>
      </c>
      <c r="E4" s="5" t="str">
        <f>IFERROR(__xludf.DUMMYFUNCTION(" GOOGLETRANSLATE(K4, ""th"", ""en"")"),"Maintaining a balanced circle is essential to the smoothness of the practice.")</f>
        <v>Maintaining a balanced circle is essential to the smoothness of the practice.</v>
      </c>
      <c r="G4" s="6">
        <v>3.0</v>
      </c>
      <c r="H4" s="7" t="s">
        <v>3731</v>
      </c>
      <c r="I4" s="7" t="s">
        <v>3732</v>
      </c>
      <c r="J4" s="7" t="s">
        <v>20</v>
      </c>
      <c r="K4" s="7" t="s">
        <v>3733</v>
      </c>
    </row>
    <row r="5" ht="14.25" customHeight="1">
      <c r="A5" s="4">
        <v>4.0</v>
      </c>
      <c r="B5" s="5" t="str">
        <f>IFERROR(__xludf.DUMMYFUNCTION("GOOGLETRANSLATE(H5, ""th"", ""en"")"),"A teammate makes a mistake during practice. What do you do?")</f>
        <v>A teammate makes a mistake during practice. What do you do?</v>
      </c>
      <c r="C5" s="5" t="str">
        <f>IFERROR(__xludf.DUMMYFUNCTION("GOOGLETRANSLATE(I5, ""th"", ""en"")"),"A) Help him quietly; B) Reprimand him loudly; C) Continue training as usual; D) Stop training.")</f>
        <v>A) Help him quietly; B) Reprimand him loudly; C) Continue training as usual; D) Stop training.</v>
      </c>
      <c r="D5" s="5" t="str">
        <f>IFERROR(__xludf.DUMMYFUNCTION("GOOGLETRANSLATE(J5, ""th"", ""en"")"),"A) Help him quietly.")</f>
        <v>A) Help him quietly.</v>
      </c>
      <c r="E5" s="5" t="str">
        <f>IFERROR(__xludf.DUMMYFUNCTION(" GOOGLETRANSLATE(K5, ""th"", ""en"")"),"Silent contributions help build team unity.")</f>
        <v>Silent contributions help build team unity.</v>
      </c>
      <c r="G5" s="6">
        <v>4.0</v>
      </c>
      <c r="H5" s="7" t="s">
        <v>3734</v>
      </c>
      <c r="I5" s="7" t="s">
        <v>3735</v>
      </c>
      <c r="J5" s="7" t="s">
        <v>24</v>
      </c>
      <c r="K5" s="7" t="s">
        <v>25</v>
      </c>
    </row>
    <row r="6" ht="14.25" customHeight="1">
      <c r="A6" s="4">
        <v>5.0</v>
      </c>
      <c r="B6" s="5" t="str">
        <f>IFERROR(__xludf.DUMMYFUNCTION("GOOGLETRANSLATE(H6, ""th"", ""en"")"),"You get injured during training, what do you do?")</f>
        <v>You get injured during training, what do you do?</v>
      </c>
      <c r="C6" s="5" t="str">
        <f>IFERROR(__xludf.DUMMYFUNCTION("GOOGLETRANSLATE(I6, ""th"", ""en"")"),"A) Rest and inform the coach; B) Continue training; C) Ask a teammate for help; D) Leave the field.")</f>
        <v>A) Rest and inform the coach; B) Continue training; C) Ask a teammate for help; D) Leave the field.</v>
      </c>
      <c r="D6" s="5" t="str">
        <f>IFERROR(__xludf.DUMMYFUNCTION("GOOGLETRANSLATE(J6, ""th"", ""en"")"),"A) Rest and inform the trainer.")</f>
        <v>A) Rest and inform the trainer.</v>
      </c>
      <c r="E6" s="5" t="str">
        <f>IFERROR(__xludf.DUMMYFUNCTION(" GOOGLETRANSLATE(K6, ""th"", ""en"")"),"Paying attention to injuries can help prevent serious injuries.")</f>
        <v>Paying attention to injuries can help prevent serious injuries.</v>
      </c>
      <c r="G6" s="6">
        <v>5.0</v>
      </c>
      <c r="H6" s="7" t="s">
        <v>3736</v>
      </c>
      <c r="I6" s="7" t="s">
        <v>3737</v>
      </c>
      <c r="J6" s="7" t="s">
        <v>3738</v>
      </c>
      <c r="K6" s="7" t="s">
        <v>3739</v>
      </c>
    </row>
    <row r="7" ht="14.25" customHeight="1">
      <c r="A7" s="4">
        <v>6.0</v>
      </c>
      <c r="B7" s="5" t="str">
        <f>IFERROR(__xludf.DUMMYFUNCTION("GOOGLETRANSLATE(H7, ""th"", ""en"")"),"During Muay Thai training, you feel like you are getting too tired. What should you do?")</f>
        <v>During Muay Thai training, you feel like you are getting too tired. What should you do?</v>
      </c>
      <c r="C7" s="5" t="str">
        <f>IFERROR(__xludf.DUMMYFUNCTION("GOOGLETRANSLATE(I7, ""th"", ""en"")"),"A) Reduce your training speed; B) Rest and drink water; C) Quit training; D) Maintain your speed and continue.")</f>
        <v>A) Reduce your training speed; B) Rest and drink water; C) Quit training; D) Maintain your speed and continue.</v>
      </c>
      <c r="D7" s="5" t="str">
        <f>IFERROR(__xludf.DUMMYFUNCTION("GOOGLETRANSLATE(J7, ""th"", ""en"")"),"B) Rest and drink water.")</f>
        <v>B) Rest and drink water.</v>
      </c>
      <c r="E7" s="5" t="str">
        <f>IFERROR(__xludf.DUMMYFUNCTION(" GOOGLETRANSLATE(K7, ""th"", ""en"")"),"Resting and drinking water helps the body recover.")</f>
        <v>Resting and drinking water helps the body recover.</v>
      </c>
      <c r="G7" s="6">
        <v>6.0</v>
      </c>
      <c r="H7" s="7" t="s">
        <v>3740</v>
      </c>
      <c r="I7" s="7" t="s">
        <v>3741</v>
      </c>
      <c r="J7" s="7" t="s">
        <v>3742</v>
      </c>
      <c r="K7" s="7" t="s">
        <v>3743</v>
      </c>
    </row>
    <row r="8" ht="14.25" customHeight="1">
      <c r="A8" s="4">
        <v>7.0</v>
      </c>
      <c r="B8" s="5" t="str">
        <f>IFERROR(__xludf.DUMMYFUNCTION("GOOGLETRANSLATE(H8, ""th"", ""en"")"),"You face a highly skilled opponent, what will you do?")</f>
        <v>You face a highly skilled opponent, what will you do?</v>
      </c>
      <c r="C8" s="5" t="str">
        <f>IFERROR(__xludf.DUMMYFUNCTION("GOOGLETRANSLATE(I8, ""th"", ""en"")"),"A) Maintain the situation and do not panic; B) Request to withdraw from the competition; C) Adjust fighting technique; D) Use all your strength to attack.")</f>
        <v>A) Maintain the situation and do not panic; B) Request to withdraw from the competition; C) Adjust fighting technique; D) Use all your strength to attack.</v>
      </c>
      <c r="D8" s="5" t="str">
        <f>IFERROR(__xludf.DUMMYFUNCTION("GOOGLETRANSLATE(J8, ""th"", ""en"")"),"C) Adjust fighting techniques.")</f>
        <v>C) Adjust fighting techniques.</v>
      </c>
      <c r="E8" s="5" t="str">
        <f>IFERROR(__xludf.DUMMYFUNCTION(" GOOGLETRANSLATE(K8, ""th"", ""en"")"),"Proper adjustment of techniques increases your chances of winning.")</f>
        <v>Proper adjustment of techniques increases your chances of winning.</v>
      </c>
      <c r="G8" s="6">
        <v>7.0</v>
      </c>
      <c r="H8" s="7" t="s">
        <v>3744</v>
      </c>
      <c r="I8" s="7" t="s">
        <v>3745</v>
      </c>
      <c r="J8" s="7" t="s">
        <v>3746</v>
      </c>
      <c r="K8" s="7" t="s">
        <v>3747</v>
      </c>
    </row>
    <row r="9" ht="14.25" customHeight="1">
      <c r="A9" s="4">
        <v>8.0</v>
      </c>
      <c r="B9" s="5" t="str">
        <f>IFERROR(__xludf.DUMMYFUNCTION("GOOGLETRANSLATE(H9, ""th"", ""en"")"),"Your trainer is in a bad mood during training. What should you do?")</f>
        <v>Your trainer is in a bad mood during training. What should you do?</v>
      </c>
      <c r="C9" s="5" t="str">
        <f>IFERROR(__xludf.DUMMYFUNCTION("GOOGLETRANSLATE(I9, ""th"", ""en"")"),"A) Wait for him to calm down; B) Talk to him frankly; C) Continue practicing quietly; D) Ask him for advice.")</f>
        <v>A) Wait for him to calm down; B) Talk to him frankly; C) Continue practicing quietly; D) Ask him for advice.</v>
      </c>
      <c r="D9" s="5" t="str">
        <f>IFERROR(__xludf.DUMMYFUNCTION("GOOGLETRANSLATE(J9, ""th"", ""en"")"),"C) Continue practicing quietly.")</f>
        <v>C) Continue practicing quietly.</v>
      </c>
      <c r="E9" s="5" t="str">
        <f>IFERROR(__xludf.DUMMYFUNCTION(" GOOGLETRANSLATE(K9, ""th"", ""en"")"),"Continuing to practice helps to avoid losing focus.")</f>
        <v>Continuing to practice helps to avoid losing focus.</v>
      </c>
      <c r="G9" s="6">
        <v>8.0</v>
      </c>
      <c r="H9" s="7" t="s">
        <v>3748</v>
      </c>
      <c r="I9" s="7" t="s">
        <v>3749</v>
      </c>
      <c r="J9" s="7" t="s">
        <v>3750</v>
      </c>
      <c r="K9" s="7" t="s">
        <v>3751</v>
      </c>
    </row>
    <row r="10" ht="14.25" customHeight="1">
      <c r="A10" s="4">
        <v>9.0</v>
      </c>
      <c r="B10" s="5" t="str">
        <f>IFERROR(__xludf.DUMMYFUNCTION("GOOGLETRANSLATE(H10, ""th"", ""en"")"),"A teammate makes a mistake during the game. What will you do?")</f>
        <v>A teammate makes a mistake during the game. What will you do?</v>
      </c>
      <c r="C10" s="5" t="str">
        <f>IFERROR(__xludf.DUMMYFUNCTION("GOOGLETRANSLATE(I10, ""th"", ""en"")"),"A) Blame him loudly; B) Help him immediately; C) Ignore him and continue playing; D) Stop the game.")</f>
        <v>A) Blame him loudly; B) Help him immediately; C) Ignore him and continue playing; D) Stop the game.</v>
      </c>
      <c r="D10" s="5" t="str">
        <f>IFERROR(__xludf.DUMMYFUNCTION("GOOGLETRANSLATE(J10, ""th"", ""en"")"),"B) Help him immediately.")</f>
        <v>B) Help him immediately.</v>
      </c>
      <c r="E10" s="5" t="str">
        <f>IFERROR(__xludf.DUMMYFUNCTION(" GOOGLETRANSLATE(K10, ""th"", ""en"")"),"Helping your teammates helps to build team unity.")</f>
        <v>Helping your teammates helps to build team unity.</v>
      </c>
      <c r="G10" s="6">
        <v>9.0</v>
      </c>
      <c r="H10" s="7" t="s">
        <v>3752</v>
      </c>
      <c r="I10" s="7" t="s">
        <v>3753</v>
      </c>
      <c r="J10" s="7" t="s">
        <v>3754</v>
      </c>
      <c r="K10" s="7" t="s">
        <v>3755</v>
      </c>
    </row>
    <row r="11" ht="14.25" customHeight="1">
      <c r="A11" s="4">
        <v>10.0</v>
      </c>
      <c r="B11" s="5" t="str">
        <f>IFERROR(__xludf.DUMMYFUNCTION("GOOGLETRANSLATE(H11, ""th"", ""en"")"),"Your opponent makes an inappropriate gesture during the match. What should you do?")</f>
        <v>Your opponent makes an inappropriate gesture during the match. What should you do?</v>
      </c>
      <c r="C11" s="5" t="str">
        <f>IFERROR(__xludf.DUMMYFUNCTION("GOOGLETRANSLATE(I11, ""th"", ""en"")"),"A) Respond to the gesture; B) Let it be natural; C) Inform the referee; D) Use polite gestures to make him feel guilty.")</f>
        <v>A) Respond to the gesture; B) Let it be natural; C) Inform the referee; D) Use polite gestures to make him feel guilty.</v>
      </c>
      <c r="D11" s="5" t="str">
        <f>IFERROR(__xludf.DUMMYFUNCTION("GOOGLETRANSLATE(J11, ""th"", ""en"")"),"B) Let it be natural.")</f>
        <v>B) Let it be natural.</v>
      </c>
      <c r="E11" s="5" t="str">
        <f>IFERROR(__xludf.DUMMYFUNCTION(" GOOGLETRANSLATE(K11, ""th"", ""en"")"),"Non-retaliation helps maintain peace.")</f>
        <v>Non-retaliation helps maintain peace.</v>
      </c>
      <c r="G11" s="6">
        <v>10.0</v>
      </c>
      <c r="H11" s="7" t="s">
        <v>3756</v>
      </c>
      <c r="I11" s="7" t="s">
        <v>3757</v>
      </c>
      <c r="J11" s="7" t="s">
        <v>3758</v>
      </c>
      <c r="K11" s="7" t="s">
        <v>3759</v>
      </c>
    </row>
    <row r="12" ht="14.25" customHeight="1">
      <c r="A12" s="4">
        <v>11.0</v>
      </c>
      <c r="B12" s="5" t="str">
        <f>IFERROR(__xludf.DUMMYFUNCTION("GOOGLETRANSLATE(H12, ""th"", ""en"")"),"If you practice Muay Thai and feel unsure, what should you do?")</f>
        <v>If you practice Muay Thai and feel unsure, what should you do?</v>
      </c>
      <c r="C12" s="5" t="str">
        <f>IFERROR(__xludf.DUMMYFUNCTION("GOOGLETRANSLATE(I12, ""th"", ""en"")"),"A) Continue training; B) Ask for advice from the trainer; C) Ask to quit training; D) Stop training altogether.")</f>
        <v>A) Continue training; B) Ask for advice from the trainer; C) Ask to quit training; D) Stop training altogether.</v>
      </c>
      <c r="D12" s="5" t="str">
        <f>IFERROR(__xludf.DUMMYFUNCTION("GOOGLETRANSLATE(J12, ""th"", ""en"")"),"B) Ask for advice from the trainer.")</f>
        <v>B) Ask for advice from the trainer.</v>
      </c>
      <c r="E12" s="5" t="str">
        <f>IFERROR(__xludf.DUMMYFUNCTION(" GOOGLETRANSLATE(K12, ""th"", ""en"")"),"Advice from the trainer boosts confidence.")</f>
        <v>Advice from the trainer boosts confidence.</v>
      </c>
      <c r="G12" s="6">
        <v>11.0</v>
      </c>
      <c r="H12" s="7" t="s">
        <v>3760</v>
      </c>
      <c r="I12" s="7" t="s">
        <v>3761</v>
      </c>
      <c r="J12" s="7" t="s">
        <v>3762</v>
      </c>
      <c r="K12" s="7" t="s">
        <v>3763</v>
      </c>
    </row>
    <row r="13" ht="14.25" customHeight="1">
      <c r="A13" s="4">
        <v>12.0</v>
      </c>
      <c r="B13" s="5" t="str">
        <f>IFERROR(__xludf.DUMMYFUNCTION("GOOGLETRANSLATE(H13, ""th"", ""en"")"),"Your opponent uses illegal techniques. What should you do?")</f>
        <v>Your opponent uses illegal techniques. What should you do?</v>
      </c>
      <c r="C13" s="5" t="str">
        <f>IFERROR(__xludf.DUMMYFUNCTION("GOOGLETRANSLATE(I13, ""th"", ""en"")"),"A) Inform the referee; B) Let him do it; C) Confront him immediately; D) Inform a teammate.")</f>
        <v>A) Inform the referee; B) Let him do it; C) Confront him immediately; D) Inform a teammate.</v>
      </c>
      <c r="D13" s="5" t="str">
        <f>IFERROR(__xludf.DUMMYFUNCTION("GOOGLETRANSLATE(J13, ""th"", ""en"")"),"A) Inform the referee.")</f>
        <v>A) Inform the referee.</v>
      </c>
      <c r="E13" s="5" t="str">
        <f>IFERROR(__xludf.DUMMYFUNCTION(" GOOGLETRANSLATE(K13, ""th"", ""en"")"),"Informing the referee helps the match to be in accordance with the rules.")</f>
        <v>Informing the referee helps the match to be in accordance with the rules.</v>
      </c>
      <c r="G13" s="6">
        <v>12.0</v>
      </c>
      <c r="H13" s="7" t="s">
        <v>3764</v>
      </c>
      <c r="I13" s="7" t="s">
        <v>3765</v>
      </c>
      <c r="J13" s="7" t="s">
        <v>3766</v>
      </c>
      <c r="K13" s="7" t="s">
        <v>3767</v>
      </c>
    </row>
    <row r="14" ht="14.25" customHeight="1">
      <c r="A14" s="4">
        <v>13.0</v>
      </c>
      <c r="B14" s="5" t="str">
        <f>IFERROR(__xludf.DUMMYFUNCTION("GOOGLETRANSLATE(H14, ""th"", ""en"")"),"During training, you feel like you are not ready. What should you do?")</f>
        <v>During training, you feel like you are not ready. What should you do?</v>
      </c>
      <c r="C14" s="5" t="str">
        <f>IFERROR(__xludf.DUMMYFUNCTION("GOOGLETRANSLATE(I14, ""th"", ""en"")"),"A) Rest and let your body recover; B) Continue training regardless of fatigue; C) Talk to the trainer; D) Leave the field.")</f>
        <v>A) Rest and let your body recover; B) Continue training regardless of fatigue; C) Talk to the trainer; D) Leave the field.</v>
      </c>
      <c r="D14" s="5" t="str">
        <f>IFERROR(__xludf.DUMMYFUNCTION("GOOGLETRANSLATE(J14, ""th"", ""en"")"),"A) Rest and let your body recover.")</f>
        <v>A) Rest and let your body recover.</v>
      </c>
      <c r="E14" s="5" t="str">
        <f>IFERROR(__xludf.DUMMYFUNCTION(" GOOGLETRANSLATE(K14, ""th"", ""en"")"),"Recovery helps the body regain strength.")</f>
        <v>Recovery helps the body regain strength.</v>
      </c>
      <c r="G14" s="6">
        <v>13.0</v>
      </c>
      <c r="H14" s="7" t="s">
        <v>3768</v>
      </c>
      <c r="I14" s="7" t="s">
        <v>3769</v>
      </c>
      <c r="J14" s="7" t="s">
        <v>3770</v>
      </c>
      <c r="K14" s="7" t="s">
        <v>3771</v>
      </c>
    </row>
    <row r="15" ht="14.25" customHeight="1">
      <c r="A15" s="4">
        <v>14.0</v>
      </c>
      <c r="B15" s="5" t="str">
        <f>IFERROR(__xludf.DUMMYFUNCTION("GOOGLETRANSLATE(H15, ""th"", ""en"")"),"You see your opponent injured during the match, what do you do?")</f>
        <v>You see your opponent injured during the match, what do you do?</v>
      </c>
      <c r="C15" s="5" t="str">
        <f>IFERROR(__xludf.DUMMYFUNCTION("GOOGLETRANSLATE(I15, ""th"", ""en"")"),"A) Help him immediately; B) Inform the referee; C) Continue playing without paying attention; D) Apologize to him.")</f>
        <v>A) Help him immediately; B) Inform the referee; C) Continue playing without paying attention; D) Apologize to him.</v>
      </c>
      <c r="D15" s="5" t="str">
        <f>IFERROR(__xludf.DUMMYFUNCTION("GOOGLETRANSLATE(J15, ""th"", ""en"")"),"B) Inform the referee.")</f>
        <v>B) Inform the referee.</v>
      </c>
      <c r="E15" s="5" t="str">
        <f>IFERROR(__xludf.DUMMYFUNCTION(" GOOGLETRANSLATE(K15, ""th"", ""en"")"),"Informing the referee that the safety of the players is important.")</f>
        <v>Informing the referee that the safety of the players is important.</v>
      </c>
      <c r="G15" s="6">
        <v>14.0</v>
      </c>
      <c r="H15" s="7" t="s">
        <v>3772</v>
      </c>
      <c r="I15" s="7" t="s">
        <v>3773</v>
      </c>
      <c r="J15" s="7" t="s">
        <v>3774</v>
      </c>
      <c r="K15" s="7" t="s">
        <v>3775</v>
      </c>
    </row>
    <row r="16" ht="14.25" customHeight="1">
      <c r="A16" s="4">
        <v>15.0</v>
      </c>
      <c r="B16" s="5" t="str">
        <f>IFERROR(__xludf.DUMMYFUNCTION("GOOGLETRANSLATE(H16, ""th"", ""en"")"),"When training in Muay Thai, you feel that the results of the competition are unfair. What should you do?")</f>
        <v>When training in Muay Thai, you feel that the results of the competition are unfair. What should you do?</v>
      </c>
      <c r="C16" s="5" t="str">
        <f>IFERROR(__xludf.DUMMYFUNCTION("GOOGLETRANSLATE(I16, ""th"", ""en"")"),"A) Dispute the referee; B) Accept the result; C) Seek advice from the coach; D) Avoid the next match.")</f>
        <v>A) Dispute the referee; B) Accept the result; C) Seek advice from the coach; D) Avoid the next match.</v>
      </c>
      <c r="D16" s="5" t="str">
        <f>IFERROR(__xludf.DUMMYFUNCTION("GOOGLETRANSLATE(J16, ""th"", ""en"")"),"B) Accept the results of the competition.")</f>
        <v>B) Accept the results of the competition.</v>
      </c>
      <c r="E16" s="5" t="str">
        <f>IFERROR(__xludf.DUMMYFUNCTION(" GOOGLETRANSLATE(K16, ""th"", ""en"")"),"Accepting the results of the competition helps you learn from the experience.")</f>
        <v>Accepting the results of the competition helps you learn from the experience.</v>
      </c>
      <c r="G16" s="6">
        <v>15.0</v>
      </c>
      <c r="H16" s="7" t="s">
        <v>3776</v>
      </c>
      <c r="I16" s="7" t="s">
        <v>3777</v>
      </c>
      <c r="J16" s="7" t="s">
        <v>3778</v>
      </c>
      <c r="K16" s="7" t="s">
        <v>3779</v>
      </c>
    </row>
    <row r="17" ht="14.25" customHeight="1">
      <c r="A17" s="4">
        <v>16.0</v>
      </c>
      <c r="B17" s="5" t="str">
        <f>IFERROR(__xludf.DUMMYFUNCTION("GOOGLETRANSLATE(H17, ""th"", ""en"")"),"Your opponent seems to have a weak mind. What will you do?")</f>
        <v>Your opponent seems to have a weak mind. What will you do?</v>
      </c>
      <c r="C17" s="5" t="str">
        <f>IFERROR(__xludf.DUMMYFUNCTION("GOOGLETRANSLATE(I17, ""th"", ""en"")"),"A) Use a heavy attack; B) Fight with better technique; C) Reduce the intensity of your attacks; D) Show acceptance of your opponent.")</f>
        <v>A) Use a heavy attack; B) Fight with better technique; C) Reduce the intensity of your attacks; D) Show acceptance of your opponent.</v>
      </c>
      <c r="D17" s="5" t="str">
        <f>IFERROR(__xludf.DUMMYFUNCTION("GOOGLETRANSLATE(J17, ""th"", ""en"")"),"B) Fight with better techniques.")</f>
        <v>B) Fight with better techniques.</v>
      </c>
      <c r="E17" s="5" t="str">
        <f>IFERROR(__xludf.DUMMYFUNCTION(" GOOGLETRANSLATE(K17, ""th"", ""en"")"),"Using techniques can help you gain a competitive advantage.")</f>
        <v>Using techniques can help you gain a competitive advantage.</v>
      </c>
      <c r="G17" s="6">
        <v>16.0</v>
      </c>
      <c r="H17" s="7" t="s">
        <v>3780</v>
      </c>
      <c r="I17" s="7" t="s">
        <v>3781</v>
      </c>
      <c r="J17" s="7" t="s">
        <v>3782</v>
      </c>
      <c r="K17" s="7" t="s">
        <v>3783</v>
      </c>
    </row>
    <row r="18" ht="14.25" customHeight="1">
      <c r="A18" s="4">
        <v>17.0</v>
      </c>
      <c r="B18" s="5" t="str">
        <f>IFERROR(__xludf.DUMMYFUNCTION("GOOGLETRANSLATE(H18, ""th"", ""en"")"),"Your trainer asks you to practice a move that you are not comfortable with. What do you do?")</f>
        <v>Your trainer asks you to practice a move that you are not comfortable with. What do you do?</v>
      </c>
      <c r="C18" s="5" t="str">
        <f>IFERROR(__xludf.DUMMYFUNCTION("GOOGLETRANSLATE(I18, ""th"", ""en"")"),"A) Practice as instructed; B) Tell the trainer that you cannot do it; C) Avoid practicing the exercise; D) Practice only in your own time.")</f>
        <v>A) Practice as instructed; B) Tell the trainer that you cannot do it; C) Avoid practicing the exercise; D) Practice only in your own time.</v>
      </c>
      <c r="D18" s="5" t="str">
        <f>IFERROR(__xludf.DUMMYFUNCTION("GOOGLETRANSLATE(J18, ""th"", ""en"")"),"A) Practice according to the instructions.")</f>
        <v>A) Practice according to the instructions.</v>
      </c>
      <c r="E18" s="5" t="str">
        <f>IFERROR(__xludf.DUMMYFUNCTION(" GOOGLETRANSLATE(K18, ""th"", ""en"")"),"Practicing each pose will help develop overall skills.")</f>
        <v>Practicing each pose will help develop overall skills.</v>
      </c>
      <c r="G18" s="6">
        <v>17.0</v>
      </c>
      <c r="H18" s="7" t="s">
        <v>3784</v>
      </c>
      <c r="I18" s="7" t="s">
        <v>3785</v>
      </c>
      <c r="J18" s="7" t="s">
        <v>3786</v>
      </c>
      <c r="K18" s="7" t="s">
        <v>3787</v>
      </c>
    </row>
    <row r="19" ht="14.25" customHeight="1">
      <c r="A19" s="4">
        <v>18.0</v>
      </c>
      <c r="B19" s="5" t="str">
        <f>IFERROR(__xludf.DUMMYFUNCTION("GOOGLETRANSLATE(H19, ""th"", ""en"")"),"You knock out your opponent during the match, what do you do?")</f>
        <v>You knock out your opponent during the match, what do you do?</v>
      </c>
      <c r="C19" s="5" t="str">
        <f>IFERROR(__xludf.DUMMYFUNCTION("GOOGLETRANSLATE(I19, ""th"", ""en"")"),"A) Celebrate excessively; B) Help him up; C) Wait for him to recover; D) Leave the field.")</f>
        <v>A) Celebrate excessively; B) Help him up; C) Wait for him to recover; D) Leave the field.</v>
      </c>
      <c r="D19" s="5" t="str">
        <f>IFERROR(__xludf.DUMMYFUNCTION("GOOGLETRANSLATE(J19, ""th"", ""en"")"),"B) Help him up.")</f>
        <v>B) Help him up.</v>
      </c>
      <c r="E19" s="5" t="str">
        <f>IFERROR(__xludf.DUMMYFUNCTION(" GOOGLETRANSLATE(K19, ""th"", ""en"")"),"Showing good sportsmanship helps promote fair play.")</f>
        <v>Showing good sportsmanship helps promote fair play.</v>
      </c>
      <c r="G19" s="6">
        <v>18.0</v>
      </c>
      <c r="H19" s="7" t="s">
        <v>3788</v>
      </c>
      <c r="I19" s="7" t="s">
        <v>3789</v>
      </c>
      <c r="J19" s="7" t="s">
        <v>3790</v>
      </c>
      <c r="K19" s="7" t="s">
        <v>3791</v>
      </c>
    </row>
    <row r="20" ht="14.25" customHeight="1">
      <c r="A20" s="4">
        <v>19.0</v>
      </c>
      <c r="B20" s="5" t="str">
        <f>IFERROR(__xludf.DUMMYFUNCTION("GOOGLETRANSLATE(H20, ""th"", ""en"")"),"You feel that your coach is not satisfied with your performance, what should you do?")</f>
        <v>You feel that your coach is not satisfied with your performance, what should you do?</v>
      </c>
      <c r="C20" s="5" t="str">
        <f>IFERROR(__xludf.DUMMYFUNCTION("GOOGLETRANSLATE(I20, ""th"", ""en"")"),"A) Try to train harder; B) Talk to him about improving; C) Stop training altogether; D) Observe what the trainer does.")</f>
        <v>A) Try to train harder; B) Talk to him about improving; C) Stop training altogether; D) Observe what the trainer does.</v>
      </c>
      <c r="D20" s="5" t="str">
        <f>IFERROR(__xludf.DUMMYFUNCTION("GOOGLETRANSLATE(J20, ""th"", ""en"")"),"B) Talk to him about development.")</f>
        <v>B) Talk to him about development.</v>
      </c>
      <c r="E20" s="5" t="str">
        <f>IFERROR(__xludf.DUMMYFUNCTION(" GOOGLETRANSLATE(K20, ""th"", ""en"")"),"Talking to develop is the best way.")</f>
        <v>Talking to develop is the best way.</v>
      </c>
      <c r="G20" s="6">
        <v>19.0</v>
      </c>
      <c r="H20" s="7" t="s">
        <v>3792</v>
      </c>
      <c r="I20" s="7" t="s">
        <v>3793</v>
      </c>
      <c r="J20" s="7" t="s">
        <v>3794</v>
      </c>
      <c r="K20" s="7" t="s">
        <v>3795</v>
      </c>
    </row>
    <row r="21" ht="14.25" customHeight="1">
      <c r="A21" s="4">
        <v>20.0</v>
      </c>
      <c r="B21" s="5" t="str">
        <f>IFERROR(__xludf.DUMMYFUNCTION("GOOGLETRANSLATE(H21, ""th"", ""en"")"),"During training, you feel that the trainer is giving you inappropriate advice. What should you do?")</f>
        <v>During training, you feel that the trainer is giving you inappropriate advice. What should you do?</v>
      </c>
      <c r="C21" s="5" t="str">
        <f>IFERROR(__xludf.DUMMYFUNCTION("GOOGLETRANSLATE(I21, ""th"", ""en"")"),"A) Refuse advice; B) Personalize advice; C) Ignore advice; D) Ask a teammate for advice.")</f>
        <v>A) Refuse advice; B) Personalize advice; C) Ignore advice; D) Ask a teammate for advice.</v>
      </c>
      <c r="D21" s="5" t="str">
        <f>IFERROR(__xludf.DUMMYFUNCTION("GOOGLETRANSLATE(J21, ""th"", ""en"")"),"B) Tailor the advice to yourself.")</f>
        <v>B) Tailor the advice to yourself.</v>
      </c>
      <c r="E21" s="5" t="str">
        <f>IFERROR(__xludf.DUMMYFUNCTION(" GOOGLETRANSLATE(K21, ""th"", ""en"")"),"Adaptability helps you train better.")</f>
        <v>Adaptability helps you train better.</v>
      </c>
      <c r="G21" s="6">
        <v>20.0</v>
      </c>
      <c r="H21" s="7" t="s">
        <v>3796</v>
      </c>
      <c r="I21" s="7" t="s">
        <v>3797</v>
      </c>
      <c r="J21" s="7" t="s">
        <v>3798</v>
      </c>
      <c r="K21" s="7" t="s">
        <v>3799</v>
      </c>
    </row>
    <row r="22" ht="14.25" customHeight="1">
      <c r="A22" s="4">
        <v>21.0</v>
      </c>
      <c r="B22" s="5" t="str">
        <f>IFERROR(__xludf.DUMMYFUNCTION("GOOGLETRANSLATE(H22, ""th"", ""en"")"),"Your teammates are disrupting your practice. What should you do?")</f>
        <v>Your teammates are disrupting your practice. What should you do?</v>
      </c>
      <c r="C22" s="5" t="str">
        <f>IFERROR(__xludf.DUMMYFUNCTION("GOOGLETRANSLATE(I22, ""th"", ""en"")"),"A) Talk to him calmly; B) Tell the trainer; C) Skip the practice; D) Cooperate with him.")</f>
        <v>A) Talk to him calmly; B) Tell the trainer; C) Skip the practice; D) Cooperate with him.</v>
      </c>
      <c r="D22" s="5" t="str">
        <f>IFERROR(__xludf.DUMMYFUNCTION("GOOGLETRANSLATE(J22, ""th"", ""en"")"),"A) Talk to him calmly.")</f>
        <v>A) Talk to him calmly.</v>
      </c>
      <c r="E22" s="5" t="str">
        <f>IFERROR(__xludf.DUMMYFUNCTION(" GOOGLETRANSLATE(K22, ""th"", ""en"")"),"Reasonable discussion helps to solve the problems that arise.")</f>
        <v>Reasonable discussion helps to solve the problems that arise.</v>
      </c>
      <c r="G22" s="6">
        <v>21.0</v>
      </c>
      <c r="H22" s="7" t="s">
        <v>3800</v>
      </c>
      <c r="I22" s="7" t="s">
        <v>3801</v>
      </c>
      <c r="J22" s="7" t="s">
        <v>3802</v>
      </c>
      <c r="K22" s="7" t="s">
        <v>3803</v>
      </c>
    </row>
    <row r="23" ht="14.25" customHeight="1">
      <c r="A23" s="4">
        <v>22.0</v>
      </c>
      <c r="B23" s="5" t="str">
        <f>IFERROR(__xludf.DUMMYFUNCTION("GOOGLETRANSLATE(H23, ""th"", ""en"")"),"Your opponent makes provocative gestures during the match. What should you do?")</f>
        <v>Your opponent makes provocative gestures during the match. What should you do?</v>
      </c>
      <c r="C23" s="5" t="str">
        <f>IFERROR(__xludf.DUMMYFUNCTION("GOOGLETRANSLATE(I23, ""th"", ""en"")"),"A) Respond to the gesture; B) Stay calm and do not respond; C) Inform the referee; D) Ignore it and focus on the match.")</f>
        <v>A) Respond to the gesture; B) Stay calm and do not respond; C) Inform the referee; D) Ignore it and focus on the match.</v>
      </c>
      <c r="D23" s="5" t="str">
        <f>IFERROR(__xludf.DUMMYFUNCTION("GOOGLETRANSLATE(J23, ""th"", ""en"")"),"B) Practice calmness and non-response.")</f>
        <v>B) Practice calmness and non-response.</v>
      </c>
      <c r="E23" s="5" t="str">
        <f>IFERROR(__xludf.DUMMYFUNCTION(" GOOGLETRANSLATE(K23, ""th"", ""en"")"),"Not responding to provocative gestures helps maintain calm.")</f>
        <v>Not responding to provocative gestures helps maintain calm.</v>
      </c>
      <c r="G23" s="6">
        <v>22.0</v>
      </c>
      <c r="H23" s="7" t="s">
        <v>3804</v>
      </c>
      <c r="I23" s="7" t="s">
        <v>3805</v>
      </c>
      <c r="J23" s="7" t="s">
        <v>3806</v>
      </c>
      <c r="K23" s="7" t="s">
        <v>3807</v>
      </c>
    </row>
    <row r="24" ht="14.25" customHeight="1">
      <c r="A24" s="4">
        <v>23.0</v>
      </c>
      <c r="B24" s="5" t="str">
        <f>IFERROR(__xludf.DUMMYFUNCTION("GOOGLETRANSLATE(H24, ""th"", ""en"")"),"Your Muay Thai training isn't good enough, what should you do?")</f>
        <v>Your Muay Thai training isn't good enough, what should you do?</v>
      </c>
      <c r="C24" s="5" t="str">
        <f>IFERROR(__xludf.DUMMYFUNCTION("GOOGLETRANSLATE(I24, ""th"", ""en"")"),"A) Continue training with determination; B) Neglect and give up; C) Seek advice from a trainer; D) Stop training altogether.")</f>
        <v>A) Continue training with determination; B) Neglect and give up; C) Seek advice from a trainer; D) Stop training altogether.</v>
      </c>
      <c r="D24" s="5" t="str">
        <f>IFERROR(__xludf.DUMMYFUNCTION("GOOGLETRANSLATE(J24, ""th"", ""en"")"),"C) Seek advice from a trainer.")</f>
        <v>C) Seek advice from a trainer.</v>
      </c>
      <c r="E24" s="5" t="str">
        <f>IFERROR(__xludf.DUMMYFUNCTION(" GOOGLETRANSLATE(K24, ""th"", ""en"")"),"Advice from the trainer helps with development.")</f>
        <v>Advice from the trainer helps with development.</v>
      </c>
      <c r="G24" s="6">
        <v>23.0</v>
      </c>
      <c r="H24" s="7" t="s">
        <v>3808</v>
      </c>
      <c r="I24" s="7" t="s">
        <v>3809</v>
      </c>
      <c r="J24" s="7" t="s">
        <v>3810</v>
      </c>
      <c r="K24" s="7" t="s">
        <v>3811</v>
      </c>
    </row>
    <row r="25" ht="14.25" customHeight="1">
      <c r="A25" s="4">
        <v>24.0</v>
      </c>
      <c r="B25" s="5" t="str">
        <f>IFERROR(__xludf.DUMMYFUNCTION("GOOGLETRANSLATE(H25, ""th"", ""en"")"),"You are competing in the final round. You feel pressured. What do you do?")</f>
        <v>You are competing in the final round. You feel pressured. What do you do?</v>
      </c>
      <c r="C25" s="5" t="str">
        <f>IFERROR(__xludf.DUMMYFUNCTION("GOOGLETRANSLATE(I25, ""th"", ""en"")"),"A) Control your mind and focus on the competition; B) Decide to do everything to win; C) Stop the competition; D) Try to make yourself feel better.")</f>
        <v>A) Control your mind and focus on the competition; B) Decide to do everything to win; C) Stop the competition; D) Try to make yourself feel better.</v>
      </c>
      <c r="D25" s="5" t="str">
        <f>IFERROR(__xludf.DUMMYFUNCTION("GOOGLETRANSLATE(J25, ""th"", ""en"")"),"A) Control your mind and focus on the competition.")</f>
        <v>A) Control your mind and focus on the competition.</v>
      </c>
      <c r="E25" s="5" t="str">
        <f>IFERROR(__xludf.DUMMYFUNCTION(" GOOGLETRANSLATE(K25, ""th"", ""en"")"),"Mind control allows you to perform at your best.")</f>
        <v>Mind control allows you to perform at your best.</v>
      </c>
      <c r="G25" s="6">
        <v>24.0</v>
      </c>
      <c r="H25" s="7" t="s">
        <v>3812</v>
      </c>
      <c r="I25" s="7" t="s">
        <v>3813</v>
      </c>
      <c r="J25" s="7" t="s">
        <v>3814</v>
      </c>
      <c r="K25" s="7" t="s">
        <v>3815</v>
      </c>
    </row>
    <row r="26" ht="14.25" customHeight="1">
      <c r="A26" s="4">
        <v>25.0</v>
      </c>
      <c r="B26" s="5" t="str">
        <f>IFERROR(__xludf.DUMMYFUNCTION("GOOGLETRANSLATE(H26, ""th"", ""en"")"),"You see your competitors using risky techniques, what do you do?")</f>
        <v>You see your competitors using risky techniques, what do you do?</v>
      </c>
      <c r="C26" s="5" t="str">
        <f>IFERROR(__xludf.DUMMYFUNCTION("GOOGLETRANSLATE(I26, ""th"", ""en"")"),"A) Use better technique to counter; B) Wait for him to make a mistake; C) Inform the referee; D) Continue to observe him.")</f>
        <v>A) Use better technique to counter; B) Wait for him to make a mistake; C) Inform the referee; D) Continue to observe him.</v>
      </c>
      <c r="D26" s="5" t="str">
        <f>IFERROR(__xludf.DUMMYFUNCTION("GOOGLETRANSLATE(J26, ""th"", ""en"")"),"A) Use better techniques to counter.")</f>
        <v>A) Use better techniques to counter.</v>
      </c>
      <c r="E26" s="5" t="str">
        <f>IFERROR(__xludf.DUMMYFUNCTION(" GOOGLETRANSLATE(K26, ""th"", ""en"")"),"Using better techniques will give you an advantage.")</f>
        <v>Using better techniques will give you an advantage.</v>
      </c>
      <c r="G26" s="6">
        <v>25.0</v>
      </c>
      <c r="H26" s="7" t="s">
        <v>3816</v>
      </c>
      <c r="I26" s="7" t="s">
        <v>3817</v>
      </c>
      <c r="J26" s="7" t="s">
        <v>2320</v>
      </c>
      <c r="K26" s="7" t="s">
        <v>3818</v>
      </c>
    </row>
    <row r="27" ht="14.25" customHeight="1">
      <c r="A27" s="4">
        <v>26.0</v>
      </c>
      <c r="B27" s="5" t="str">
        <f>IFERROR(__xludf.DUMMYFUNCTION("GOOGLETRANSLATE(H27, ""th"", ""en"")"),"During training, you feel like you are losing focus, what should you do?")</f>
        <v>During training, you feel like you are losing focus, what should you do?</v>
      </c>
      <c r="C27" s="5" t="str">
        <f>IFERROR(__xludf.DUMMYFUNCTION("GOOGLETRANSLATE(I27, ""th"", ""en"")"),"A) Take a short break to regain focus; B) Continue practicing without thinking; C) Talk to your teammates; D) Stop practicing immediately.")</f>
        <v>A) Take a short break to regain focus; B) Continue practicing without thinking; C) Talk to your teammates; D) Stop practicing immediately.</v>
      </c>
      <c r="D27" s="5" t="str">
        <f>IFERROR(__xludf.DUMMYFUNCTION("GOOGLETRANSLATE(J27, ""th"", ""en"")"),"A) Take a short break to restore your concentration.")</f>
        <v>A) Take a short break to restore your concentration.</v>
      </c>
      <c r="E27" s="5" t="str">
        <f>IFERROR(__xludf.DUMMYFUNCTION(" GOOGLETRANSLATE(K27, ""th"", ""en"")"),"Recovery helps improve concentration during training.")</f>
        <v>Recovery helps improve concentration during training.</v>
      </c>
      <c r="G27" s="6">
        <v>26.0</v>
      </c>
      <c r="H27" s="7" t="s">
        <v>3819</v>
      </c>
      <c r="I27" s="7" t="s">
        <v>3820</v>
      </c>
      <c r="J27" s="7" t="s">
        <v>3821</v>
      </c>
      <c r="K27" s="7" t="s">
        <v>3822</v>
      </c>
    </row>
    <row r="28" ht="14.25" customHeight="1">
      <c r="A28" s="4">
        <v>27.0</v>
      </c>
      <c r="B28" s="5" t="str">
        <f>IFERROR(__xludf.DUMMYFUNCTION("GOOGLETRANSLATE(H28, ""th"", ""en"")"),"If you train Muay Thai with a stronger partner, what would you do?")</f>
        <v>If you train Muay Thai with a stronger partner, what would you do?</v>
      </c>
      <c r="C28" s="5" t="str">
        <f>IFERROR(__xludf.DUMMYFUNCTION("GOOGLETRANSLATE(I28, ""th"", ""en"")"),"A) Adjust your technique accordingly; B) Make him feel that you are not afraid; C) Avoid training with him; D) Train harder.")</f>
        <v>A) Adjust your technique accordingly; B) Make him feel that you are not afraid; C) Avoid training with him; D) Train harder.</v>
      </c>
      <c r="D28" s="5" t="str">
        <f>IFERROR(__xludf.DUMMYFUNCTION("GOOGLETRANSLATE(J28, ""th"", ""en"")"),"A) Adjust the technique as appropriate.")</f>
        <v>A) Adjust the technique as appropriate.</v>
      </c>
      <c r="E28" s="5" t="str">
        <f>IFERROR(__xludf.DUMMYFUNCTION(" GOOGLETRANSLATE(K28, ""th"", ""en"")"),"Adjusting your technique allows you to take on stronger opponents.")</f>
        <v>Adjusting your technique allows you to take on stronger opponents.</v>
      </c>
      <c r="G28" s="6">
        <v>27.0</v>
      </c>
      <c r="H28" s="7" t="s">
        <v>3823</v>
      </c>
      <c r="I28" s="7" t="s">
        <v>3824</v>
      </c>
      <c r="J28" s="7" t="s">
        <v>3825</v>
      </c>
      <c r="K28" s="7" t="s">
        <v>3826</v>
      </c>
    </row>
    <row r="29" ht="14.25" customHeight="1">
      <c r="A29" s="4">
        <v>28.0</v>
      </c>
      <c r="B29" s="5" t="str">
        <f>IFERROR(__xludf.DUMMYFUNCTION("GOOGLETRANSLATE(H29, ""th"", ""en"")"),"During a competition, you feel that your opponent has an advantage. What will you do?")</f>
        <v>During a competition, you feel that your opponent has an advantage. What will you do?</v>
      </c>
      <c r="C29" s="5" t="str">
        <f>IFERROR(__xludf.DUMMYFUNCTION("GOOGLETRANSLATE(I29, ""th"", ""en"")"),"A) Continue fighting confidently; B) Quit the match; C) Tell the referee to stop the match; D) Keep calm and wait for the right moment.")</f>
        <v>A) Continue fighting confidently; B) Quit the match; C) Tell the referee to stop the match; D) Keep calm and wait for the right moment.</v>
      </c>
      <c r="D29" s="5" t="str">
        <f>IFERROR(__xludf.DUMMYFUNCTION("GOOGLETRANSLATE(J29, ""th"", ""en"")"),"D) Keep calm and wait for the right moment.")</f>
        <v>D) Keep calm and wait for the right moment.</v>
      </c>
      <c r="E29" s="5" t="str">
        <f>IFERROR(__xludf.DUMMYFUNCTION(" GOOGLETRANSLATE(K29, ""th"", ""en"")"),"Keeping calm allows you to recover and focus.")</f>
        <v>Keeping calm allows you to recover and focus.</v>
      </c>
      <c r="G29" s="6">
        <v>28.0</v>
      </c>
      <c r="H29" s="7" t="s">
        <v>3827</v>
      </c>
      <c r="I29" s="7" t="s">
        <v>3828</v>
      </c>
      <c r="J29" s="7" t="s">
        <v>3829</v>
      </c>
      <c r="K29" s="7" t="s">
        <v>3830</v>
      </c>
    </row>
    <row r="30" ht="14.25" customHeight="1">
      <c r="A30" s="4">
        <v>29.0</v>
      </c>
      <c r="B30" s="5" t="str">
        <f>IFERROR(__xludf.DUMMYFUNCTION("GOOGLETRANSLATE(H30, ""th"", ""en"")"),"You feel that your coach is dissatisfied with you, what should you do?")</f>
        <v>You feel that your coach is dissatisfied with you, what should you do?</v>
      </c>
      <c r="C30" s="5" t="str">
        <f>IFERROR(__xludf.DUMMYFUNCTION("GOOGLETRANSLATE(I30, ""th"", ""en"")"),"A) Try to train better; B) Ask him about his own improvements; C) Avoid training with him; D) Stop training altogether.")</f>
        <v>A) Try to train better; B) Ask him about his own improvements; C) Avoid training with him; D) Stop training altogether.</v>
      </c>
      <c r="D30" s="5" t="str">
        <f>IFERROR(__xludf.DUMMYFUNCTION("GOOGLETRANSLATE(J30, ""th"", ""en"")"),"B) Ask him about his own improvements.")</f>
        <v>B) Ask him about his own improvements.</v>
      </c>
      <c r="E30" s="5" t="str">
        <f>IFERROR(__xludf.DUMMYFUNCTION(" GOOGLETRANSLATE(K30, ""th"", ""en"")"),"Talking about improvements will help you improve.")</f>
        <v>Talking about improvements will help you improve.</v>
      </c>
      <c r="G30" s="6">
        <v>29.0</v>
      </c>
      <c r="H30" s="7" t="s">
        <v>3831</v>
      </c>
      <c r="I30" s="7" t="s">
        <v>3832</v>
      </c>
      <c r="J30" s="7" t="s">
        <v>3833</v>
      </c>
      <c r="K30" s="7" t="s">
        <v>3834</v>
      </c>
    </row>
    <row r="31" ht="14.25" customHeight="1">
      <c r="A31" s="4">
        <v>30.0</v>
      </c>
      <c r="B31" s="5" t="str">
        <f>IFERROR(__xludf.DUMMYFUNCTION("GOOGLETRANSLATE(H31, ""th"", ""en"")"),"A teammate misbehaves during practice. What should you do?")</f>
        <v>A teammate misbehaves during practice. What should you do?</v>
      </c>
      <c r="C31" s="5" t="str">
        <f>IFERROR(__xludf.DUMMYFUNCTION("GOOGLETRANSLATE(I31, ""th"", ""en"")"),"A) Tell him politely; B) Ignore his actions; C) Report to the trainer; D) Let him continue.")</f>
        <v>A) Tell him politely; B) Ignore his actions; C) Report to the trainer; D) Let him continue.</v>
      </c>
      <c r="D31" s="5" t="str">
        <f>IFERROR(__xludf.DUMMYFUNCTION("GOOGLETRANSLATE(J31, ""th"", ""en"")"),"A) Tell him politely.")</f>
        <v>A) Tell him politely.</v>
      </c>
      <c r="E31" s="5" t="str">
        <f>IFERROR(__xludf.DUMMYFUNCTION(" GOOGLETRANSLATE(K31, ""th"", ""en"")"),"Polite conversations are more effective at solving problems.")</f>
        <v>Polite conversations are more effective at solving problems.</v>
      </c>
      <c r="G31" s="6">
        <v>30.0</v>
      </c>
      <c r="H31" s="7" t="s">
        <v>3835</v>
      </c>
      <c r="I31" s="7" t="s">
        <v>3836</v>
      </c>
      <c r="J31" s="7" t="s">
        <v>3837</v>
      </c>
      <c r="K31" s="7" t="s">
        <v>3838</v>
      </c>
    </row>
    <row r="32" ht="14.25" customHeight="1">
      <c r="A32" s="4">
        <v>31.0</v>
      </c>
      <c r="B32" s="5" t="str">
        <f>IFERROR(__xludf.DUMMYFUNCTION("GOOGLETRANSLATE(H32, ""th"", ""en"")"),"During a Muay Thai match, you feel like your opponent is falling behind. What should you do?")</f>
        <v>During a Muay Thai match, you feel like your opponent is falling behind. What should you do?</v>
      </c>
      <c r="C32" s="5" t="str">
        <f>IFERROR(__xludf.DUMMYFUNCTION("GOOGLETRANSLATE(I32, ""th"", ""en"")"),"A) Use this opportunity to attack hard; B) Maintain distance and watch the rhythm; C) Stop attacking and let him recover; D) Watch his movements.")</f>
        <v>A) Use this opportunity to attack hard; B) Maintain distance and watch the rhythm; C) Stop attacking and let him recover; D) Watch his movements.</v>
      </c>
      <c r="D32" s="5" t="str">
        <f>IFERROR(__xludf.DUMMYFUNCTION("GOOGLETRANSLATE(J32, ""th"", ""en"")"),"B) Keep your distance and observe the rhythm.")</f>
        <v>B) Keep your distance and observe the rhythm.</v>
      </c>
      <c r="E32" s="5" t="str">
        <f>IFERROR(__xludf.DUMMYFUNCTION(" GOOGLETRANSLATE(K32, ""th"", ""en"")"),"Keeping your distance allows you to control the game.")</f>
        <v>Keeping your distance allows you to control the game.</v>
      </c>
      <c r="G32" s="6">
        <v>31.0</v>
      </c>
      <c r="H32" s="7" t="s">
        <v>3839</v>
      </c>
      <c r="I32" s="7" t="s">
        <v>3840</v>
      </c>
      <c r="J32" s="7" t="s">
        <v>3841</v>
      </c>
      <c r="K32" s="7" t="s">
        <v>3842</v>
      </c>
    </row>
    <row r="33" ht="14.25" customHeight="1">
      <c r="A33" s="4">
        <v>32.0</v>
      </c>
      <c r="B33" s="5" t="str">
        <f>IFERROR(__xludf.DUMMYFUNCTION("GOOGLETRANSLATE(H33, ""th"", ""en"")"),"During training, you feel that your training partner is not ready, what should you do?")</f>
        <v>During training, you feel that your training partner is not ready, what should you do?</v>
      </c>
      <c r="C33" s="5" t="str">
        <f>IFERROR(__xludf.DUMMYFUNCTION("GOOGLETRANSLATE(I33, ""th"", ""en"")"),"A) Adjust the training to suit him; B) Tell him to try harder; C) Continue training as usual; D) Change training partners immediately.")</f>
        <v>A) Adjust the training to suit him; B) Tell him to try harder; C) Continue training as usual; D) Change training partners immediately.</v>
      </c>
      <c r="D33" s="5" t="str">
        <f>IFERROR(__xludf.DUMMYFUNCTION("GOOGLETRANSLATE(J33, ""th"", ""en"")"),"A) Adjust the training to suit him.")</f>
        <v>A) Adjust the training to suit him.</v>
      </c>
      <c r="E33" s="5" t="str">
        <f>IFERROR(__xludf.DUMMYFUNCTION(" GOOGLETRANSLATE(K33, ""th"", ""en"")"),"Training adjustments help your training partner develop their skills better.")</f>
        <v>Training adjustments help your training partner develop their skills better.</v>
      </c>
      <c r="G33" s="6">
        <v>32.0</v>
      </c>
      <c r="H33" s="7" t="s">
        <v>3843</v>
      </c>
      <c r="I33" s="7" t="s">
        <v>3844</v>
      </c>
      <c r="J33" s="7" t="s">
        <v>3845</v>
      </c>
      <c r="K33" s="7" t="s">
        <v>3846</v>
      </c>
    </row>
    <row r="34" ht="14.25" customHeight="1">
      <c r="A34" s="4">
        <v>33.0</v>
      </c>
      <c r="B34" s="5" t="str">
        <f>IFERROR(__xludf.DUMMYFUNCTION("GOOGLETRANSLATE(H34, ""th"", ""en"")"),"The trainer tells you to do a pose you're not comfortable with. What should you do?")</f>
        <v>The trainer tells you to do a pose you're not comfortable with. What should you do?</v>
      </c>
      <c r="C34" s="5" t="str">
        <f>IFERROR(__xludf.DUMMYFUNCTION("GOOGLETRANSLATE(I34, ""th"", ""en"")"),"A) Accept and try to practice better; B) Refuse orders; C) Ask to practice other moves that are more comfortable; D) Choose to practice only moves that are comfortable.")</f>
        <v>A) Accept and try to practice better; B) Refuse orders; C) Ask to practice other moves that are more comfortable; D) Choose to practice only moves that are comfortable.</v>
      </c>
      <c r="D34" s="5" t="str">
        <f>IFERROR(__xludf.DUMMYFUNCTION("GOOGLETRANSLATE(J34, ""th"", ""en"")"),"A) Accept it and try to improve.")</f>
        <v>A) Accept it and try to improve.</v>
      </c>
      <c r="E34" s="5" t="str">
        <f>IFERROR(__xludf.DUMMYFUNCTION(" GOOGLETRANSLATE(K34, ""th"", ""en"")"),"Accepting unfamiliar positions helps develop skills in the long run.")</f>
        <v>Accepting unfamiliar positions helps develop skills in the long run.</v>
      </c>
      <c r="G34" s="6">
        <v>33.0</v>
      </c>
      <c r="H34" s="7" t="s">
        <v>3847</v>
      </c>
      <c r="I34" s="7" t="s">
        <v>3848</v>
      </c>
      <c r="J34" s="7" t="s">
        <v>3849</v>
      </c>
      <c r="K34" s="7" t="s">
        <v>3850</v>
      </c>
    </row>
    <row r="35" ht="14.25" customHeight="1">
      <c r="A35" s="4">
        <v>34.0</v>
      </c>
      <c r="B35" s="5" t="str">
        <f>IFERROR(__xludf.DUMMYFUNCTION("GOOGLETRANSLATE(H35, ""th"", ""en"")"),"During the match, you feel that the referee made a wrong decision, what will you do?")</f>
        <v>During the match, you feel that the referee made a wrong decision, what will you do?</v>
      </c>
      <c r="C35" s="5" t="str">
        <f>IFERROR(__xludf.DUMMYFUNCTION("GOOGLETRANSLATE(I35, ""th"", ""en"")"),"A) Immediately inform the referee; B) Accept the decision and continue playing; C) Dispute the decision; D) Inform a teammate.")</f>
        <v>A) Immediately inform the referee; B) Accept the decision and continue playing; C) Dispute the decision; D) Inform a teammate.</v>
      </c>
      <c r="D35" s="5" t="str">
        <f>IFERROR(__xludf.DUMMYFUNCTION("GOOGLETRANSLATE(J35, ""th"", ""en"")"),"B) Accept the decision and continue playing.")</f>
        <v>B) Accept the decision and continue playing.</v>
      </c>
      <c r="E35" s="5" t="str">
        <f>IFERROR(__xludf.DUMMYFUNCTION(" GOOGLETRANSLATE(K35, ""th"", ""en"")"),"Accepting the decision helps maintain composure and focus on the competition.")</f>
        <v>Accepting the decision helps maintain composure and focus on the competition.</v>
      </c>
      <c r="G35" s="6">
        <v>34.0</v>
      </c>
      <c r="H35" s="7" t="s">
        <v>3851</v>
      </c>
      <c r="I35" s="7" t="s">
        <v>3852</v>
      </c>
      <c r="J35" s="7" t="s">
        <v>3853</v>
      </c>
      <c r="K35" s="7" t="s">
        <v>3854</v>
      </c>
    </row>
    <row r="36" ht="14.25" customHeight="1">
      <c r="A36" s="4">
        <v>35.0</v>
      </c>
      <c r="B36" s="5" t="str">
        <f>IFERROR(__xludf.DUMMYFUNCTION("GOOGLETRANSLATE(H36, ""th"", ""en"")"),"You find your opponent using incorrect techniques during a match, what do you do?")</f>
        <v>You find your opponent using incorrect techniques during a match, what do you do?</v>
      </c>
      <c r="C36" s="5" t="str">
        <f>IFERROR(__xludf.DUMMYFUNCTION("GOOGLETRANSLATE(I36, ""th"", ""en"")"),"A) Immediately inform the referee; B) Tell your opponent to stop; C) Use the correct technique in the match; D) Ignore and continue playing.")</f>
        <v>A) Immediately inform the referee; B) Tell your opponent to stop; C) Use the correct technique in the match; D) Ignore and continue playing.</v>
      </c>
      <c r="D36" s="5" t="str">
        <f>IFERROR(__xludf.DUMMYFUNCTION("GOOGLETRANSLATE(J36, ""th"", ""en"")"),"A) Notify the referee immediately.")</f>
        <v>A) Notify the referee immediately.</v>
      </c>
      <c r="E36" s="5" t="str">
        <f>IFERROR(__xludf.DUMMYFUNCTION(" GOOGLETRANSLATE(K36, ""th"", ""en"")"),"Informing the referee helps the match to be in accordance with the rules.")</f>
        <v>Informing the referee helps the match to be in accordance with the rules.</v>
      </c>
      <c r="G36" s="6">
        <v>35.0</v>
      </c>
      <c r="H36" s="7" t="s">
        <v>3855</v>
      </c>
      <c r="I36" s="7" t="s">
        <v>3856</v>
      </c>
      <c r="J36" s="7" t="s">
        <v>3857</v>
      </c>
      <c r="K36" s="7" t="s">
        <v>3767</v>
      </c>
    </row>
    <row r="37" ht="14.25" customHeight="1">
      <c r="A37" s="4">
        <v>36.0</v>
      </c>
      <c r="B37" s="5" t="str">
        <f>IFERROR(__xludf.DUMMYFUNCTION("GOOGLETRANSLATE(H37, ""th"", ""en"")"),"Your trainer seems dissatisfied with your training. What should you do?")</f>
        <v>Your trainer seems dissatisfied with your training. What should you do?</v>
      </c>
      <c r="C37" s="5" t="str">
        <f>IFERROR(__xludf.DUMMYFUNCTION("GOOGLETRANSLATE(I37, ""th"", ""en"")"),"A) Ask for advice from the trainer; B) Refuse advice; C) Stop training; D) Continue training quietly.")</f>
        <v>A) Ask for advice from the trainer; B) Refuse advice; C) Stop training; D) Continue training quietly.</v>
      </c>
      <c r="D37" s="5" t="str">
        <f>IFERROR(__xludf.DUMMYFUNCTION("GOOGLETRANSLATE(J37, ""th"", ""en"")"),"A) Ask for advice from the trainer.")</f>
        <v>A) Ask for advice from the trainer.</v>
      </c>
      <c r="E37" s="5" t="str">
        <f>IFERROR(__xludf.DUMMYFUNCTION(" GOOGLETRANSLATE(K37, ""th"", ""en"")"),"Asking for advice helps you improve yourself.")</f>
        <v>Asking for advice helps you improve yourself.</v>
      </c>
      <c r="G37" s="6">
        <v>36.0</v>
      </c>
      <c r="H37" s="7" t="s">
        <v>3858</v>
      </c>
      <c r="I37" s="7" t="s">
        <v>3859</v>
      </c>
      <c r="J37" s="7" t="s">
        <v>284</v>
      </c>
      <c r="K37" s="7" t="s">
        <v>3860</v>
      </c>
    </row>
    <row r="38" ht="14.25" customHeight="1">
      <c r="A38" s="4">
        <v>37.0</v>
      </c>
      <c r="B38" s="5" t="str">
        <f>IFERROR(__xludf.DUMMYFUNCTION("GOOGLETRANSLATE(H38, ""th"", ""en"")"),"During a match, you see your opponent making provocative gestures. What will you do?")</f>
        <v>During a match, you see your opponent making provocative gestures. What will you do?</v>
      </c>
      <c r="C38" s="5" t="str">
        <f>IFERROR(__xludf.DUMMYFUNCTION("GOOGLETRANSLATE(I38, ""th"", ""en"")"),"A) Respond with gestures; B) Stay focused on the game and ignore it; C) Inform the referee of the action; D) Let him do his thing.")</f>
        <v>A) Respond with gestures; B) Stay focused on the game and ignore it; C) Inform the referee of the action; D) Let him do his thing.</v>
      </c>
      <c r="D38" s="5" t="str">
        <f>IFERROR(__xludf.DUMMYFUNCTION("GOOGLETRANSLATE(J38, ""th"", ""en"")"),"B) Focus on competition and not care.")</f>
        <v>B) Focus on competition and not care.</v>
      </c>
      <c r="E38" s="5" t="str">
        <f>IFERROR(__xludf.DUMMYFUNCTION(" GOOGLETRANSLATE(K38, ""th"", ""en"")"),"Not responding allows you to maintain your composure.")</f>
        <v>Not responding allows you to maintain your composure.</v>
      </c>
      <c r="G38" s="6">
        <v>37.0</v>
      </c>
      <c r="H38" s="7" t="s">
        <v>3861</v>
      </c>
      <c r="I38" s="7" t="s">
        <v>3862</v>
      </c>
      <c r="J38" s="7" t="s">
        <v>3863</v>
      </c>
      <c r="K38" s="7" t="s">
        <v>3864</v>
      </c>
    </row>
    <row r="39" ht="14.25" customHeight="1">
      <c r="A39" s="4">
        <v>38.0</v>
      </c>
      <c r="B39" s="5" t="str">
        <f>IFERROR(__xludf.DUMMYFUNCTION("GOOGLETRANSLATE(H39, ""th"", ""en"")"),"During practice, you feel like you can't do the pose well. What should you do?")</f>
        <v>During practice, you feel like you can't do the pose well. What should you do?</v>
      </c>
      <c r="C39" s="5" t="str">
        <f>IFERROR(__xludf.DUMMYFUNCTION("GOOGLETRANSLATE(I39, ""th"", ""en"")"),"A) Rest and practice again next time; B) Ask your trainer for advice; C) Discontinue the exercise; D) Stop practicing immediately.")</f>
        <v>A) Rest and practice again next time; B) Ask your trainer for advice; C) Discontinue the exercise; D) Stop practicing immediately.</v>
      </c>
      <c r="D39" s="5" t="str">
        <f>IFERROR(__xludf.DUMMYFUNCTION("GOOGLETRANSLATE(J39, ""th"", ""en"")"),"B) Ask for advice from the trainer.")</f>
        <v>B) Ask for advice from the trainer.</v>
      </c>
      <c r="E39" s="5" t="str">
        <f>IFERROR(__xludf.DUMMYFUNCTION(" GOOGLETRANSLATE(K39, ""th"", ""en"")"),"Asking for advice helps you develop your skills.")</f>
        <v>Asking for advice helps you develop your skills.</v>
      </c>
      <c r="G39" s="6">
        <v>38.0</v>
      </c>
      <c r="H39" s="7" t="s">
        <v>3865</v>
      </c>
      <c r="I39" s="7" t="s">
        <v>3866</v>
      </c>
      <c r="J39" s="7" t="s">
        <v>3762</v>
      </c>
      <c r="K39" s="7" t="s">
        <v>3867</v>
      </c>
    </row>
    <row r="40" ht="14.25" customHeight="1">
      <c r="A40" s="4">
        <v>39.0</v>
      </c>
      <c r="B40" s="5" t="str">
        <f>IFERROR(__xludf.DUMMYFUNCTION("GOOGLETRANSLATE(H40, ""th"", ""en"")"),"During a competition, you feel that your opponent has an advantage. What will you do?")</f>
        <v>During a competition, you feel that your opponent has an advantage. What will you do?</v>
      </c>
      <c r="C40" s="5" t="str">
        <f>IFERROR(__xludf.DUMMYFUNCTION("GOOGLETRANSLATE(I40, ""th"", ""en"")"),"A) Increase the intensity of the attack; B) Adjust the battle strategy; C) Wait for the opponent to make a mistake; D) Abandon the match.")</f>
        <v>A) Increase the intensity of the attack; B) Adjust the battle strategy; C) Wait for the opponent to make a mistake; D) Abandon the match.</v>
      </c>
      <c r="D40" s="5" t="str">
        <f>IFERROR(__xludf.DUMMYFUNCTION("GOOGLETRANSLATE(J40, ""th"", ""en"")"),"B) Adjust battle strategies.")</f>
        <v>B) Adjust battle strategies.</v>
      </c>
      <c r="E40" s="5" t="str">
        <f>IFERROR(__xludf.DUMMYFUNCTION(" GOOGLETRANSLATE(K40, ""th"", ""en"")"),"Adjusting your strategy allows you to take control of the situation.")</f>
        <v>Adjusting your strategy allows you to take control of the situation.</v>
      </c>
      <c r="G40" s="6">
        <v>39.0</v>
      </c>
      <c r="H40" s="7" t="s">
        <v>3827</v>
      </c>
      <c r="I40" s="7" t="s">
        <v>3868</v>
      </c>
      <c r="J40" s="7" t="s">
        <v>3869</v>
      </c>
      <c r="K40" s="7" t="s">
        <v>3870</v>
      </c>
    </row>
    <row r="41" ht="14.25" customHeight="1">
      <c r="A41" s="4">
        <v>40.0</v>
      </c>
      <c r="B41" s="5" t="str">
        <f>IFERROR(__xludf.DUMMYFUNCTION("GOOGLETRANSLATE(H41, ""th"", ""en"")"),"You get injured during training, what do you do?")</f>
        <v>You get injured during training, what do you do?</v>
      </c>
      <c r="C41" s="5" t="str">
        <f>IFERROR(__xludf.DUMMYFUNCTION("GOOGLETRANSLATE(I41, ""th"", ""en"")"),"A) Take a break and inform the coach; B) Continue practicing; C) Ask a teammate for help; D) Get up and continue playing.")</f>
        <v>A) Take a break and inform the coach; B) Continue practicing; C) Ask a teammate for help; D) Get up and continue playing.</v>
      </c>
      <c r="D41" s="5" t="str">
        <f>IFERROR(__xludf.DUMMYFUNCTION("GOOGLETRANSLATE(J41, ""th"", ""en"")"),"A) Rest and inform the trainer.")</f>
        <v>A) Rest and inform the trainer.</v>
      </c>
      <c r="E41" s="5" t="str">
        <f>IFERROR(__xludf.DUMMYFUNCTION(" GOOGLETRANSLATE(K41, ""th"", ""en"")"),"Informing your trainer about your injury can help prevent serious injuries.")</f>
        <v>Informing your trainer about your injury can help prevent serious injuries.</v>
      </c>
      <c r="G41" s="6">
        <v>40.0</v>
      </c>
      <c r="H41" s="7" t="s">
        <v>3871</v>
      </c>
      <c r="I41" s="7" t="s">
        <v>3872</v>
      </c>
      <c r="J41" s="7" t="s">
        <v>3738</v>
      </c>
      <c r="K41" s="7" t="s">
        <v>3873</v>
      </c>
    </row>
    <row r="42" ht="14.25" customHeight="1">
      <c r="A42" s="4">
        <v>41.0</v>
      </c>
      <c r="B42" s="5" t="str">
        <f>IFERROR(__xludf.DUMMYFUNCTION("GOOGLETRANSLATE(H42, ""th"", ""en"")"),"During training, you feel discouraged, what should you do?")</f>
        <v>During training, you feel discouraged, what should you do?</v>
      </c>
      <c r="C42" s="5" t="str">
        <f>IFERROR(__xludf.DUMMYFUNCTION("GOOGLETRANSLATE(I42, ""th"", ""en"")"),"A) Take a break and rethink; B) Stop training; C) Ask your trainer for advice; D) Continue training regardless of discouragement.")</f>
        <v>A) Take a break and rethink; B) Stop training; C) Ask your trainer for advice; D) Continue training regardless of discouragement.</v>
      </c>
      <c r="D42" s="5" t="str">
        <f>IFERROR(__xludf.DUMMYFUNCTION("GOOGLETRANSLATE(J42, ""th"", ""en"")"),"C) Ask for advice from the trainer.")</f>
        <v>C) Ask for advice from the trainer.</v>
      </c>
      <c r="E42" s="5" t="str">
        <f>IFERROR(__xludf.DUMMYFUNCTION(" GOOGLETRANSLATE(K42, ""th"", ""en"")"),"Asking for advice helps to boost your motivation to practice.")</f>
        <v>Asking for advice helps to boost your motivation to practice.</v>
      </c>
      <c r="G42" s="6">
        <v>41.0</v>
      </c>
      <c r="H42" s="7" t="s">
        <v>3874</v>
      </c>
      <c r="I42" s="7" t="s">
        <v>3875</v>
      </c>
      <c r="J42" s="7" t="s">
        <v>3876</v>
      </c>
      <c r="K42" s="7" t="s">
        <v>3877</v>
      </c>
    </row>
    <row r="43" ht="14.25" customHeight="1">
      <c r="A43" s="4">
        <v>42.0</v>
      </c>
      <c r="B43" s="5" t="str">
        <f>IFERROR(__xludf.DUMMYFUNCTION("GOOGLETRANSLATE(H43, ""th"", ""en"")"),"You see a teammate making a mistake during a game, what do you do?")</f>
        <v>You see a teammate making a mistake during a game, what do you do?</v>
      </c>
      <c r="C43" s="5" t="str">
        <f>IFERROR(__xludf.DUMMYFUNCTION("GOOGLETRANSLATE(I43, ""th"", ""en"")"),"A) Blame him loudly; B) Help him and encourage him; C) Continue playing without paying attention; D) Stop the game.")</f>
        <v>A) Blame him loudly; B) Help him and encourage him; C) Continue playing without paying attention; D) Stop the game.</v>
      </c>
      <c r="D43" s="5" t="str">
        <f>IFERROR(__xludf.DUMMYFUNCTION("GOOGLETRANSLATE(J43, ""th"", ""en"")"),"B) Help him and give him encouragement.")</f>
        <v>B) Help him and give him encouragement.</v>
      </c>
      <c r="E43" s="5" t="str">
        <f>IFERROR(__xludf.DUMMYFUNCTION(" GOOGLETRANSLATE(K43, ""th"", ""en"")"),"Helping your teammates makes the team stronger.")</f>
        <v>Helping your teammates makes the team stronger.</v>
      </c>
      <c r="G43" s="6">
        <v>42.0</v>
      </c>
      <c r="H43" s="7" t="s">
        <v>3878</v>
      </c>
      <c r="I43" s="7" t="s">
        <v>3879</v>
      </c>
      <c r="J43" s="7" t="s">
        <v>3880</v>
      </c>
      <c r="K43" s="7" t="s">
        <v>3881</v>
      </c>
    </row>
    <row r="44" ht="14.25" customHeight="1">
      <c r="A44" s="4">
        <v>43.0</v>
      </c>
      <c r="B44" s="5" t="str">
        <f>IFERROR(__xludf.DUMMYFUNCTION("GOOGLETRANSLATE(H44, ""th"", ""en"")"),"You feel like your competitors are using strategies you don't understand. What should you do?")</f>
        <v>You feel like your competitors are using strategies you don't understand. What should you do?</v>
      </c>
      <c r="C44" s="5" t="str">
        <f>IFERROR(__xludf.DUMMYFUNCTION("GOOGLETRANSLATE(I44, ""th"", ""en"")"),"A) Observe his movements and adjust your strategy; B) Ask your coach for advice; C) Try to use your own strategy; D) Let your opponent do it.")</f>
        <v>A) Observe his movements and adjust your strategy; B) Ask your coach for advice; C) Try to use your own strategy; D) Let your opponent do it.</v>
      </c>
      <c r="D44" s="5" t="str">
        <f>IFERROR(__xludf.DUMMYFUNCTION("GOOGLETRANSLATE(J44, ""th"", ""en"")"),"A) Observe his movements and adjust your strategy.")</f>
        <v>A) Observe his movements and adjust your strategy.</v>
      </c>
      <c r="E44" s="5" t="str">
        <f>IFERROR(__xludf.DUMMYFUNCTION(" GOOGLETRANSLATE(K44, ""th"", ""en"")"),"Strategic adjustments help you respond better.")</f>
        <v>Strategic adjustments help you respond better.</v>
      </c>
      <c r="G44" s="6">
        <v>43.0</v>
      </c>
      <c r="H44" s="7" t="s">
        <v>3882</v>
      </c>
      <c r="I44" s="7" t="s">
        <v>3883</v>
      </c>
      <c r="J44" s="7" t="s">
        <v>3884</v>
      </c>
      <c r="K44" s="7" t="s">
        <v>3885</v>
      </c>
    </row>
    <row r="45" ht="14.25" customHeight="1">
      <c r="A45" s="4">
        <v>44.0</v>
      </c>
      <c r="B45" s="5" t="str">
        <f>IFERROR(__xludf.DUMMYFUNCTION("GOOGLETRANSLATE(H45, ""th"", ""en"")"),"During the competition, you feel tired and have no energy, what do you do?")</f>
        <v>During the competition, you feel tired and have no energy, what do you do?</v>
      </c>
      <c r="C45" s="5" t="str">
        <f>IFERROR(__xludf.DUMMYFUNCTION("GOOGLETRANSLATE(I45, ""th"", ""en"")"),"A) Reduce the intensity of the fight; B) Take a short break and drink water; C) Stop the fight; D) Maintain a rhythm and continue training.")</f>
        <v>A) Reduce the intensity of the fight; B) Take a short break and drink water; C) Stop the fight; D) Maintain a rhythm and continue training.</v>
      </c>
      <c r="D45" s="5" t="str">
        <f>IFERROR(__xludf.DUMMYFUNCTION("GOOGLETRANSLATE(J45, ""th"", ""en"")"),"B) Take a short break and drink water.")</f>
        <v>B) Take a short break and drink water.</v>
      </c>
      <c r="E45" s="5" t="str">
        <f>IFERROR(__xludf.DUMMYFUNCTION(" GOOGLETRANSLATE(K45, ""th"", ""en"")"),"Short breaks allow the body to recover.")</f>
        <v>Short breaks allow the body to recover.</v>
      </c>
      <c r="G45" s="6">
        <v>44.0</v>
      </c>
      <c r="H45" s="7" t="s">
        <v>3886</v>
      </c>
      <c r="I45" s="7" t="s">
        <v>3887</v>
      </c>
      <c r="J45" s="7" t="s">
        <v>3888</v>
      </c>
      <c r="K45" s="7" t="s">
        <v>3889</v>
      </c>
    </row>
    <row r="46" ht="14.25" customHeight="1">
      <c r="A46" s="4">
        <v>45.0</v>
      </c>
      <c r="B46" s="5" t="str">
        <f>IFERROR(__xludf.DUMMYFUNCTION("GOOGLETRANSLATE(H46, ""th"", ""en"")"),"Your trainer notices that you are doing something wrong. What should you do?")</f>
        <v>Your trainer notices that you are doing something wrong. What should you do?</v>
      </c>
      <c r="C46" s="5" t="str">
        <f>IFERROR(__xludf.DUMMYFUNCTION("GOOGLETRANSLATE(I46, ""th"", ""en"")"),"A) Refuse to accept advice; B) Accept advice and try to improve; C) Avoid training; D) Be suspicious of advice.")</f>
        <v>A) Refuse to accept advice; B) Accept advice and try to improve; C) Avoid training; D) Be suspicious of advice.</v>
      </c>
      <c r="D46" s="5" t="str">
        <f>IFERROR(__xludf.DUMMYFUNCTION("GOOGLETRANSLATE(J46, ""th"", ""en"")"),"B) Take advice and try to improve.")</f>
        <v>B) Take advice and try to improve.</v>
      </c>
      <c r="E46" s="5" t="str">
        <f>IFERROR(__xludf.DUMMYFUNCTION(" GOOGLETRANSLATE(K46, ""th"", ""en"")"),"Taking advice and trying to improve makes you better.")</f>
        <v>Taking advice and trying to improve makes you better.</v>
      </c>
      <c r="G46" s="6">
        <v>45.0</v>
      </c>
      <c r="H46" s="7" t="s">
        <v>3890</v>
      </c>
      <c r="I46" s="7" t="s">
        <v>3891</v>
      </c>
      <c r="J46" s="7" t="s">
        <v>3892</v>
      </c>
      <c r="K46" s="7" t="s">
        <v>3893</v>
      </c>
    </row>
    <row r="47" ht="14.25" customHeight="1">
      <c r="A47" s="4">
        <v>46.0</v>
      </c>
      <c r="B47" s="5" t="str">
        <f>IFERROR(__xludf.DUMMYFUNCTION("GOOGLETRANSLATE(H47, ""th"", ""en"")"),"You feel that your opponents on the field are stronger than you, what will you do?")</f>
        <v>You feel that your opponents on the field are stronger than you, what will you do?</v>
      </c>
      <c r="C47" s="5" t="str">
        <f>IFERROR(__xludf.DUMMYFUNCTION("GOOGLETRANSLATE(I47, ""th"", ""en"")"),"A) Use a better strategy; B) Accept it and play normally; C) Focus on your strengths; D) Stop competing.")</f>
        <v>A) Use a better strategy; B) Accept it and play normally; C) Focus on your strengths; D) Stop competing.</v>
      </c>
      <c r="D47" s="5" t="str">
        <f>IFERROR(__xludf.DUMMYFUNCTION("GOOGLETRANSLATE(J47, ""th"", ""en"")"),"C) Focus on your strengths.")</f>
        <v>C) Focus on your strengths.</v>
      </c>
      <c r="E47" s="5" t="str">
        <f>IFERROR(__xludf.DUMMYFUNCTION(" GOOGLETRANSLATE(K47, ""th"", ""en"")"),"Focusing on your strengths allows you to perform well.")</f>
        <v>Focusing on your strengths allows you to perform well.</v>
      </c>
      <c r="G47" s="6">
        <v>46.0</v>
      </c>
      <c r="H47" s="7" t="s">
        <v>3894</v>
      </c>
      <c r="I47" s="7" t="s">
        <v>3895</v>
      </c>
      <c r="J47" s="7" t="s">
        <v>3896</v>
      </c>
      <c r="K47" s="7" t="s">
        <v>3897</v>
      </c>
    </row>
    <row r="48" ht="14.25" customHeight="1">
      <c r="A48" s="4">
        <v>47.0</v>
      </c>
      <c r="B48" s="5" t="str">
        <f>IFERROR(__xludf.DUMMYFUNCTION("GOOGLETRANSLATE(H48, ""th"", ""en"")"),"You see your trainer is tired and doesn't talk much. What do you do?")</f>
        <v>You see your trainer is tired and doesn't talk much. What do you do?</v>
      </c>
      <c r="C48" s="5" t="str">
        <f>IFERROR(__xludf.DUMMYFUNCTION("GOOGLETRANSLATE(I48, ""th"", ""en"")"),"A) Talk to him about the situation; B) Continue practicing quietly; C) Ask him to rest; D) Stop practicing altogether.")</f>
        <v>A) Talk to him about the situation; B) Continue practicing quietly; C) Ask him to rest; D) Stop practicing altogether.</v>
      </c>
      <c r="D48" s="5" t="str">
        <f>IFERROR(__xludf.DUMMYFUNCTION("GOOGLETRANSLATE(J48, ""th"", ""en"")"),"B) Continue practicing quietly.")</f>
        <v>B) Continue practicing quietly.</v>
      </c>
      <c r="E48" s="5" t="str">
        <f>IFERROR(__xludf.DUMMYFUNCTION(" GOOGLETRANSLATE(K48, ""th"", ""en"")"),"Continuing to practice helps to avoid losing focus.")</f>
        <v>Continuing to practice helps to avoid losing focus.</v>
      </c>
      <c r="G48" s="6">
        <v>47.0</v>
      </c>
      <c r="H48" s="7" t="s">
        <v>3898</v>
      </c>
      <c r="I48" s="7" t="s">
        <v>3899</v>
      </c>
      <c r="J48" s="7" t="s">
        <v>3900</v>
      </c>
      <c r="K48" s="7" t="s">
        <v>3751</v>
      </c>
    </row>
    <row r="49" ht="14.25" customHeight="1">
      <c r="A49" s="4">
        <v>48.0</v>
      </c>
      <c r="B49" s="5" t="str">
        <f>IFERROR(__xludf.DUMMYFUNCTION("GOOGLETRANSLATE(H49, ""th"", ""en"")"),"During a match, you encounter an opponent with excellent defensive skills. What will you do?")</f>
        <v>During a match, you encounter an opponent with excellent defensive skills. What will you do?</v>
      </c>
      <c r="C49" s="5" t="str">
        <f>IFERROR(__xludf.DUMMYFUNCTION("GOOGLETRANSLATE(I49, ""th"", ""en"")"),"A) Use quick attacks; B) Variety your attacks; C) Use good defensive strategies; D) Attack hard.")</f>
        <v>A) Use quick attacks; B) Variety your attacks; C) Use good defensive strategies; D) Attack hard.</v>
      </c>
      <c r="D49" s="5" t="str">
        <f>IFERROR(__xludf.DUMMYFUNCTION("GOOGLETRANSLATE(J49, ""th"", ""en"")"),"B) Diversify your attacks.")</f>
        <v>B) Diversify your attacks.</v>
      </c>
      <c r="E49" s="5" t="str">
        <f>IFERROR(__xludf.DUMMYFUNCTION(" GOOGLETRANSLATE(K49, ""th"", ""en"")"),"Using a variety of attacks helps to avoid unpredictability.")</f>
        <v>Using a variety of attacks helps to avoid unpredictability.</v>
      </c>
      <c r="G49" s="6">
        <v>48.0</v>
      </c>
      <c r="H49" s="7" t="s">
        <v>3901</v>
      </c>
      <c r="I49" s="7" t="s">
        <v>3902</v>
      </c>
      <c r="J49" s="7" t="s">
        <v>3903</v>
      </c>
      <c r="K49" s="7" t="s">
        <v>3904</v>
      </c>
    </row>
    <row r="50" ht="14.25" customHeight="1">
      <c r="A50" s="4">
        <v>49.0</v>
      </c>
      <c r="B50" s="5" t="str">
        <f>IFERROR(__xludf.DUMMYFUNCTION("GOOGLETRANSLATE(H50, ""th"", ""en"")"),"During practice, if you feel like you don't understand the poses you are practicing, what should you do?")</f>
        <v>During practice, if you feel like you don't understand the poses you are practicing, what should you do?</v>
      </c>
      <c r="C50" s="5" t="str">
        <f>IFERROR(__xludf.DUMMYFUNCTION("GOOGLETRANSLATE(I50, ""th"", ""en"")"),"A) Ask the trainer immediately; B) Continue practicing until you understand; C) Discard the practice; D) Practice in your own way.")</f>
        <v>A) Ask the trainer immediately; B) Continue practicing until you understand; C) Discard the practice; D) Practice in your own way.</v>
      </c>
      <c r="D50" s="5" t="str">
        <f>IFERROR(__xludf.DUMMYFUNCTION("GOOGLETRANSLATE(J50, ""th"", ""en"")"),"A) Ask the trainer immediately.")</f>
        <v>A) Ask the trainer immediately.</v>
      </c>
      <c r="E50" s="5" t="str">
        <f>IFERROR(__xludf.DUMMYFUNCTION(" GOOGLETRANSLATE(K50, ""th"", ""en"")"),"Asking your trainer helps you understand the poses faster.")</f>
        <v>Asking your trainer helps you understand the poses faster.</v>
      </c>
      <c r="G50" s="6">
        <v>49.0</v>
      </c>
      <c r="H50" s="7" t="s">
        <v>3905</v>
      </c>
      <c r="I50" s="7" t="s">
        <v>3906</v>
      </c>
      <c r="J50" s="7" t="s">
        <v>3907</v>
      </c>
      <c r="K50" s="7" t="s">
        <v>3908</v>
      </c>
    </row>
    <row r="51" ht="14.25" customHeight="1">
      <c r="A51" s="4">
        <v>50.0</v>
      </c>
      <c r="B51" s="5" t="str">
        <f>IFERROR(__xludf.DUMMYFUNCTION("GOOGLETRANSLATE(H51, ""th"", ""en"")"),"You feel like your training is not progressing. What should you do?")</f>
        <v>You feel like your training is not progressing. What should you do?</v>
      </c>
      <c r="C51" s="5" t="str">
        <f>IFERROR(__xludf.DUMMYFUNCTION("GOOGLETRANSLATE(I51, ""th"", ""en"")"),"A) Take a break and think of new ways; B) Ask your trainer about your own development; C) Stop training; D) Continue training as usual.")</f>
        <v>A) Take a break and think of new ways; B) Ask your trainer about your own development; C) Stop training; D) Continue training as usual.</v>
      </c>
      <c r="D51" s="5" t="str">
        <f>IFERROR(__xludf.DUMMYFUNCTION("GOOGLETRANSLATE(J51, ""th"", ""en"")"),"B) Ask the trainer about your own development.")</f>
        <v>B) Ask the trainer about your own development.</v>
      </c>
      <c r="E51" s="5" t="str">
        <f>IFERROR(__xludf.DUMMYFUNCTION(" GOOGLETRANSLATE(K51, ""th"", ""en"")"),"Asking for advice will help you develop your skills faster.")</f>
        <v>Asking for advice will help you develop your skills faster.</v>
      </c>
      <c r="G51" s="6">
        <v>50.0</v>
      </c>
      <c r="H51" s="7" t="s">
        <v>3909</v>
      </c>
      <c r="I51" s="7" t="s">
        <v>3910</v>
      </c>
      <c r="J51" s="7" t="s">
        <v>3911</v>
      </c>
      <c r="K51" s="7" t="s">
        <v>3912</v>
      </c>
    </row>
    <row r="52" ht="14.25" customHeight="1">
      <c r="A52" s="4">
        <v>51.0</v>
      </c>
      <c r="B52" s="5" t="str">
        <f>IFERROR(__xludf.DUMMYFUNCTION("GOOGLETRANSLATE(H52, ""th"", ""en"")"),"When training in Muay Thai, you feel like you are doing too slowly. What should you do?")</f>
        <v>When training in Muay Thai, you feel like you are doing too slowly. What should you do?</v>
      </c>
      <c r="C52" s="5" t="str">
        <f>IFERROR(__xludf.DUMMYFUNCTION("GOOGLETRANSLATE(I52, ""th"", ""en"")"),"A) Speed ​​up training; B) Adjust training to suit ability; C) Stop training; D) Tell the trainer about the problem.")</f>
        <v>A) Speed ​​up training; B) Adjust training to suit ability; C) Stop training; D) Tell the trainer about the problem.</v>
      </c>
      <c r="D52" s="5" t="str">
        <f>IFERROR(__xludf.DUMMYFUNCTION("GOOGLETRANSLATE(J52, ""th"", ""en"")"),"B) Adjust training to suit your abilities.")</f>
        <v>B) Adjust training to suit your abilities.</v>
      </c>
      <c r="E52" s="5" t="str">
        <f>IFERROR(__xludf.DUMMYFUNCTION(" GOOGLETRANSLATE(K52, ""th"", ""en"")"),"Optimizing your training allows you to improve effectively.")</f>
        <v>Optimizing your training allows you to improve effectively.</v>
      </c>
      <c r="G52" s="6">
        <v>51.0</v>
      </c>
      <c r="H52" s="7" t="s">
        <v>3913</v>
      </c>
      <c r="I52" s="7" t="s">
        <v>3914</v>
      </c>
      <c r="J52" s="7" t="s">
        <v>3915</v>
      </c>
      <c r="K52" s="7" t="s">
        <v>3916</v>
      </c>
    </row>
    <row r="53" ht="14.25" customHeight="1">
      <c r="A53" s="4">
        <v>52.0</v>
      </c>
      <c r="B53" s="5" t="str">
        <f>IFERROR(__xludf.DUMMYFUNCTION("GOOGLETRANSLATE(H53, ""th"", ""en"")"),"During the competition, you feel your injury starting to return, what do you do?")</f>
        <v>During the competition, you feel your injury starting to return, what do you do?</v>
      </c>
      <c r="C53" s="5" t="str">
        <f>IFERROR(__xludf.DUMMYFUNCTION("GOOGLETRANSLATE(I53, ""th"", ""en"")"),"A) Inform the coach and ask for a break; B) Continue training until the end; C) Stop the match immediately; D) Try not to let your opponent know.")</f>
        <v>A) Inform the coach and ask for a break; B) Continue training until the end; C) Stop the match immediately; D) Try not to let your opponent know.</v>
      </c>
      <c r="D53" s="5" t="str">
        <f>IFERROR(__xludf.DUMMYFUNCTION("GOOGLETRANSLATE(J53, ""th"", ""en"")"),"A) Inform the trainer and request a break.")</f>
        <v>A) Inform the trainer and request a break.</v>
      </c>
      <c r="E53" s="5" t="str">
        <f>IFERROR(__xludf.DUMMYFUNCTION(" GOOGLETRANSLATE(K53, ""th"", ""en"")"),"Informing your trainer about your injury can help prevent serious injuries.")</f>
        <v>Informing your trainer about your injury can help prevent serious injuries.</v>
      </c>
      <c r="G53" s="6">
        <v>52.0</v>
      </c>
      <c r="H53" s="7" t="s">
        <v>3917</v>
      </c>
      <c r="I53" s="7" t="s">
        <v>3918</v>
      </c>
      <c r="J53" s="7" t="s">
        <v>1236</v>
      </c>
      <c r="K53" s="7" t="s">
        <v>3919</v>
      </c>
    </row>
    <row r="54" ht="14.25" customHeight="1">
      <c r="A54" s="4">
        <v>53.0</v>
      </c>
      <c r="B54" s="5" t="str">
        <f>IFERROR(__xludf.DUMMYFUNCTION("GOOGLETRANSLATE(H54, ""th"", ""en"")"),"During training, you feel dissatisfied with the results. What should you do?")</f>
        <v>During training, you feel dissatisfied with the results. What should you do?</v>
      </c>
      <c r="C54" s="5" t="str">
        <f>IFERROR(__xludf.DUMMYFUNCTION("GOOGLETRANSLATE(I54, ""th"", ""en"")"),"A) Take a break and reset yourself; B) Stop training; C) Ask your trainer for advice; D) Complain to your teammates.")</f>
        <v>A) Take a break and reset yourself; B) Stop training; C) Ask your trainer for advice; D) Complain to your teammates.</v>
      </c>
      <c r="D54" s="5" t="str">
        <f>IFERROR(__xludf.DUMMYFUNCTION("GOOGLETRANSLATE(J54, ""th"", ""en"")"),"C) Ask for advice from the trainer.")</f>
        <v>C) Ask for advice from the trainer.</v>
      </c>
      <c r="E54" s="5" t="str">
        <f>IFERROR(__xludf.DUMMYFUNCTION(" GOOGLETRANSLATE(K54, ""th"", ""en"")"),"Seeking advice from a coach can help you develop in a more directional way.")</f>
        <v>Seeking advice from a coach can help you develop in a more directional way.</v>
      </c>
      <c r="G54" s="6">
        <v>53.0</v>
      </c>
      <c r="H54" s="7" t="s">
        <v>3920</v>
      </c>
      <c r="I54" s="7" t="s">
        <v>3921</v>
      </c>
      <c r="J54" s="7" t="s">
        <v>3876</v>
      </c>
      <c r="K54" s="7" t="s">
        <v>3922</v>
      </c>
    </row>
    <row r="55" ht="14.25" customHeight="1">
      <c r="A55" s="4">
        <v>54.0</v>
      </c>
      <c r="B55" s="5" t="str">
        <f>IFERROR(__xludf.DUMMYFUNCTION("GOOGLETRANSLATE(H55, ""th"", ""en"")"),"You see your competitors acting overconfident, what do you do?")</f>
        <v>You see your competitors acting overconfident, what do you do?</v>
      </c>
      <c r="C55" s="5" t="str">
        <f>IFERROR(__xludf.DUMMYFUNCTION("GOOGLETRANSLATE(I55, ""th"", ""en"")"),"A) Respond confidently; B) Ignore and focus on your own fight; C) Anticipate his moves; D) Stop and let him attack.")</f>
        <v>A) Respond confidently; B) Ignore and focus on your own fight; C) Anticipate his moves; D) Stop and let him attack.</v>
      </c>
      <c r="D55" s="5" t="str">
        <f>IFERROR(__xludf.DUMMYFUNCTION("GOOGLETRANSLATE(J55, ""th"", ""en"")"),"B) Ignore and focus on your own struggle.")</f>
        <v>B) Ignore and focus on your own struggle.</v>
      </c>
      <c r="E55" s="5" t="str">
        <f>IFERROR(__xludf.DUMMYFUNCTION(" GOOGLETRANSLATE(K55, ""th"", ""en"")"),"Ignoring your opponents allows you to control the game better.")</f>
        <v>Ignoring your opponents allows you to control the game better.</v>
      </c>
      <c r="G55" s="6">
        <v>54.0</v>
      </c>
      <c r="H55" s="7" t="s">
        <v>3923</v>
      </c>
      <c r="I55" s="7" t="s">
        <v>3924</v>
      </c>
      <c r="J55" s="7" t="s">
        <v>3925</v>
      </c>
      <c r="K55" s="7" t="s">
        <v>3926</v>
      </c>
    </row>
    <row r="56" ht="14.25" customHeight="1">
      <c r="A56" s="4">
        <v>55.0</v>
      </c>
      <c r="B56" s="5" t="str">
        <f>IFERROR(__xludf.DUMMYFUNCTION("GOOGLETRANSLATE(H56, ""th"", ""en"")"),"During the match, you think the referee made a mistake in timing, what do you do?")</f>
        <v>During the match, you think the referee made a mistake in timing, what do you do?</v>
      </c>
      <c r="C56" s="5" t="str">
        <f>IFERROR(__xludf.DUMMYFUNCTION("GOOGLETRANSLATE(I56, ""th"", ""en"")"),"A) Immediately inform the referee; B) concede and continue playing; C) talk to your opponent; D) wait for the referee to make a new decision.")</f>
        <v>A) Immediately inform the referee; B) concede and continue playing; C) talk to your opponent; D) wait for the referee to make a new decision.</v>
      </c>
      <c r="D56" s="5" t="str">
        <f>IFERROR(__xludf.DUMMYFUNCTION("GOOGLETRANSLATE(J56, ""th"", ""en"")"),"B) Accept and continue playing.")</f>
        <v>B) Accept and continue playing.</v>
      </c>
      <c r="E56" s="5" t="str">
        <f>IFERROR(__xludf.DUMMYFUNCTION(" GOOGLETRANSLATE(K56, ""th"", ""en"")"),"Accepting the decision keeps you from losing focus on the competition.")</f>
        <v>Accepting the decision keeps you from losing focus on the competition.</v>
      </c>
      <c r="G56" s="6">
        <v>55.0</v>
      </c>
      <c r="H56" s="7" t="s">
        <v>3927</v>
      </c>
      <c r="I56" s="7" t="s">
        <v>3928</v>
      </c>
      <c r="J56" s="7" t="s">
        <v>3929</v>
      </c>
      <c r="K56" s="7" t="s">
        <v>3930</v>
      </c>
    </row>
    <row r="57" ht="14.25" customHeight="1">
      <c r="A57" s="4">
        <v>56.0</v>
      </c>
      <c r="B57" s="5" t="str">
        <f>IFERROR(__xludf.DUMMYFUNCTION("GOOGLETRANSLATE(H57, ""th"", ""en"")"),"During training, you feel so tired that you can't continue training. What should you do?")</f>
        <v>During training, you feel so tired that you can't continue training. What should you do?</v>
      </c>
      <c r="C57" s="5" t="str">
        <f>IFERROR(__xludf.DUMMYFUNCTION("GOOGLETRANSLATE(I57, ""th"", ""en"")"),"A) Take a break and drink water; B) Continue until you finish; C) Tell the trainer; D) Try to finish without stopping.")</f>
        <v>A) Take a break and drink water; B) Continue until you finish; C) Tell the trainer; D) Try to finish without stopping.</v>
      </c>
      <c r="D57" s="5" t="str">
        <f>IFERROR(__xludf.DUMMYFUNCTION("GOOGLETRANSLATE(J57, ""th"", ""en"")"),"A) Take a break and drink water.")</f>
        <v>A) Take a break and drink water.</v>
      </c>
      <c r="E57" s="5" t="str">
        <f>IFERROR(__xludf.DUMMYFUNCTION(" GOOGLETRANSLATE(K57, ""th"", ""en"")"),"Taking breaks helps restore the body and mind.")</f>
        <v>Taking breaks helps restore the body and mind.</v>
      </c>
      <c r="G57" s="6">
        <v>56.0</v>
      </c>
      <c r="H57" s="7" t="s">
        <v>3931</v>
      </c>
      <c r="I57" s="7" t="s">
        <v>3932</v>
      </c>
      <c r="J57" s="7" t="s">
        <v>3933</v>
      </c>
      <c r="K57" s="7" t="s">
        <v>3934</v>
      </c>
    </row>
    <row r="58" ht="14.25" customHeight="1">
      <c r="A58" s="4">
        <v>57.0</v>
      </c>
      <c r="B58" s="5" t="str">
        <f>IFERROR(__xludf.DUMMYFUNCTION("GOOGLETRANSLATE(H58, ""th"", ""en"")"),"Your trainer asks you to train with a more skilled partner. What do you do?")</f>
        <v>Your trainer asks you to train with a more skilled partner. What do you do?</v>
      </c>
      <c r="C58" s="5" t="str">
        <f>IFERROR(__xludf.DUMMYFUNCTION("GOOGLETRANSLATE(I58, ""th"", ""en"")"),"A) Use this opportunity to learn; B) Avoid training with him; C) Wait for him to train with you; D) Continue training your way.")</f>
        <v>A) Use this opportunity to learn; B) Avoid training with him; C) Wait for him to train with you; D) Continue training your way.</v>
      </c>
      <c r="D58" s="5" t="str">
        <f>IFERROR(__xludf.DUMMYFUNCTION("GOOGLETRANSLATE(J58, ""th"", ""en"")"),"A) Take this opportunity to learn.")</f>
        <v>A) Take this opportunity to learn.</v>
      </c>
      <c r="E58" s="5" t="str">
        <f>IFERROR(__xludf.DUMMYFUNCTION(" GOOGLETRANSLATE(K58, ""th"", ""en"")"),"Training with people who are better than you helps you improve.")</f>
        <v>Training with people who are better than you helps you improve.</v>
      </c>
      <c r="G58" s="6">
        <v>57.0</v>
      </c>
      <c r="H58" s="7" t="s">
        <v>3935</v>
      </c>
      <c r="I58" s="7" t="s">
        <v>3936</v>
      </c>
      <c r="J58" s="7" t="s">
        <v>3937</v>
      </c>
      <c r="K58" s="7" t="s">
        <v>3938</v>
      </c>
    </row>
    <row r="59" ht="14.25" customHeight="1">
      <c r="A59" s="4">
        <v>58.0</v>
      </c>
      <c r="B59" s="5" t="str">
        <f>IFERROR(__xludf.DUMMYFUNCTION("GOOGLETRANSLATE(H59, ""th"", ""en"")"),"You see a teammate failing to perform a drill, what do you do?")</f>
        <v>You see a teammate failing to perform a drill, what do you do?</v>
      </c>
      <c r="C59" s="5" t="str">
        <f>IFERROR(__xludf.DUMMYFUNCTION("GOOGLETRANSLATE(I59, ""th"", ""en"")"),"A) Help him recover; B) Discard the assistance and continue training; C) Reprimand him; D) Report to the trainer.")</f>
        <v>A) Help him recover; B) Discard the assistance and continue training; C) Reprimand him; D) Report to the trainer.</v>
      </c>
      <c r="D59" s="5" t="str">
        <f>IFERROR(__xludf.DUMMYFUNCTION("GOOGLETRANSLATE(J59, ""th"", ""en"")"),"A) Help him recover.")</f>
        <v>A) Help him recover.</v>
      </c>
      <c r="E59" s="5" t="str">
        <f>IFERROR(__xludf.DUMMYFUNCTION(" GOOGLETRANSLATE(K59, ""th"", ""en"")"),"Helping your teammates helps build good relationships.")</f>
        <v>Helping your teammates helps build good relationships.</v>
      </c>
      <c r="G59" s="6">
        <v>58.0</v>
      </c>
      <c r="H59" s="7" t="s">
        <v>3939</v>
      </c>
      <c r="I59" s="7" t="s">
        <v>3940</v>
      </c>
      <c r="J59" s="7" t="s">
        <v>3941</v>
      </c>
      <c r="K59" s="7" t="s">
        <v>3942</v>
      </c>
    </row>
    <row r="60" ht="14.25" customHeight="1">
      <c r="A60" s="4">
        <v>59.0</v>
      </c>
      <c r="B60" s="5" t="str">
        <f>IFERROR(__xludf.DUMMYFUNCTION("GOOGLETRANSLATE(H60, ""th"", ""en"")"),"During the match, your opponent starts breaking the rules. What will you do?")</f>
        <v>During the match, your opponent starts breaking the rules. What will you do?</v>
      </c>
      <c r="C60" s="5" t="str">
        <f>IFERROR(__xludf.DUMMYFUNCTION("GOOGLETRANSLATE(I60, ""th"", ""en"")"),"A) inform the referee; B) let it go; C) argue with the opponent; D) ignore it and continue playing.")</f>
        <v>A) inform the referee; B) let it go; C) argue with the opponent; D) ignore it and continue playing.</v>
      </c>
      <c r="D60" s="5" t="str">
        <f>IFERROR(__xludf.DUMMYFUNCTION("GOOGLETRANSLATE(J60, ""th"", ""en"")"),"A) Inform the referee.")</f>
        <v>A) Inform the referee.</v>
      </c>
      <c r="E60" s="5" t="str">
        <f>IFERROR(__xludf.DUMMYFUNCTION(" GOOGLETRANSLATE(K60, ""th"", ""en"")"),"Informing the referee of any infractions ensures a fair competition.")</f>
        <v>Informing the referee of any infractions ensures a fair competition.</v>
      </c>
      <c r="G60" s="6">
        <v>59.0</v>
      </c>
      <c r="H60" s="7" t="s">
        <v>3943</v>
      </c>
      <c r="I60" s="7" t="s">
        <v>3944</v>
      </c>
      <c r="J60" s="7" t="s">
        <v>3766</v>
      </c>
      <c r="K60" s="7" t="s">
        <v>3945</v>
      </c>
    </row>
    <row r="61" ht="14.25" customHeight="1">
      <c r="A61" s="4">
        <v>60.0</v>
      </c>
      <c r="B61" s="5" t="str">
        <f>IFERROR(__xludf.DUMMYFUNCTION("GOOGLETRANSLATE(H61, ""th"", ""en"")"),"During the competition, you feel like you have an advantage. What do you do?")</f>
        <v>During the competition, you feel like you have an advantage. What do you do?</v>
      </c>
      <c r="C61" s="5" t="str">
        <f>IFERROR(__xludf.DUMMYFUNCTION("GOOGLETRANSLATE(I61, ""th"", ""en"")"),"A) Use this advantage to its fullest extent; B) Play it cool; C) Take a break and wait for your opponent to recover; D) Control the tempo and don't rush.")</f>
        <v>A) Use this advantage to its fullest extent; B) Play it cool; C) Take a break and wait for your opponent to recover; D) Control the tempo and don't rush.</v>
      </c>
      <c r="D61" s="5" t="str">
        <f>IFERROR(__xludf.DUMMYFUNCTION("GOOGLETRANSLATE(J61, ""th"", ""en"")"),"D) Control the pace and don't rush.")</f>
        <v>D) Control the pace and don't rush.</v>
      </c>
      <c r="E61" s="5" t="str">
        <f>IFERROR(__xludf.DUMMYFUNCTION(" GOOGLETRANSLATE(K61, ""th"", ""en"")"),"Keeping calm allows you to take control of the situation.")</f>
        <v>Keeping calm allows you to take control of the situation.</v>
      </c>
      <c r="G61" s="6">
        <v>60.0</v>
      </c>
      <c r="H61" s="7" t="s">
        <v>3946</v>
      </c>
      <c r="I61" s="7" t="s">
        <v>3947</v>
      </c>
      <c r="J61" s="7" t="s">
        <v>3948</v>
      </c>
      <c r="K61" s="7" t="s">
        <v>3949</v>
      </c>
    </row>
    <row r="62" ht="14.25" customHeight="1">
      <c r="A62" s="4">
        <v>61.0</v>
      </c>
      <c r="B62" s="5" t="str">
        <f>IFERROR(__xludf.DUMMYFUNCTION("GOOGLETRANSLATE(H62, ""th"", ""en"")"),"You see that your coach is becoming disappointed with your performance, what do you do?")</f>
        <v>You see that your coach is becoming disappointed with your performance, what do you do?</v>
      </c>
      <c r="C62" s="5" t="str">
        <f>IFERROR(__xludf.DUMMYFUNCTION("GOOGLETRANSLATE(I62, ""th"", ""en"")"),"A) Ask the trainer about improvements; B) Abandon training; C) Avoid training with him; D) Complain to teammates.")</f>
        <v>A) Ask the trainer about improvements; B) Abandon training; C) Avoid training with him; D) Complain to teammates.</v>
      </c>
      <c r="D62" s="5" t="str">
        <f>IFERROR(__xludf.DUMMYFUNCTION("GOOGLETRANSLATE(J62, ""th"", ""en"")"),"A) Ask the trainer about improvements.")</f>
        <v>A) Ask the trainer about improvements.</v>
      </c>
      <c r="E62" s="5" t="str">
        <f>IFERROR(__xludf.DUMMYFUNCTION(" GOOGLETRANSLATE(K62, ""th"", ""en"")"),"Asking for advice helps you improve yourself.")</f>
        <v>Asking for advice helps you improve yourself.</v>
      </c>
      <c r="G62" s="6">
        <v>61.0</v>
      </c>
      <c r="H62" s="7" t="s">
        <v>3950</v>
      </c>
      <c r="I62" s="7" t="s">
        <v>3951</v>
      </c>
      <c r="J62" s="7" t="s">
        <v>3952</v>
      </c>
      <c r="K62" s="7" t="s">
        <v>3953</v>
      </c>
    </row>
    <row r="63" ht="14.25" customHeight="1">
      <c r="A63" s="4">
        <v>62.0</v>
      </c>
      <c r="B63" s="5" t="str">
        <f>IFERROR(__xludf.DUMMYFUNCTION("GOOGLETRANSLATE(H63, ""th"", ""en"")"),"During training, you feel that your skills are not progressing. What should you do?")</f>
        <v>During training, you feel that your skills are not progressing. What should you do?</v>
      </c>
      <c r="C63" s="5" t="str">
        <f>IFERROR(__xludf.DUMMYFUNCTION("GOOGLETRANSLATE(I63, ""th"", ""en"")"),"A) Adjust training technique; B) Stop training; C) Continue training as usual; D) Change posture and practice new posture.")</f>
        <v>A) Adjust training technique; B) Stop training; C) Continue training as usual; D) Change posture and practice new posture.</v>
      </c>
      <c r="D63" s="5" t="str">
        <f>IFERROR(__xludf.DUMMYFUNCTION("GOOGLETRANSLATE(J63, ""th"", ""en"")"),"A) Adjust training techniques.")</f>
        <v>A) Adjust training techniques.</v>
      </c>
      <c r="E63" s="5" t="str">
        <f>IFERROR(__xludf.DUMMYFUNCTION(" GOOGLETRANSLATE(K63, ""th"", ""en"")"),"Technical adjustments help develop long-term abilities.")</f>
        <v>Technical adjustments help develop long-term abilities.</v>
      </c>
      <c r="G63" s="6">
        <v>62.0</v>
      </c>
      <c r="H63" s="7" t="s">
        <v>3954</v>
      </c>
      <c r="I63" s="7" t="s">
        <v>3955</v>
      </c>
      <c r="J63" s="7" t="s">
        <v>3956</v>
      </c>
      <c r="K63" s="7" t="s">
        <v>3957</v>
      </c>
    </row>
    <row r="64" ht="14.25" customHeight="1">
      <c r="A64" s="4">
        <v>63.0</v>
      </c>
      <c r="B64" s="5" t="str">
        <f>IFERROR(__xludf.DUMMYFUNCTION("GOOGLETRANSLATE(H64, ""th"", ""en"")"),"During the competition, you feel like your opponent is starting to put pressure on you. What should you do?")</f>
        <v>During the competition, you feel like your opponent is starting to put pressure on you. What should you do?</v>
      </c>
      <c r="C64" s="5" t="str">
        <f>IFERROR(__xludf.DUMMYFUNCTION("GOOGLETRANSLATE(I64, ""th"", ""en"")"),"A) Control your mind and focus on the fight; B) Respond to pressure; C) Stop the fight; D) Ask the referee to stop the fight.")</f>
        <v>A) Control your mind and focus on the fight; B) Respond to pressure; C) Stop the fight; D) Ask the referee to stop the fight.</v>
      </c>
      <c r="D64" s="5" t="str">
        <f>IFERROR(__xludf.DUMMYFUNCTION("GOOGLETRANSLATE(J64, ""th"", ""en"")"),"A) Control your mind and focus on the fight.")</f>
        <v>A) Control your mind and focus on the fight.</v>
      </c>
      <c r="E64" s="5" t="str">
        <f>IFERROR(__xludf.DUMMYFUNCTION(" GOOGLETRANSLATE(K64, ""th"", ""en"")"),"Keeping calm allows you to take control of the situation.")</f>
        <v>Keeping calm allows you to take control of the situation.</v>
      </c>
      <c r="G64" s="6">
        <v>63.0</v>
      </c>
      <c r="H64" s="7" t="s">
        <v>3958</v>
      </c>
      <c r="I64" s="7" t="s">
        <v>3959</v>
      </c>
      <c r="J64" s="7" t="s">
        <v>3960</v>
      </c>
      <c r="K64" s="7" t="s">
        <v>3961</v>
      </c>
    </row>
    <row r="65" ht="14.25" customHeight="1">
      <c r="A65" s="4">
        <v>64.0</v>
      </c>
      <c r="B65" s="5" t="str">
        <f>IFERROR(__xludf.DUMMYFUNCTION("GOOGLETRANSLATE(H65, ""th"", ""en"")"),"You see your teammates making the same mistakes over and over again, what do you do?")</f>
        <v>You see your teammates making the same mistakes over and over again, what do you do?</v>
      </c>
      <c r="C65" s="5" t="str">
        <f>IFERROR(__xludf.DUMMYFUNCTION("GOOGLETRANSLATE(I65, ""th"", ""en"")"),"A) Help him improve; B) Reprimand him; C) Forgo helping; D) Tell the trainer.")</f>
        <v>A) Help him improve; B) Reprimand him; C) Forgo helping; D) Tell the trainer.</v>
      </c>
      <c r="D65" s="5" t="str">
        <f>IFERROR(__xludf.DUMMYFUNCTION("GOOGLETRANSLATE(J65, ""th"", ""en"")"),"A) Help him improve.")</f>
        <v>A) Help him improve.</v>
      </c>
      <c r="E65" s="5" t="str">
        <f>IFERROR(__xludf.DUMMYFUNCTION(" GOOGLETRANSLATE(K65, ""th"", ""en"")"),"Helping your teammates makes the team stronger.")</f>
        <v>Helping your teammates makes the team stronger.</v>
      </c>
      <c r="G65" s="6">
        <v>64.0</v>
      </c>
      <c r="H65" s="7" t="s">
        <v>3962</v>
      </c>
      <c r="I65" s="7" t="s">
        <v>3963</v>
      </c>
      <c r="J65" s="7" t="s">
        <v>3964</v>
      </c>
      <c r="K65" s="7" t="s">
        <v>3965</v>
      </c>
    </row>
    <row r="66" ht="14.25" customHeight="1">
      <c r="A66" s="4">
        <v>65.0</v>
      </c>
      <c r="B66" s="5" t="str">
        <f>IFERROR(__xludf.DUMMYFUNCTION("GOOGLETRANSLATE(H66, ""th"", ""en"")"),"During practice, you make several mistakes in your posture. What should you do?")</f>
        <v>During practice, you make several mistakes in your posture. What should you do?</v>
      </c>
      <c r="C66" s="5" t="str">
        <f>IFERROR(__xludf.DUMMYFUNCTION("GOOGLETRANSLATE(I66, ""th"", ""en"")"),"A) Stop training and rest; B) Apologize to the trainer; C) Continue training; D) Adjust your form.")</f>
        <v>A) Stop training and rest; B) Apologize to the trainer; C) Continue training; D) Adjust your form.</v>
      </c>
      <c r="D66" s="5" t="str">
        <f>IFERROR(__xludf.DUMMYFUNCTION("GOOGLETRANSLATE(J66, ""th"", ""en"")"),"C) Keep practicing.")</f>
        <v>C) Keep practicing.</v>
      </c>
      <c r="E66" s="5" t="str">
        <f>IFERROR(__xludf.DUMMYFUNCTION(" GOOGLETRANSLATE(K66, ""th"", ""en"")"),"Further practice will help you correct your mistakes.")</f>
        <v>Further practice will help you correct your mistakes.</v>
      </c>
      <c r="G66" s="6">
        <v>65.0</v>
      </c>
      <c r="H66" s="7" t="s">
        <v>3966</v>
      </c>
      <c r="I66" s="7" t="s">
        <v>3967</v>
      </c>
      <c r="J66" s="7" t="s">
        <v>3968</v>
      </c>
      <c r="K66" s="7" t="s">
        <v>3969</v>
      </c>
    </row>
    <row r="67" ht="14.25" customHeight="1">
      <c r="A67" s="4">
        <v>66.0</v>
      </c>
      <c r="B67" s="5" t="str">
        <f>IFERROR(__xludf.DUMMYFUNCTION("GOOGLETRANSLATE(H67, ""th"", ""en"")"),"During training, you feel that you cannot perform certain poses well. What should you do?")</f>
        <v>During training, you feel that you cannot perform certain poses well. What should you do?</v>
      </c>
      <c r="C67" s="5" t="str">
        <f>IFERROR(__xludf.DUMMYFUNCTION("GOOGLETRANSLATE(I67, ""th"", ""en"")"),"A) Ask the trainer for advice; B) Continue training on your own; C) Stop training; D) Complain about the difficulty.")</f>
        <v>A) Ask the trainer for advice; B) Continue training on your own; C) Stop training; D) Complain about the difficulty.</v>
      </c>
      <c r="D67" s="5" t="str">
        <f>IFERROR(__xludf.DUMMYFUNCTION("GOOGLETRANSLATE(J67, ""th"", ""en"")"),"A) Ask for advice from the trainer.")</f>
        <v>A) Ask for advice from the trainer.</v>
      </c>
      <c r="E67" s="5" t="str">
        <f>IFERROR(__xludf.DUMMYFUNCTION(" GOOGLETRANSLATE(K67, ""th"", ""en"")"),"Asking for advice from a trainer can help you improve faster.")</f>
        <v>Asking for advice from a trainer can help you improve faster.</v>
      </c>
      <c r="G67" s="6">
        <v>66.0</v>
      </c>
      <c r="H67" s="7" t="s">
        <v>3970</v>
      </c>
      <c r="I67" s="7" t="s">
        <v>3971</v>
      </c>
      <c r="J67" s="7" t="s">
        <v>284</v>
      </c>
      <c r="K67" s="7" t="s">
        <v>3972</v>
      </c>
    </row>
    <row r="68" ht="14.25" customHeight="1">
      <c r="A68" s="4">
        <v>67.0</v>
      </c>
      <c r="B68" s="5" t="str">
        <f>IFERROR(__xludf.DUMMYFUNCTION("GOOGLETRANSLATE(H68, ""th"", ""en"")"),"The trainer notices that you are doing the wrong pose many times. What should you do?")</f>
        <v>The trainer notices that you are doing the wrong pose many times. What should you do?</v>
      </c>
      <c r="C68" s="5" t="str">
        <f>IFERROR(__xludf.DUMMYFUNCTION("GOOGLETRANSLATE(I68, ""th"", ""en"")"),"A) Apologize and ask the trainer how to improve; B) Avoid practicing the pose; C) Argue with the trainer; D) Let the pose go wrong.")</f>
        <v>A) Apologize and ask the trainer how to improve; B) Avoid practicing the pose; C) Argue with the trainer; D) Let the pose go wrong.</v>
      </c>
      <c r="D68" s="5" t="str">
        <f>IFERROR(__xludf.DUMMYFUNCTION("GOOGLETRANSLATE(J68, ""th"", ""en"")"),"A) Apologize and ask the trainer how to improve.")</f>
        <v>A) Apologize and ask the trainer how to improve.</v>
      </c>
      <c r="E68" s="5" t="str">
        <f>IFERROR(__xludf.DUMMYFUNCTION(" GOOGLETRANSLATE(K68, ""th"", ""en"")"),"Apologizing and asking for advice helps develop skills.")</f>
        <v>Apologizing and asking for advice helps develop skills.</v>
      </c>
      <c r="G68" s="6">
        <v>67.0</v>
      </c>
      <c r="H68" s="7" t="s">
        <v>3973</v>
      </c>
      <c r="I68" s="7" t="s">
        <v>3974</v>
      </c>
      <c r="J68" s="7" t="s">
        <v>3975</v>
      </c>
      <c r="K68" s="7" t="s">
        <v>3976</v>
      </c>
    </row>
    <row r="69" ht="14.25" customHeight="1">
      <c r="A69" s="4">
        <v>68.0</v>
      </c>
      <c r="B69" s="5" t="str">
        <f>IFERROR(__xludf.DUMMYFUNCTION("GOOGLETRANSLATE(H69, ""th"", ""en"")"),"During the competition, you feel that your opponent is getting better. What will you do?")</f>
        <v>During the competition, you feel that your opponent is getting better. What will you do?</v>
      </c>
      <c r="C69" s="5" t="str">
        <f>IFERROR(__xludf.DUMMYFUNCTION("GOOGLETRANSLATE(I69, ""th"", ""en"")"),"A) Try to adjust your strategy; B) Continue playing without paying attention; C) Wait for your opponent to make a mistake; D) Stop playing.")</f>
        <v>A) Try to adjust your strategy; B) Continue playing without paying attention; C) Wait for your opponent to make a mistake; D) Stop playing.</v>
      </c>
      <c r="D69" s="5" t="str">
        <f>IFERROR(__xludf.DUMMYFUNCTION("GOOGLETRANSLATE(J69, ""th"", ""en"")"),"A) Try to adjust your strategy.")</f>
        <v>A) Try to adjust your strategy.</v>
      </c>
      <c r="E69" s="5" t="str">
        <f>IFERROR(__xludf.DUMMYFUNCTION(" GOOGLETRANSLATE(K69, ""th"", ""en"")"),"Adjusting your strategy allows you to take control of the competition.")</f>
        <v>Adjusting your strategy allows you to take control of the competition.</v>
      </c>
      <c r="G69" s="6">
        <v>68.0</v>
      </c>
      <c r="H69" s="7" t="s">
        <v>3977</v>
      </c>
      <c r="I69" s="7" t="s">
        <v>3978</v>
      </c>
      <c r="J69" s="7" t="s">
        <v>3979</v>
      </c>
      <c r="K69" s="7" t="s">
        <v>3980</v>
      </c>
    </row>
    <row r="70" ht="14.25" customHeight="1">
      <c r="A70" s="4">
        <v>69.0</v>
      </c>
      <c r="B70" s="5" t="str">
        <f>IFERROR(__xludf.DUMMYFUNCTION("GOOGLETRANSLATE(H70, ""th"", ""en"")"),"During training, you feel like you are running out of energy, what should you do?")</f>
        <v>During training, you feel like you are running out of energy, what should you do?</v>
      </c>
      <c r="C70" s="5" t="str">
        <f>IFERROR(__xludf.DUMMYFUNCTION("GOOGLETRANSLATE(I70, ""th"", ""en"")"),"A) Take a short break and drink water; B) Continue training; C) Stop training immediately; D) Ask the trainer to end the training.")</f>
        <v>A) Take a short break and drink water; B) Continue training; C) Stop training immediately; D) Ask the trainer to end the training.</v>
      </c>
      <c r="D70" s="5" t="str">
        <f>IFERROR(__xludf.DUMMYFUNCTION("GOOGLETRANSLATE(J70, ""th"", ""en"")"),"A) Take a short break and drink some water.")</f>
        <v>A) Take a short break and drink some water.</v>
      </c>
      <c r="E70" s="5" t="str">
        <f>IFERROR(__xludf.DUMMYFUNCTION(" GOOGLETRANSLATE(K70, ""th"", ""en"")"),"Short breaks help restore energy and make training more effective.")</f>
        <v>Short breaks help restore energy and make training more effective.</v>
      </c>
      <c r="G70" s="6">
        <v>69.0</v>
      </c>
      <c r="H70" s="7" t="s">
        <v>3981</v>
      </c>
      <c r="I70" s="7" t="s">
        <v>3982</v>
      </c>
      <c r="J70" s="7" t="s">
        <v>3983</v>
      </c>
      <c r="K70" s="7" t="s">
        <v>3984</v>
      </c>
    </row>
    <row r="71" ht="14.25" customHeight="1">
      <c r="A71" s="4">
        <v>70.0</v>
      </c>
      <c r="B71" s="5" t="str">
        <f>IFERROR(__xludf.DUMMYFUNCTION("GOOGLETRANSLATE(H71, ""th"", ""en"")"),"During the competition, you start to feel pain in your hand. What should you do?")</f>
        <v>During the competition, you start to feel pain in your hand. What should you do?</v>
      </c>
      <c r="C71" s="5" t="str">
        <f>IFERROR(__xludf.DUMMYFUNCTION("GOOGLETRANSLATE(I71, ""th"", ""en"")"),"A) Inform the coach and ask for a break; B) Continue training until the end; C) Apologize to the team and ask for a break; D) Try to continue training until the end.")</f>
        <v>A) Inform the coach and ask for a break; B) Continue training until the end; C) Apologize to the team and ask for a break; D) Try to continue training until the end.</v>
      </c>
      <c r="D71" s="5" t="str">
        <f>IFERROR(__xludf.DUMMYFUNCTION("GOOGLETRANSLATE(J71, ""th"", ""en"")"),"A) Inform the trainer and request a break.")</f>
        <v>A) Inform the trainer and request a break.</v>
      </c>
      <c r="E71" s="5" t="str">
        <f>IFERROR(__xludf.DUMMYFUNCTION(" GOOGLETRANSLATE(K71, ""th"", ""en"")"),"Informing your trainer about your injury can help prevent serious injuries.")</f>
        <v>Informing your trainer about your injury can help prevent serious injuries.</v>
      </c>
      <c r="G71" s="6">
        <v>70.0</v>
      </c>
      <c r="H71" s="7" t="s">
        <v>3985</v>
      </c>
      <c r="I71" s="7" t="s">
        <v>3986</v>
      </c>
      <c r="J71" s="7" t="s">
        <v>1236</v>
      </c>
      <c r="K71" s="7" t="s">
        <v>3919</v>
      </c>
    </row>
    <row r="72" ht="14.25" customHeight="1">
      <c r="A72" s="4">
        <v>71.0</v>
      </c>
      <c r="B72" s="5" t="str">
        <f>IFERROR(__xludf.DUMMYFUNCTION("GOOGLETRANSLATE(H72, ""th"", ""en"")"),"During training, you feel unsure of your skills, what should you do?")</f>
        <v>During training, you feel unsure of your skills, what should you do?</v>
      </c>
      <c r="C72" s="5" t="str">
        <f>IFERROR(__xludf.DUMMYFUNCTION("GOOGLETRANSLATE(I72, ""th"", ""en"")"),"A) Ask for advice from a trainer; B) Avoid practicing new moves; C) Stop practicing; D) Continue practicing the same way.")</f>
        <v>A) Ask for advice from a trainer; B) Avoid practicing new moves; C) Stop practicing; D) Continue practicing the same way.</v>
      </c>
      <c r="D72" s="5" t="str">
        <f>IFERROR(__xludf.DUMMYFUNCTION("GOOGLETRANSLATE(J72, ""th"", ""en"")"),"A) Ask for advice from the trainer.")</f>
        <v>A) Ask for advice from the trainer.</v>
      </c>
      <c r="E72" s="5" t="str">
        <f>IFERROR(__xludf.DUMMYFUNCTION(" GOOGLETRANSLATE(K72, ""th"", ""en"")"),"Asking for advice from a trainer can help boost your confidence.")</f>
        <v>Asking for advice from a trainer can help boost your confidence.</v>
      </c>
      <c r="G72" s="6">
        <v>71.0</v>
      </c>
      <c r="H72" s="7" t="s">
        <v>3987</v>
      </c>
      <c r="I72" s="7" t="s">
        <v>3988</v>
      </c>
      <c r="J72" s="7" t="s">
        <v>284</v>
      </c>
      <c r="K72" s="7" t="s">
        <v>3989</v>
      </c>
    </row>
    <row r="73" ht="14.25" customHeight="1">
      <c r="A73" s="4">
        <v>72.0</v>
      </c>
      <c r="B73" s="5" t="str">
        <f>IFERROR(__xludf.DUMMYFUNCTION("GOOGLETRANSLATE(H73, ""th"", ""en"")"),"You feel like your training is too slow, what should you do?")</f>
        <v>You feel like your training is too slow, what should you do?</v>
      </c>
      <c r="C73" s="5" t="str">
        <f>IFERROR(__xludf.DUMMYFUNCTION("GOOGLETRANSLATE(I73, ""th"", ""en"")"),"A) Continue training faster; B) Ask your trainer for a new training schedule; C) Repeat the same exercises; D) Stop training.")</f>
        <v>A) Continue training faster; B) Ask your trainer for a new training schedule; C) Repeat the same exercises; D) Stop training.</v>
      </c>
      <c r="D73" s="5" t="str">
        <f>IFERROR(__xludf.DUMMYFUNCTION("GOOGLETRANSLATE(J73, ""th"", ""en"")"),"B) Request a new training schedule from the trainer.")</f>
        <v>B) Request a new training schedule from the trainer.</v>
      </c>
      <c r="E73" s="5" t="str">
        <f>IFERROR(__xludf.DUMMYFUNCTION(" GOOGLETRANSLATE(K73, ""th"", ""en"")"),"Optimizing your training schedule can help you improve.")</f>
        <v>Optimizing your training schedule can help you improve.</v>
      </c>
      <c r="G73" s="6">
        <v>72.0</v>
      </c>
      <c r="H73" s="7" t="s">
        <v>3990</v>
      </c>
      <c r="I73" s="7" t="s">
        <v>3991</v>
      </c>
      <c r="J73" s="7" t="s">
        <v>3992</v>
      </c>
      <c r="K73" s="7" t="s">
        <v>3993</v>
      </c>
    </row>
    <row r="74" ht="14.25" customHeight="1">
      <c r="A74" s="4">
        <v>73.0</v>
      </c>
      <c r="B74" s="5" t="str">
        <f>IFERROR(__xludf.DUMMYFUNCTION("GOOGLETRANSLATE(H74, ""th"", ""en"")"),"During training, you feel a minor injury getting worse. What do you do?")</f>
        <v>During training, you feel a minor injury getting worse. What do you do?</v>
      </c>
      <c r="C74" s="5" t="str">
        <f>IFERROR(__xludf.DUMMYFUNCTION("GOOGLETRANSLATE(I74, ""th"", ""en"")"),"A) Inform the trainer and request to stop training; B) Continue training until completion; C) Wait until the injury heals; D) Abandon training.")</f>
        <v>A) Inform the trainer and request to stop training; B) Continue training until completion; C) Wait until the injury heals; D) Abandon training.</v>
      </c>
      <c r="D74" s="5" t="str">
        <f>IFERROR(__xludf.DUMMYFUNCTION("GOOGLETRANSLATE(J74, ""th"", ""en"")"),"A) Inform the trainer and request to stop training.")</f>
        <v>A) Inform the trainer and request to stop training.</v>
      </c>
      <c r="E74" s="5" t="str">
        <f>IFERROR(__xludf.DUMMYFUNCTION(" GOOGLETRANSLATE(K74, ""th"", ""en"")"),"Notifying your trainer will ensure you receive proper care.")</f>
        <v>Notifying your trainer will ensure you receive proper care.</v>
      </c>
      <c r="G74" s="6">
        <v>73.0</v>
      </c>
      <c r="H74" s="7" t="s">
        <v>3994</v>
      </c>
      <c r="I74" s="7" t="s">
        <v>3995</v>
      </c>
      <c r="J74" s="7" t="s">
        <v>3996</v>
      </c>
      <c r="K74" s="7" t="s">
        <v>3997</v>
      </c>
    </row>
    <row r="75" ht="14.25" customHeight="1">
      <c r="A75" s="4">
        <v>74.0</v>
      </c>
      <c r="B75" s="5" t="str">
        <f>IFERROR(__xludf.DUMMYFUNCTION("GOOGLETRANSLATE(H75, ""th"", ""en"")"),"During the match, you think you are losing focus, what do you do?")</f>
        <v>During the match, you think you are losing focus, what do you do?</v>
      </c>
      <c r="C75" s="5" t="str">
        <f>IFERROR(__xludf.DUMMYFUNCTION("GOOGLETRANSLATE(I75, ""th"", ""en"")"),"A) Stop and regain focus; B) Continue training without paying attention; C) Apologize to the coach; D) Quit the match.")</f>
        <v>A) Stop and regain focus; B) Continue training without paying attention; C) Apologize to the coach; D) Quit the match.</v>
      </c>
      <c r="D75" s="5" t="str">
        <f>IFERROR(__xludf.DUMMYFUNCTION("GOOGLETRANSLATE(J75, ""th"", ""en"")"),"A) Stop and restore your concentration.")</f>
        <v>A) Stop and restore your concentration.</v>
      </c>
      <c r="E75" s="5" t="str">
        <f>IFERROR(__xludf.DUMMYFUNCTION(" GOOGLETRANSLATE(K75, ""th"", ""en"")"),"Restoring your concentration helps you come back stronger.")</f>
        <v>Restoring your concentration helps you come back stronger.</v>
      </c>
      <c r="G75" s="6">
        <v>74.0</v>
      </c>
      <c r="H75" s="7" t="s">
        <v>3998</v>
      </c>
      <c r="I75" s="7" t="s">
        <v>3999</v>
      </c>
      <c r="J75" s="7" t="s">
        <v>4000</v>
      </c>
      <c r="K75" s="7" t="s">
        <v>4001</v>
      </c>
    </row>
    <row r="76" ht="14.25" customHeight="1">
      <c r="A76" s="4">
        <v>75.0</v>
      </c>
      <c r="B76" s="5" t="str">
        <f>IFERROR(__xludf.DUMMYFUNCTION("GOOGLETRANSLATE(H76, ""th"", ""en"")"),"During training, you see your teammates overworking themselves. What do you do?")</f>
        <v>During training, you see your teammates overworking themselves. What do you do?</v>
      </c>
      <c r="C76" s="5" t="str">
        <f>IFERROR(__xludf.DUMMYFUNCTION("GOOGLETRANSLATE(I76, ""th"", ""en"")"),"A) Help him learn to relax; B) Let him train on his own; C) Reprimand him; D) Tell the trainer.")</f>
        <v>A) Help him learn to relax; B) Let him train on his own; C) Reprimand him; D) Tell the trainer.</v>
      </c>
      <c r="D76" s="5" t="str">
        <f>IFERROR(__xludf.DUMMYFUNCTION("GOOGLETRANSLATE(J76, ""th"", ""en"")"),"A) Help him learn to relax.")</f>
        <v>A) Help him learn to relax.</v>
      </c>
      <c r="E76" s="5" t="str">
        <f>IFERROR(__xludf.DUMMYFUNCTION(" GOOGLETRANSLATE(K76, ""th"", ""en"")"),"Providing advice will help teammates maintain a balanced training routine.")</f>
        <v>Providing advice will help teammates maintain a balanced training routine.</v>
      </c>
      <c r="G76" s="6">
        <v>75.0</v>
      </c>
      <c r="H76" s="7" t="s">
        <v>4002</v>
      </c>
      <c r="I76" s="7" t="s">
        <v>4003</v>
      </c>
      <c r="J76" s="7" t="s">
        <v>4004</v>
      </c>
      <c r="K76" s="7" t="s">
        <v>4005</v>
      </c>
    </row>
    <row r="77" ht="14.25" customHeight="1">
      <c r="A77" s="4">
        <v>76.0</v>
      </c>
      <c r="B77" s="5" t="str">
        <f>IFERROR(__xludf.DUMMYFUNCTION("GOOGLETRANSLATE(H77, ""th"", ""en"")"),"During a match, you see your opponent using a technique you've never seen before. What do you do?")</f>
        <v>During a match, you see your opponent using a technique you've never seen before. What do you do?</v>
      </c>
      <c r="C77" s="5" t="str">
        <f>IFERROR(__xludf.DUMMYFUNCTION("GOOGLETRANSLATE(I77, ""th"", ""en"")"),"A) Observe and try to learn; B) Ignore and play according to the original plan; C) Ask the coach immediately; D) Wait for the opponent to make a mistake.")</f>
        <v>A) Observe and try to learn; B) Ignore and play according to the original plan; C) Ask the coach immediately; D) Wait for the opponent to make a mistake.</v>
      </c>
      <c r="D77" s="5" t="str">
        <f>IFERROR(__xludf.DUMMYFUNCTION("GOOGLETRANSLATE(J77, ""th"", ""en"")"),"A) Observe and try to learn.")</f>
        <v>A) Observe and try to learn.</v>
      </c>
      <c r="E77" s="5" t="str">
        <f>IFERROR(__xludf.DUMMYFUNCTION(" GOOGLETRANSLATE(K77, ""th"", ""en"")"),"Observing and learning from your competitors helps you develop new skills.")</f>
        <v>Observing and learning from your competitors helps you develop new skills.</v>
      </c>
      <c r="G77" s="6">
        <v>76.0</v>
      </c>
      <c r="H77" s="7" t="s">
        <v>4006</v>
      </c>
      <c r="I77" s="7" t="s">
        <v>4007</v>
      </c>
      <c r="J77" s="7" t="s">
        <v>4008</v>
      </c>
      <c r="K77" s="7" t="s">
        <v>4009</v>
      </c>
    </row>
    <row r="78" ht="14.25" customHeight="1">
      <c r="A78" s="4">
        <v>77.0</v>
      </c>
      <c r="B78" s="5" t="str">
        <f>IFERROR(__xludf.DUMMYFUNCTION("GOOGLETRANSLATE(H78, ""th"", ""en"")"),"You feel that your coach is becoming dissatisfied with your performance, what should you do?")</f>
        <v>You feel that your coach is becoming dissatisfied with your performance, what should you do?</v>
      </c>
      <c r="C78" s="5" t="str">
        <f>IFERROR(__xludf.DUMMYFUNCTION("GOOGLETRANSLATE(I78, ""th"", ""en"")"),"A) Ask for advice on development; B) Avoid training with him; C) Wait for the trainer to speak first; D) Continue training as usual.")</f>
        <v>A) Ask for advice on development; B) Avoid training with him; C) Wait for the trainer to speak first; D) Continue training as usual.</v>
      </c>
      <c r="D78" s="5" t="str">
        <f>IFERROR(__xludf.DUMMYFUNCTION("GOOGLETRANSLATE(J78, ""th"", ""en"")"),"A) Request advice on development.")</f>
        <v>A) Request advice on development.</v>
      </c>
      <c r="E78" s="5" t="str">
        <f>IFERROR(__xludf.DUMMYFUNCTION(" GOOGLETRANSLATE(K78, ""th"", ""en"")"),"Asking for advice helps you improve yourself.")</f>
        <v>Asking for advice helps you improve yourself.</v>
      </c>
      <c r="G78" s="6">
        <v>77.0</v>
      </c>
      <c r="H78" s="7" t="s">
        <v>4010</v>
      </c>
      <c r="I78" s="7" t="s">
        <v>4011</v>
      </c>
      <c r="J78" s="7" t="s">
        <v>4012</v>
      </c>
      <c r="K78" s="7" t="s">
        <v>4013</v>
      </c>
    </row>
    <row r="79" ht="14.25" customHeight="1">
      <c r="A79" s="4">
        <v>78.0</v>
      </c>
      <c r="B79" s="5" t="str">
        <f>IFERROR(__xludf.DUMMYFUNCTION("GOOGLETRANSLATE(H79, ""th"", ""en"")"),"During a competition, you feel that your technique is deteriorating. What should you do?")</f>
        <v>During a competition, you feel that your technique is deteriorating. What should you do?</v>
      </c>
      <c r="C79" s="5" t="str">
        <f>IFERROR(__xludf.DUMMYFUNCTION("GOOGLETRANSLATE(I79, ""th"", ""en"")"),"A) Adjust your technique and control your tempo; B) Wait for your opponent to make a mistake; C) Stop the match; D) Play at your own convenience.")</f>
        <v>A) Adjust your technique and control your tempo; B) Wait for your opponent to make a mistake; C) Stop the match; D) Play at your own convenience.</v>
      </c>
      <c r="D79" s="5" t="str">
        <f>IFERROR(__xludf.DUMMYFUNCTION("GOOGLETRANSLATE(J79, ""th"", ""en"")"),"A) Adjust technique and control rhythm.")</f>
        <v>A) Adjust technique and control rhythm.</v>
      </c>
      <c r="E79" s="5" t="str">
        <f>IFERROR(__xludf.DUMMYFUNCTION(" GOOGLETRANSLATE(K79, ""th"", ""en"")"),"Technical adjustments allow you to better control the competition.")</f>
        <v>Technical adjustments allow you to better control the competition.</v>
      </c>
      <c r="G79" s="6">
        <v>78.0</v>
      </c>
      <c r="H79" s="7" t="s">
        <v>4014</v>
      </c>
      <c r="I79" s="7" t="s">
        <v>4015</v>
      </c>
      <c r="J79" s="7" t="s">
        <v>4016</v>
      </c>
      <c r="K79" s="7" t="s">
        <v>4017</v>
      </c>
    </row>
    <row r="80" ht="14.25" customHeight="1">
      <c r="A80" s="4">
        <v>79.0</v>
      </c>
      <c r="B80" s="5" t="str">
        <f>IFERROR(__xludf.DUMMYFUNCTION("GOOGLETRANSLATE(H80, ""th"", ""en"")"),"During training, you feel that your skills are deteriorating. What should you do?")</f>
        <v>During training, you feel that your skills are deteriorating. What should you do?</v>
      </c>
      <c r="C80" s="5" t="str">
        <f>IFERROR(__xludf.DUMMYFUNCTION("GOOGLETRANSLATE(I80, ""th"", ""en"")"),"A) Ask a trainer for advice on how to improve; B) Stop practicing; C) Avoid practicing new exercises; D) Repeat the exercises.")</f>
        <v>A) Ask a trainer for advice on how to improve; B) Stop practicing; C) Avoid practicing new exercises; D) Repeat the exercises.</v>
      </c>
      <c r="D80" s="5" t="str">
        <f>IFERROR(__xludf.DUMMYFUNCTION("GOOGLETRANSLATE(J80, ""th"", ""en"")"),"A) Ask for advice from the trainer for improvement.")</f>
        <v>A) Ask for advice from the trainer for improvement.</v>
      </c>
      <c r="E80" s="5" t="str">
        <f>IFERROR(__xludf.DUMMYFUNCTION(" GOOGLETRANSLATE(K80, ""th"", ""en"")"),"Asking for advice from a trainer can help you improve.")</f>
        <v>Asking for advice from a trainer can help you improve.</v>
      </c>
      <c r="G80" s="6">
        <v>79.0</v>
      </c>
      <c r="H80" s="7" t="s">
        <v>4018</v>
      </c>
      <c r="I80" s="7" t="s">
        <v>4019</v>
      </c>
      <c r="J80" s="7" t="s">
        <v>4020</v>
      </c>
      <c r="K80" s="7" t="s">
        <v>4021</v>
      </c>
    </row>
    <row r="81" ht="14.25" customHeight="1">
      <c r="A81" s="4">
        <v>80.0</v>
      </c>
      <c r="B81" s="5" t="str">
        <f>IFERROR(__xludf.DUMMYFUNCTION("GOOGLETRANSLATE(H81, ""th"", ""en"")"),"You feel tired after training, what should you do?")</f>
        <v>You feel tired after training, what should you do?</v>
      </c>
      <c r="C81" s="5" t="str">
        <f>IFERROR(__xludf.DUMMYFUNCTION("GOOGLETRANSLATE(I81, ""th"", ""en"")"),"A) Rest and recover; B) Continue training; C) Discontinue training; D) Ask the trainer to end training.")</f>
        <v>A) Rest and recover; B) Continue training; C) Discontinue training; D) Ask the trainer to end training.</v>
      </c>
      <c r="D81" s="5" t="str">
        <f>IFERROR(__xludf.DUMMYFUNCTION("GOOGLETRANSLATE(J81, ""th"", ""en"")"),"A) Rest and rejuvenate your body.")</f>
        <v>A) Rest and rejuvenate your body.</v>
      </c>
      <c r="E81" s="5" t="str">
        <f>IFERROR(__xludf.DUMMYFUNCTION(" GOOGLETRANSLATE(K81, ""th"", ""en"")"),"Resting after training allows the body to recover and be ready for the next training session.")</f>
        <v>Resting after training allows the body to recover and be ready for the next training session.</v>
      </c>
      <c r="G81" s="6">
        <v>80.0</v>
      </c>
      <c r="H81" s="7" t="s">
        <v>4022</v>
      </c>
      <c r="I81" s="7" t="s">
        <v>4023</v>
      </c>
      <c r="J81" s="7" t="s">
        <v>4024</v>
      </c>
      <c r="K81" s="7" t="s">
        <v>4025</v>
      </c>
    </row>
    <row r="82" ht="14.25" customHeight="1">
      <c r="A82" s="4">
        <v>81.0</v>
      </c>
      <c r="B82" s="5" t="str">
        <f>IFERROR(__xludf.DUMMYFUNCTION("GOOGLETRANSLATE(H82, ""th"", ""en"")"),"In a Muay Thai match, you see your opponent starting to look unsure, what do you do?")</f>
        <v>In a Muay Thai match, you see your opponent starting to look unsure, what do you do?</v>
      </c>
      <c r="C82" s="5" t="str">
        <f>IFERROR(__xludf.DUMMYFUNCTION("GOOGLETRANSLATE(I82, ""th"", ""en"")"),"A) Take advantage and speed up the game; B) Stop play to allow him to recover; C) Slow down and observe his movements; D) Stop the game immediately.")</f>
        <v>A) Take advantage and speed up the game; B) Stop play to allow him to recover; C) Slow down and observe his movements; D) Stop the game immediately.</v>
      </c>
      <c r="D82" s="5" t="str">
        <f>IFERROR(__xludf.DUMMYFUNCTION("GOOGLETRANSLATE(J82, ""th"", ""en"")"),"A) Take advantage and accelerate the game.")</f>
        <v>A) Take advantage and accelerate the game.</v>
      </c>
      <c r="E82" s="5" t="str">
        <f>IFERROR(__xludf.DUMMYFUNCTION(" GOOGLETRANSLATE(K82, ""th"", ""en"")"),"Using your advantage allows you to better control the competition.")</f>
        <v>Using your advantage allows you to better control the competition.</v>
      </c>
      <c r="G82" s="6">
        <v>81.0</v>
      </c>
      <c r="H82" s="7" t="s">
        <v>4026</v>
      </c>
      <c r="I82" s="7" t="s">
        <v>4027</v>
      </c>
      <c r="J82" s="7" t="s">
        <v>4028</v>
      </c>
      <c r="K82" s="7" t="s">
        <v>4029</v>
      </c>
    </row>
    <row r="83" ht="14.25" customHeight="1">
      <c r="A83" s="4">
        <v>82.0</v>
      </c>
      <c r="B83" s="5" t="str">
        <f>IFERROR(__xludf.DUMMYFUNCTION("GOOGLETRANSLATE(H83, ""th"", ""en"")"),"During training, you feel that your movements are not yet smooth, what should you do?")</f>
        <v>During training, you feel that your movements are not yet smooth, what should you do?</v>
      </c>
      <c r="C83" s="5" t="str">
        <f>IFERROR(__xludf.DUMMYFUNCTION("GOOGLETRANSLATE(I83, ""th"", ""en"")"),"A) Practice the move several times until you are proficient; B) Avoid practicing the move; C) Ask a teammate for advice; D) Stop practicing.")</f>
        <v>A) Practice the move several times until you are proficient; B) Avoid practicing the move; C) Ask a teammate for advice; D) Stop practicing.</v>
      </c>
      <c r="D83" s="5" t="str">
        <f>IFERROR(__xludf.DUMMYFUNCTION("GOOGLETRANSLATE(J83, ""th"", ""en"")"),"A) Practice the pose many times until you are proficient.")</f>
        <v>A) Practice the pose many times until you are proficient.</v>
      </c>
      <c r="E83" s="5" t="str">
        <f>IFERROR(__xludf.DUMMYFUNCTION(" GOOGLETRANSLATE(K83, ""th"", ""en"")"),"Repetition improves movement.")</f>
        <v>Repetition improves movement.</v>
      </c>
      <c r="G83" s="6">
        <v>82.0</v>
      </c>
      <c r="H83" s="7" t="s">
        <v>4030</v>
      </c>
      <c r="I83" s="7" t="s">
        <v>4031</v>
      </c>
      <c r="J83" s="7" t="s">
        <v>4032</v>
      </c>
      <c r="K83" s="7" t="s">
        <v>4033</v>
      </c>
    </row>
    <row r="84" ht="14.25" customHeight="1">
      <c r="A84" s="4">
        <v>83.0</v>
      </c>
      <c r="B84" s="5" t="str">
        <f>IFERROR(__xludf.DUMMYFUNCTION("GOOGLETRANSLATE(H84, ""th"", ""en"")"),"You feel like your Muay Thai training today is making your body tired. What should you do?")</f>
        <v>You feel like your Muay Thai training today is making your body tired. What should you do?</v>
      </c>
      <c r="C84" s="5" t="str">
        <f>IFERROR(__xludf.DUMMYFUNCTION("GOOGLETRANSLATE(I84, ""th"", ""en"")"),"A) Rest and recover; B) Continue training until completion; C) Ask the trainer to end the training; D) Reduce the training to a slower pace.")</f>
        <v>A) Rest and recover; B) Continue training until completion; C) Ask the trainer to end the training; D) Reduce the training to a slower pace.</v>
      </c>
      <c r="D84" s="5" t="str">
        <f>IFERROR(__xludf.DUMMYFUNCTION("GOOGLETRANSLATE(J84, ""th"", ""en"")"),"A) Rest and rejuvenate your body.")</f>
        <v>A) Rest and rejuvenate your body.</v>
      </c>
      <c r="E84" s="5" t="str">
        <f>IFERROR(__xludf.DUMMYFUNCTION(" GOOGLETRANSLATE(K84, ""th"", ""en"")"),"Rest allows the body to recover and be ready for the next training session.")</f>
        <v>Rest allows the body to recover and be ready for the next training session.</v>
      </c>
      <c r="G84" s="6">
        <v>83.0</v>
      </c>
      <c r="H84" s="7" t="s">
        <v>4034</v>
      </c>
      <c r="I84" s="7" t="s">
        <v>4035</v>
      </c>
      <c r="J84" s="7" t="s">
        <v>4024</v>
      </c>
      <c r="K84" s="7" t="s">
        <v>4036</v>
      </c>
    </row>
    <row r="85" ht="14.25" customHeight="1">
      <c r="A85" s="4">
        <v>84.0</v>
      </c>
      <c r="B85" s="5" t="str">
        <f>IFERROR(__xludf.DUMMYFUNCTION("GOOGLETRANSLATE(H85, ""th"", ""en"")"),"During training, you see your teammates making the same mistakes over and over again. What do you do?")</f>
        <v>During training, you see your teammates making the same mistakes over and over again. What do you do?</v>
      </c>
      <c r="C85" s="5" t="str">
        <f>IFERROR(__xludf.DUMMYFUNCTION("GOOGLETRANSLATE(I85, ""th"", ""en"")"),"A) Help him improve; B) Criticize him in front of others; C) Ignore him and continue training; D) Tell the trainer immediately.")</f>
        <v>A) Help him improve; B) Criticize him in front of others; C) Ignore him and continue training; D) Tell the trainer immediately.</v>
      </c>
      <c r="D85" s="5" t="str">
        <f>IFERROR(__xludf.DUMMYFUNCTION("GOOGLETRANSLATE(J85, ""th"", ""en"")"),"A) Help him improve.")</f>
        <v>A) Help him improve.</v>
      </c>
      <c r="E85" s="5" t="str">
        <f>IFERROR(__xludf.DUMMYFUNCTION(" GOOGLETRANSLATE(K85, ""th"", ""en"")"),"Helping your teammates makes the team stronger.")</f>
        <v>Helping your teammates makes the team stronger.</v>
      </c>
      <c r="G85" s="6">
        <v>84.0</v>
      </c>
      <c r="H85" s="7" t="s">
        <v>4037</v>
      </c>
      <c r="I85" s="7" t="s">
        <v>4038</v>
      </c>
      <c r="J85" s="7" t="s">
        <v>4039</v>
      </c>
      <c r="K85" s="7" t="s">
        <v>4040</v>
      </c>
    </row>
    <row r="86" ht="14.25" customHeight="1">
      <c r="A86" s="4">
        <v>85.0</v>
      </c>
      <c r="B86" s="5" t="str">
        <f>IFERROR(__xludf.DUMMYFUNCTION("GOOGLETRANSLATE(H86, ""th"", ""en"")"),"You feel like your opponent is using techniques you've never encountered before. What should you do?")</f>
        <v>You feel like your opponent is using techniques you've never encountered before. What should you do?</v>
      </c>
      <c r="C86" s="5" t="str">
        <f>IFERROR(__xludf.DUMMYFUNCTION("GOOGLETRANSLATE(I86, ""th"", ""en"")"),"A) Study and try to find a way to deal with it; B) ignore it and play according to the original plan; C) stop the game immediately; D) wait for the opponent to make a mistake.")</f>
        <v>A) Study and try to find a way to deal with it; B) ignore it and play according to the original plan; C) stop the game immediately; D) wait for the opponent to make a mistake.</v>
      </c>
      <c r="D86" s="5" t="str">
        <f>IFERROR(__xludf.DUMMYFUNCTION("GOOGLETRANSLATE(J86, ""th"", ""en"")"),"A) Study and try to find ways to cope.")</f>
        <v>A) Study and try to find ways to cope.</v>
      </c>
      <c r="E86" s="5" t="str">
        <f>IFERROR(__xludf.DUMMYFUNCTION(" GOOGLETRANSLATE(K86, ""th"", ""en"")"),"Studying and adapting allows you to cope with new techniques.")</f>
        <v>Studying and adapting allows you to cope with new techniques.</v>
      </c>
      <c r="G86" s="6">
        <v>85.0</v>
      </c>
      <c r="H86" s="7" t="s">
        <v>4041</v>
      </c>
      <c r="I86" s="7" t="s">
        <v>4042</v>
      </c>
      <c r="J86" s="7" t="s">
        <v>4043</v>
      </c>
      <c r="K86" s="7" t="s">
        <v>4044</v>
      </c>
    </row>
    <row r="87" ht="14.25" customHeight="1">
      <c r="A87" s="4">
        <v>86.0</v>
      </c>
      <c r="B87" s="5" t="str">
        <f>IFERROR(__xludf.DUMMYFUNCTION("GOOGLETRANSLATE(H87, ""th"", ""en"")"),"During training, you feel that an injury is starting to interfere with your movement. What do you do?")</f>
        <v>During training, you feel that an injury is starting to interfere with your movement. What do you do?</v>
      </c>
      <c r="C87" s="5" t="str">
        <f>IFERROR(__xludf.DUMMYFUNCTION("GOOGLETRANSLATE(I87, ""th"", ""en"")"),"A) Inform the trainer and stop training; B) Continue training and try not to get hurt; C) Avoid practicing positions that cause pain; D) Apologize to the trainer and ask for a break.")</f>
        <v>A) Inform the trainer and stop training; B) Continue training and try not to get hurt; C) Avoid practicing positions that cause pain; D) Apologize to the trainer and ask for a break.</v>
      </c>
      <c r="D87" s="5" t="str">
        <f>IFERROR(__xludf.DUMMYFUNCTION("GOOGLETRANSLATE(J87, ""th"", ""en"")"),"A) Inform the trainer and stop training.")</f>
        <v>A) Inform the trainer and stop training.</v>
      </c>
      <c r="E87" s="5" t="str">
        <f>IFERROR(__xludf.DUMMYFUNCTION(" GOOGLETRANSLATE(K87, ""th"", ""en"")"),"Notifying your trainer ensures you receive timely care.")</f>
        <v>Notifying your trainer ensures you receive timely care.</v>
      </c>
      <c r="G87" s="6">
        <v>86.0</v>
      </c>
      <c r="H87" s="7" t="s">
        <v>4045</v>
      </c>
      <c r="I87" s="7" t="s">
        <v>4046</v>
      </c>
      <c r="J87" s="7" t="s">
        <v>4047</v>
      </c>
      <c r="K87" s="7" t="s">
        <v>4048</v>
      </c>
    </row>
    <row r="88" ht="14.25" customHeight="1">
      <c r="A88" s="4">
        <v>87.0</v>
      </c>
      <c r="B88" s="5" t="str">
        <f>IFERROR(__xludf.DUMMYFUNCTION("GOOGLETRANSLATE(H88, ""th"", ""en"")"),"During a match, you see your opponent breaking the rules, what will you do?")</f>
        <v>During a match, you see your opponent breaking the rules, what will you do?</v>
      </c>
      <c r="C88" s="5" t="str">
        <f>IFERROR(__xludf.DUMMYFUNCTION("GOOGLETRANSLATE(I88, ""th"", ""en"")"),"A) Notify the referee immediately; B) Let it go; C) Blame the opponent; D) Wait for the referee to make a new decision.")</f>
        <v>A) Notify the referee immediately; B) Let it go; C) Blame the opponent; D) Wait for the referee to make a new decision.</v>
      </c>
      <c r="D88" s="5" t="str">
        <f>IFERROR(__xludf.DUMMYFUNCTION("GOOGLETRANSLATE(J88, ""th"", ""en"")"),"A) Notify the referee immediately.")</f>
        <v>A) Notify the referee immediately.</v>
      </c>
      <c r="E88" s="5" t="str">
        <f>IFERROR(__xludf.DUMMYFUNCTION(" GOOGLETRANSLATE(K88, ""th"", ""en"")"),"Informing the referee makes the match in accordance with the rules.")</f>
        <v>Informing the referee makes the match in accordance with the rules.</v>
      </c>
      <c r="G88" s="6">
        <v>87.0</v>
      </c>
      <c r="H88" s="7" t="s">
        <v>4049</v>
      </c>
      <c r="I88" s="7" t="s">
        <v>4050</v>
      </c>
      <c r="J88" s="7" t="s">
        <v>3857</v>
      </c>
      <c r="K88" s="7" t="s">
        <v>4051</v>
      </c>
    </row>
    <row r="89" ht="14.25" customHeight="1">
      <c r="A89" s="4">
        <v>88.0</v>
      </c>
      <c r="B89" s="5" t="str">
        <f>IFERROR(__xludf.DUMMYFUNCTION("GOOGLETRANSLATE(H89, ""th"", ""en"")"),"You see your trainer getting angry with your training, what do you do?")</f>
        <v>You see your trainer getting angry with your training, what do you do?</v>
      </c>
      <c r="C89" s="5" t="str">
        <f>IFERROR(__xludf.DUMMYFUNCTION("GOOGLETRANSLATE(I89, ""th"", ""en"")"),"A) Ask the trainer for advice on how to improve; B) Let him continue to be angry; C) Avoid training with him; D) Complain about the difficulty.")</f>
        <v>A) Ask the trainer for advice on how to improve; B) Let him continue to be angry; C) Avoid training with him; D) Complain about the difficulty.</v>
      </c>
      <c r="D89" s="5" t="str">
        <f>IFERROR(__xludf.DUMMYFUNCTION("GOOGLETRANSLATE(J89, ""th"", ""en"")"),"A) Ask for advice from the trainer for improvement.")</f>
        <v>A) Ask for advice from the trainer for improvement.</v>
      </c>
      <c r="E89" s="5" t="str">
        <f>IFERROR(__xludf.DUMMYFUNCTION(" GOOGLETRANSLATE(K89, ""th"", ""en"")"),"Asking for advice can help you improve.")</f>
        <v>Asking for advice can help you improve.</v>
      </c>
      <c r="G89" s="6">
        <v>88.0</v>
      </c>
      <c r="H89" s="7" t="s">
        <v>4052</v>
      </c>
      <c r="I89" s="7" t="s">
        <v>4053</v>
      </c>
      <c r="J89" s="7" t="s">
        <v>4020</v>
      </c>
      <c r="K89" s="7" t="s">
        <v>4054</v>
      </c>
    </row>
    <row r="90" ht="14.25" customHeight="1">
      <c r="A90" s="4">
        <v>89.0</v>
      </c>
      <c r="B90" s="5" t="str">
        <f>IFERROR(__xludf.DUMMYFUNCTION("GOOGLETRANSLATE(H90, ""th"", ""en"")"),"During training, you feel that you are not ready for advanced training. What should you do?")</f>
        <v>During training, you feel that you are not ready for advanced training. What should you do?</v>
      </c>
      <c r="C90" s="5" t="str">
        <f>IFERROR(__xludf.DUMMYFUNCTION("GOOGLETRANSLATE(I90, ""th"", ""en"")"),"A) Continue practicing the basic poses; B) Continue practicing the advanced poses; C) Stop practicing; D) Consult the trainer.")</f>
        <v>A) Continue practicing the basic poses; B) Continue practicing the advanced poses; C) Stop practicing; D) Consult the trainer.</v>
      </c>
      <c r="D90" s="5" t="str">
        <f>IFERROR(__xludf.DUMMYFUNCTION("GOOGLETRANSLATE(J90, ""th"", ""en"")"),"A) Let's continue practicing with the basic poses.")</f>
        <v>A) Let's continue practicing with the basic poses.</v>
      </c>
      <c r="E90" s="5" t="str">
        <f>IFERROR(__xludf.DUMMYFUNCTION(" GOOGLETRANSLATE(K90, ""th"", ""en"")"),"Practicing basic postures helps develop agility.")</f>
        <v>Practicing basic postures helps develop agility.</v>
      </c>
      <c r="G90" s="6">
        <v>89.0</v>
      </c>
      <c r="H90" s="7" t="s">
        <v>4055</v>
      </c>
      <c r="I90" s="7" t="s">
        <v>4056</v>
      </c>
      <c r="J90" s="7" t="s">
        <v>4057</v>
      </c>
      <c r="K90" s="7" t="s">
        <v>4058</v>
      </c>
    </row>
    <row r="91" ht="14.25" customHeight="1">
      <c r="A91" s="4">
        <v>90.0</v>
      </c>
      <c r="B91" s="5" t="str">
        <f>IFERROR(__xludf.DUMMYFUNCTION("GOOGLETRANSLATE(H91, ""th"", ""en"")"),"During a race, you feel an old injury coming back to bother you, what do you do?")</f>
        <v>During a race, you feel an old injury coming back to bother you, what do you do?</v>
      </c>
      <c r="C91" s="5" t="str">
        <f>IFERROR(__xludf.DUMMYFUNCTION("GOOGLETRANSLATE(I91, ""th"", ""en"")"),"A) Inform the coach and ask for a break; B) Continue training until the end; C) Ask to stop the match; D) Wait for the coach's decision.")</f>
        <v>A) Inform the coach and ask for a break; B) Continue training until the end; C) Ask to stop the match; D) Wait for the coach's decision.</v>
      </c>
      <c r="D91" s="5" t="str">
        <f>IFERROR(__xludf.DUMMYFUNCTION("GOOGLETRANSLATE(J91, ""th"", ""en"")"),"A) Inform the trainer and request a break.")</f>
        <v>A) Inform the trainer and request a break.</v>
      </c>
      <c r="E91" s="5" t="str">
        <f>IFERROR(__xludf.DUMMYFUNCTION(" GOOGLETRANSLATE(K91, ""th"", ""en"")"),"Notifying the trainer for proper care.")</f>
        <v>Notifying the trainer for proper care.</v>
      </c>
      <c r="G91" s="6">
        <v>90.0</v>
      </c>
      <c r="H91" s="7" t="s">
        <v>4059</v>
      </c>
      <c r="I91" s="7" t="s">
        <v>4060</v>
      </c>
      <c r="J91" s="7" t="s">
        <v>1236</v>
      </c>
      <c r="K91" s="7" t="s">
        <v>4061</v>
      </c>
    </row>
    <row r="92" ht="14.25" customHeight="1">
      <c r="A92" s="4">
        <v>91.0</v>
      </c>
      <c r="B92" s="5" t="str">
        <f>IFERROR(__xludf.DUMMYFUNCTION("GOOGLETRANSLATE(H92, ""th"", ""en"")"),"You see an opponent you lost to in the past, what do you do?")</f>
        <v>You see an opponent you lost to in the past, what do you do?</v>
      </c>
      <c r="C92" s="5" t="str">
        <f>IFERROR(__xludf.DUMMYFUNCTION("GOOGLETRANSLATE(I92, ""th"", ""en"")"),"A) Try to gather information from the previous match to get revenge; B) Play according to the original plan and ignore the disadvantage; C) Avoid clashing with him; D) Train with a better opponent before the match.")</f>
        <v>A) Try to gather information from the previous match to get revenge; B) Play according to the original plan and ignore the disadvantage; C) Avoid clashing with him; D) Train with a better opponent before the match.</v>
      </c>
      <c r="D92" s="5" t="str">
        <f>IFERROR(__xludf.DUMMYFUNCTION("GOOGLETRANSLATE(J92, ""th"", ""en"")"),"A) Try to collect information from the previous time to get revenge.")</f>
        <v>A) Try to collect information from the previous time to get revenge.</v>
      </c>
      <c r="E92" s="5" t="str">
        <f>IFERROR(__xludf.DUMMYFUNCTION(" GOOGLETRANSLATE(K92, ""th"", ""en"")"),"Studying your competitors will help you prepare better.")</f>
        <v>Studying your competitors will help you prepare better.</v>
      </c>
      <c r="G92" s="6">
        <v>91.0</v>
      </c>
      <c r="H92" s="7" t="s">
        <v>4062</v>
      </c>
      <c r="I92" s="7" t="s">
        <v>4063</v>
      </c>
      <c r="J92" s="7" t="s">
        <v>4064</v>
      </c>
      <c r="K92" s="7" t="s">
        <v>4065</v>
      </c>
    </row>
    <row r="93" ht="14.25" customHeight="1">
      <c r="A93" s="4">
        <v>92.0</v>
      </c>
      <c r="B93" s="5" t="str">
        <f>IFERROR(__xludf.DUMMYFUNCTION("GOOGLETRANSLATE(H93, ""th"", ""en"")"),"In training, you make many mistakes. What do you do?")</f>
        <v>In training, you make many mistakes. What do you do?</v>
      </c>
      <c r="C93" s="5" t="str">
        <f>IFERROR(__xludf.DUMMYFUNCTION("GOOGLETRANSLATE(I93, ""th"", ""en"")"),"A) Admit your mistake and ask the trainer for improvement; B) Continue training without correction; C) Stop training; D) Blame yourself.")</f>
        <v>A) Admit your mistake and ask the trainer for improvement; B) Continue training without correction; C) Stop training; D) Blame yourself.</v>
      </c>
      <c r="D93" s="5" t="str">
        <f>IFERROR(__xludf.DUMMYFUNCTION("GOOGLETRANSLATE(J93, ""th"", ""en"")"),"A) Admit your mistakes and ask the trainer for improvements.")</f>
        <v>A) Admit your mistakes and ask the trainer for improvements.</v>
      </c>
      <c r="E93" s="5" t="str">
        <f>IFERROR(__xludf.DUMMYFUNCTION(" GOOGLETRANSLATE(K93, ""th"", ""en"")"),"Accepting and asking for advice helps you improve yourself.")</f>
        <v>Accepting and asking for advice helps you improve yourself.</v>
      </c>
      <c r="G93" s="6">
        <v>92.0</v>
      </c>
      <c r="H93" s="7" t="s">
        <v>4066</v>
      </c>
      <c r="I93" s="7" t="s">
        <v>4067</v>
      </c>
      <c r="J93" s="7" t="s">
        <v>4068</v>
      </c>
      <c r="K93" s="7" t="s">
        <v>4069</v>
      </c>
    </row>
    <row r="94" ht="14.25" customHeight="1">
      <c r="A94" s="4">
        <v>93.0</v>
      </c>
      <c r="B94" s="5" t="str">
        <f>IFERROR(__xludf.DUMMYFUNCTION("GOOGLETRANSLATE(H94, ""th"", ""en"")"),"During the match, you feel that your opponent is getting too close, what do you do?")</f>
        <v>During the match, you feel that your opponent is getting too close, what do you do?</v>
      </c>
      <c r="C94" s="5" t="str">
        <f>IFERROR(__xludf.DUMMYFUNCTION("GOOGLETRANSLATE(I94, ""th"", ""en"")"),"A) Create distance and control the tempo of the fight; B) Counterattack and knock him back; C) Avoid contact; D) Use new techniques to stop him.")</f>
        <v>A) Create distance and control the tempo of the fight; B) Counterattack and knock him back; C) Avoid contact; D) Use new techniques to stop him.</v>
      </c>
      <c r="D94" s="5" t="str">
        <f>IFERROR(__xludf.DUMMYFUNCTION("GOOGLETRANSLATE(J94, ""th"", ""en"")"),"A) Create distance and control the rhythm of the fight.")</f>
        <v>A) Create distance and control the rhythm of the fight.</v>
      </c>
      <c r="E94" s="5" t="str">
        <f>IFERROR(__xludf.DUMMYFUNCTION(" GOOGLETRANSLATE(K94, ""th"", ""en"")"),"Controlling your tempo allows you to better manage the situation.")</f>
        <v>Controlling your tempo allows you to better manage the situation.</v>
      </c>
      <c r="G94" s="6">
        <v>93.0</v>
      </c>
      <c r="H94" s="7" t="s">
        <v>4070</v>
      </c>
      <c r="I94" s="7" t="s">
        <v>4071</v>
      </c>
      <c r="J94" s="7" t="s">
        <v>4072</v>
      </c>
      <c r="K94" s="7" t="s">
        <v>4073</v>
      </c>
    </row>
    <row r="95" ht="14.25" customHeight="1">
      <c r="A95" s="4">
        <v>94.0</v>
      </c>
      <c r="B95" s="5" t="str">
        <f>IFERROR(__xludf.DUMMYFUNCTION("GOOGLETRANSLATE(H95, ""th"", ""en"")"),"During training, you feel a slight injury that prevents you from moving normally. What should you do?")</f>
        <v>During training, you feel a slight injury that prevents you from moving normally. What should you do?</v>
      </c>
      <c r="C95" s="5" t="str">
        <f>IFERROR(__xludf.DUMMYFUNCTION("GOOGLETRANSLATE(I95, ""th"", ""en"")"),"A) Inform the trainer and ask to stop training; B) Stop training without telling anyone; C) Continue training until the injury heals; D) Abandon training altogether.")</f>
        <v>A) Inform the trainer and ask to stop training; B) Stop training without telling anyone; C) Continue training until the injury heals; D) Abandon training altogether.</v>
      </c>
      <c r="D95" s="5" t="str">
        <f>IFERROR(__xludf.DUMMYFUNCTION("GOOGLETRANSLATE(J95, ""th"", ""en"")"),"A) Inform the trainer and request to stop training.")</f>
        <v>A) Inform the trainer and request to stop training.</v>
      </c>
      <c r="E95" s="5" t="str">
        <f>IFERROR(__xludf.DUMMYFUNCTION(" GOOGLETRANSLATE(K95, ""th"", ""en"")"),"Notifying your trainer will help ensure you receive proper care.")</f>
        <v>Notifying your trainer will help ensure you receive proper care.</v>
      </c>
      <c r="G95" s="6">
        <v>94.0</v>
      </c>
      <c r="H95" s="7" t="s">
        <v>4074</v>
      </c>
      <c r="I95" s="7" t="s">
        <v>4075</v>
      </c>
      <c r="J95" s="7" t="s">
        <v>3996</v>
      </c>
      <c r="K95" s="7" t="s">
        <v>4076</v>
      </c>
    </row>
    <row r="96" ht="14.25" customHeight="1">
      <c r="A96" s="4">
        <v>95.0</v>
      </c>
      <c r="B96" s="5" t="str">
        <f>IFERROR(__xludf.DUMMYFUNCTION("GOOGLETRANSLATE(H96, ""th"", ""en"")"),"During training, you feel that the exercises are not going as expected. What should you do?")</f>
        <v>During training, you feel that the exercises are not going as expected. What should you do?</v>
      </c>
      <c r="C96" s="5" t="str">
        <f>IFERROR(__xludf.DUMMYFUNCTION("GOOGLETRANSLATE(I96, ""th"", ""en"")"),"A) Ask for advice from a trainer; B) Avoid practicing that pose; C) Continue practicing as usual; D) Adjust the pose yourself.")</f>
        <v>A) Ask for advice from a trainer; B) Avoid practicing that pose; C) Continue practicing as usual; D) Adjust the pose yourself.</v>
      </c>
      <c r="D96" s="5" t="str">
        <f>IFERROR(__xludf.DUMMYFUNCTION("GOOGLETRANSLATE(J96, ""th"", ""en"")"),"A) Ask for advice from the trainer.")</f>
        <v>A) Ask for advice from the trainer.</v>
      </c>
      <c r="E96" s="5" t="str">
        <f>IFERROR(__xludf.DUMMYFUNCTION(" GOOGLETRANSLATE(K96, ""th"", ""en"")"),"Asking for advice can help you improve your exercises.")</f>
        <v>Asking for advice can help you improve your exercises.</v>
      </c>
      <c r="G96" s="6">
        <v>95.0</v>
      </c>
      <c r="H96" s="7" t="s">
        <v>4077</v>
      </c>
      <c r="I96" s="7" t="s">
        <v>4078</v>
      </c>
      <c r="J96" s="7" t="s">
        <v>284</v>
      </c>
      <c r="K96" s="7" t="s">
        <v>4079</v>
      </c>
    </row>
    <row r="97" ht="14.25" customHeight="1">
      <c r="A97" s="4">
        <v>96.0</v>
      </c>
      <c r="B97" s="5" t="str">
        <f>IFERROR(__xludf.DUMMYFUNCTION("GOOGLETRANSLATE(H97, ""th"", ""en"")"),"During the competition, you feel like you are starting to gain an advantage. What do you do?")</f>
        <v>During the competition, you feel like you are starting to gain an advantage. What do you do?</v>
      </c>
      <c r="C97" s="5" t="str">
        <f>IFERROR(__xludf.DUMMYFUNCTION("GOOGLETRANSLATE(I97, ""th"", ""en"")"),"A) Make full use of your advantage and speed up the game; B) Slow down and play sparingly; C) Observe your opponent's movements and react; D) Control the tempo and don't rush.")</f>
        <v>A) Make full use of your advantage and speed up the game; B) Slow down and play sparingly; C) Observe your opponent's movements and react; D) Control the tempo and don't rush.</v>
      </c>
      <c r="D97" s="5" t="str">
        <f>IFERROR(__xludf.DUMMYFUNCTION("GOOGLETRANSLATE(J97, ""th"", ""en"")"),"D) Control the pace and don't rush.")</f>
        <v>D) Control the pace and don't rush.</v>
      </c>
      <c r="E97" s="5" t="str">
        <f>IFERROR(__xludf.DUMMYFUNCTION(" GOOGLETRANSLATE(K97, ""th"", ""en"")"),"Controlling the tempo allows you to maintain a good advantage.")</f>
        <v>Controlling the tempo allows you to maintain a good advantage.</v>
      </c>
      <c r="G97" s="6">
        <v>96.0</v>
      </c>
      <c r="H97" s="7" t="s">
        <v>4080</v>
      </c>
      <c r="I97" s="7" t="s">
        <v>4081</v>
      </c>
      <c r="J97" s="7" t="s">
        <v>4082</v>
      </c>
      <c r="K97" s="7" t="s">
        <v>4083</v>
      </c>
    </row>
    <row r="98" ht="14.25" customHeight="1">
      <c r="A98" s="4">
        <v>97.0</v>
      </c>
      <c r="B98" s="5" t="str">
        <f>IFERROR(__xludf.DUMMYFUNCTION("GOOGLETRANSLATE(H98, ""th"", ""en"")"),"During training, you feel that your performance is not as good as it should be. What should you do?")</f>
        <v>During training, you feel that your performance is not as good as it should be. What should you do?</v>
      </c>
      <c r="C98" s="5" t="str">
        <f>IFERROR(__xludf.DUMMYFUNCTION("GOOGLETRANSLATE(I98, ""th"", ""en"")"),"A) Ask the trainer for advice on how to improve; B) Avoid practicing the exercise; C) Complain about the difficulty; D) Stop practicing.")</f>
        <v>A) Ask the trainer for advice on how to improve; B) Avoid practicing the exercise; C) Complain about the difficulty; D) Stop practicing.</v>
      </c>
      <c r="D98" s="5" t="str">
        <f>IFERROR(__xludf.DUMMYFUNCTION("GOOGLETRANSLATE(J98, ""th"", ""en"")"),"A) Ask for advice from the trainer for improvement.")</f>
        <v>A) Ask for advice from the trainer for improvement.</v>
      </c>
      <c r="E98" s="5" t="str">
        <f>IFERROR(__xludf.DUMMYFUNCTION(" GOOGLETRANSLATE(K98, ""th"", ""en"")"),"Seeking advice from a trainer can help you improve your skills.")</f>
        <v>Seeking advice from a trainer can help you improve your skills.</v>
      </c>
      <c r="G98" s="6">
        <v>97.0</v>
      </c>
      <c r="H98" s="7" t="s">
        <v>4084</v>
      </c>
      <c r="I98" s="7" t="s">
        <v>4085</v>
      </c>
      <c r="J98" s="7" t="s">
        <v>4020</v>
      </c>
      <c r="K98" s="7" t="s">
        <v>4086</v>
      </c>
    </row>
    <row r="99" ht="14.25" customHeight="1">
      <c r="A99" s="4">
        <v>98.0</v>
      </c>
      <c r="B99" s="5" t="str">
        <f>IFERROR(__xludf.DUMMYFUNCTION("GOOGLETRANSLATE(H99, ""th"", ""en"")"),"During the match, you feel that your opponent is likely to win. What should you do?")</f>
        <v>During the match, you feel that your opponent is likely to win. What should you do?</v>
      </c>
      <c r="C99" s="5" t="str">
        <f>IFERROR(__xludf.DUMMYFUNCTION("GOOGLETRANSLATE(I99, ""th"", ""en"")"),"A) Control the tempo and wait for the right opportunity; B) Try to attack immediately to score; C) Notice and exploit his weaknesses; D) Try to tire him out.")</f>
        <v>A) Control the tempo and wait for the right opportunity; B) Try to attack immediately to score; C) Notice and exploit his weaknesses; D) Try to tire him out.</v>
      </c>
      <c r="D99" s="5" t="str">
        <f>IFERROR(__xludf.DUMMYFUNCTION("GOOGLETRANSLATE(J99, ""th"", ""en"")"),"A) Control the tempo and wait for the right opportunity.")</f>
        <v>A) Control the tempo and wait for the right opportunity.</v>
      </c>
      <c r="E99" s="5" t="str">
        <f>IFERROR(__xludf.DUMMYFUNCTION(" GOOGLETRANSLATE(K99, ""th"", ""en"")"),"Controlling the tempo allows you to maintain an advantage.")</f>
        <v>Controlling the tempo allows you to maintain an advantage.</v>
      </c>
      <c r="G99" s="6">
        <v>98.0</v>
      </c>
      <c r="H99" s="7" t="s">
        <v>4087</v>
      </c>
      <c r="I99" s="7" t="s">
        <v>4088</v>
      </c>
      <c r="J99" s="7" t="s">
        <v>4089</v>
      </c>
      <c r="K99" s="7" t="s">
        <v>4090</v>
      </c>
    </row>
    <row r="100" ht="14.25" customHeight="1">
      <c r="A100" s="4">
        <v>99.0</v>
      </c>
      <c r="B100" s="5" t="str">
        <f>IFERROR(__xludf.DUMMYFUNCTION("GOOGLETRANSLATE(H100, ""th"", ""en"")"),"During training, you feel like you make a lot of mistakes. What do you do?")</f>
        <v>During training, you feel like you make a lot of mistakes. What do you do?</v>
      </c>
      <c r="C100" s="5" t="str">
        <f>IFERROR(__xludf.DUMMYFUNCTION("GOOGLETRANSLATE(I100, ""th"", ""en"")"),"A) Admit the mistake and consult the trainer; B) Continue training without correcting it; C) Stop training; D) Blame yourself.")</f>
        <v>A) Admit the mistake and consult the trainer; B) Continue training without correcting it; C) Stop training; D) Blame yourself.</v>
      </c>
      <c r="D100" s="5" t="str">
        <f>IFERROR(__xludf.DUMMYFUNCTION("GOOGLETRANSLATE(J100, ""th"", ""en"")"),"A) Admit your mistakes and consult your trainer.")</f>
        <v>A) Admit your mistakes and consult your trainer.</v>
      </c>
      <c r="E100" s="5" t="str">
        <f>IFERROR(__xludf.DUMMYFUNCTION(" GOOGLETRANSLATE(K100, ""th"", ""en"")"),"Consulting a trainer can help you improve.")</f>
        <v>Consulting a trainer can help you improve.</v>
      </c>
      <c r="G100" s="6">
        <v>99.0</v>
      </c>
      <c r="H100" s="7" t="s">
        <v>4091</v>
      </c>
      <c r="I100" s="7" t="s">
        <v>4092</v>
      </c>
      <c r="J100" s="7" t="s">
        <v>4093</v>
      </c>
      <c r="K100" s="7" t="s">
        <v>4094</v>
      </c>
    </row>
    <row r="101" ht="14.25" customHeight="1">
      <c r="A101" s="4">
        <v>100.0</v>
      </c>
      <c r="B101" s="5" t="str">
        <f>IFERROR(__xludf.DUMMYFUNCTION("GOOGLETRANSLATE(H101, ""th"", ""en"")"),"During a competition, you find that your opponent is starting to put pressure on you. What do you do?")</f>
        <v>During a competition, you find that your opponent is starting to put pressure on you. What do you do?</v>
      </c>
      <c r="C101" s="5" t="str">
        <f>IFERROR(__xludf.DUMMYFUNCTION("GOOGLETRANSLATE(I101, ""th"", ""en"")"),"A) Control your breathing and stay calm; B) Attack immediately to score; C) Complain about the pressure; D) Fail to control your emotions.")</f>
        <v>A) Control your breathing and stay calm; B) Attack immediately to score; C) Complain about the pressure; D) Fail to control your emotions.</v>
      </c>
      <c r="D101" s="5" t="str">
        <f>IFERROR(__xludf.DUMMYFUNCTION("GOOGLETRANSLATE(J101, ""th"", ""en"")"),"A) Control your breathing and maintain calmness.")</f>
        <v>A) Control your breathing and maintain calmness.</v>
      </c>
      <c r="E101" s="5" t="str">
        <f>IFERROR(__xludf.DUMMYFUNCTION(" GOOGLETRANSLATE(K101, ""th"", ""en"")"),"Keeping calm allows you to take better control of the situation.")</f>
        <v>Keeping calm allows you to take better control of the situation.</v>
      </c>
      <c r="G101" s="6">
        <v>100.0</v>
      </c>
      <c r="H101" s="7" t="s">
        <v>4095</v>
      </c>
      <c r="I101" s="7" t="s">
        <v>4096</v>
      </c>
      <c r="J101" s="7" t="s">
        <v>4097</v>
      </c>
      <c r="K101" s="7" t="s">
        <v>4098</v>
      </c>
    </row>
    <row r="102" ht="14.25" customHeight="1">
      <c r="A102" s="4">
        <v>101.0</v>
      </c>
      <c r="B102" s="5" t="str">
        <f>IFERROR(__xludf.DUMMYFUNCTION("GOOGLETRANSLATE(H102, ""th"", ""en"")"),"In a Muay Thai match, you find that the referee has made the wrong decision. What will you do?")</f>
        <v>In a Muay Thai match, you find that the referee has made the wrong decision. What will you do?</v>
      </c>
      <c r="C102" s="5" t="str">
        <f>IFERROR(__xludf.DUMMYFUNCTION("GOOGLETRANSLATE(I102, ""th"", ""en"")"),"A) Immediately inform the referee; B) Ignore it and continue playing; C) Let it go; D) Blame the referee.")</f>
        <v>A) Immediately inform the referee; B) Ignore it and continue playing; C) Let it go; D) Blame the referee.</v>
      </c>
      <c r="D102" s="5" t="str">
        <f>IFERROR(__xludf.DUMMYFUNCTION("GOOGLETRANSLATE(J102, ""th"", ""en"")"),"A) Notify the referee immediately.")</f>
        <v>A) Notify the referee immediately.</v>
      </c>
      <c r="E102" s="5" t="str">
        <f>IFERROR(__xludf.DUMMYFUNCTION(" GOOGLETRANSLATE(K102, ""th"", ""en"")"),"Informing the referee makes the match result correct.")</f>
        <v>Informing the referee makes the match result correct.</v>
      </c>
      <c r="G102" s="6">
        <v>101.0</v>
      </c>
      <c r="H102" s="7" t="s">
        <v>4099</v>
      </c>
      <c r="I102" s="7" t="s">
        <v>4100</v>
      </c>
      <c r="J102" s="7" t="s">
        <v>3857</v>
      </c>
      <c r="K102" s="7" t="s">
        <v>4101</v>
      </c>
    </row>
    <row r="103" ht="14.25" customHeight="1">
      <c r="A103" s="4">
        <v>102.0</v>
      </c>
      <c r="B103" s="5" t="str">
        <f>IFERROR(__xludf.DUMMYFUNCTION("GOOGLETRANSLATE(H103, ""th"", ""en"")"),"During training, you feel an injury flare up, what do you do?")</f>
        <v>During training, you feel an injury flare up, what do you do?</v>
      </c>
      <c r="C103" s="5" t="str">
        <f>IFERROR(__xludf.DUMMYFUNCTION("GOOGLETRANSLATE(I103, ""th"", ""en"")"),"A) Stop practicing and inform the trainer; B) Continue practicing until finished; C) Avoid doing exercises that cause pain; D) Consult the trainer immediately.")</f>
        <v>A) Stop practicing and inform the trainer; B) Continue practicing until finished; C) Avoid doing exercises that cause pain; D) Consult the trainer immediately.</v>
      </c>
      <c r="D103" s="5" t="str">
        <f>IFERROR(__xludf.DUMMYFUNCTION("GOOGLETRANSLATE(J103, ""th"", ""en"")"),"A) Stop training and inform the trainer.")</f>
        <v>A) Stop training and inform the trainer.</v>
      </c>
      <c r="E103" s="5" t="str">
        <f>IFERROR(__xludf.DUMMYFUNCTION(" GOOGLETRANSLATE(K103, ""th"", ""en"")"),"Taking a break from training allows you to receive proper care.")</f>
        <v>Taking a break from training allows you to receive proper care.</v>
      </c>
      <c r="G103" s="6">
        <v>102.0</v>
      </c>
      <c r="H103" s="7" t="s">
        <v>4102</v>
      </c>
      <c r="I103" s="7" t="s">
        <v>4103</v>
      </c>
      <c r="J103" s="7" t="s">
        <v>4104</v>
      </c>
      <c r="K103" s="7" t="s">
        <v>4105</v>
      </c>
    </row>
    <row r="104" ht="14.25" customHeight="1">
      <c r="A104" s="4">
        <v>103.0</v>
      </c>
      <c r="B104" s="5" t="str">
        <f>IFERROR(__xludf.DUMMYFUNCTION("GOOGLETRANSLATE(H104, ""th"", ""en"")"),"You have a competitor who has beaten you before in a competition. What do you do?")</f>
        <v>You have a competitor who has beaten you before in a competition. What do you do?</v>
      </c>
      <c r="C104" s="5" t="str">
        <f>IFERROR(__xludf.DUMMYFUNCTION("GOOGLETRANSLATE(I104, ""th"", ""en"")"),"A) Try to learn how to win and prepare better; B) Ignore him and play according to the original plan; C) Avoid clashing with him; D) Train with better training partners.")</f>
        <v>A) Try to learn how to win and prepare better; B) Ignore him and play according to the original plan; C) Avoid clashing with him; D) Train with better training partners.</v>
      </c>
      <c r="D104" s="5" t="str">
        <f>IFERROR(__xludf.DUMMYFUNCTION("GOOGLETRANSLATE(J104, ""th"", ""en"")"),"A) Try to learn how to win and prepare better.")</f>
        <v>A) Try to learn how to win and prepare better.</v>
      </c>
      <c r="E104" s="5" t="str">
        <f>IFERROR(__xludf.DUMMYFUNCTION(" GOOGLETRANSLATE(K104, ""th"", ""en"")"),"Studying your competitors helps you prepare better.")</f>
        <v>Studying your competitors helps you prepare better.</v>
      </c>
      <c r="G104" s="6">
        <v>103.0</v>
      </c>
      <c r="H104" s="7" t="s">
        <v>4106</v>
      </c>
      <c r="I104" s="7" t="s">
        <v>4107</v>
      </c>
      <c r="J104" s="7" t="s">
        <v>4108</v>
      </c>
      <c r="K104" s="7" t="s">
        <v>4109</v>
      </c>
    </row>
    <row r="105" ht="14.25" customHeight="1">
      <c r="A105" s="4">
        <v>104.0</v>
      </c>
      <c r="B105" s="5" t="str">
        <f>IFERROR(__xludf.DUMMYFUNCTION("GOOGLETRANSLATE(H105, ""th"", ""en"")"),"During your training, you find that the poses you are practicing are too difficult. What should you do?")</f>
        <v>During your training, you find that the poses you are practicing are too difficult. What should you do?</v>
      </c>
      <c r="C105" s="5" t="str">
        <f>IFERROR(__xludf.DUMMYFUNCTION("GOOGLETRANSLATE(I105, ""th"", ""en"")"),"A) Ask the trainer for advice on how to improve the pose; B) Stop practicing; C) Continue practicing until you can do it; D) Complain about the difficulty.")</f>
        <v>A) Ask the trainer for advice on how to improve the pose; B) Stop practicing; C) Continue practicing until you can do it; D) Complain about the difficulty.</v>
      </c>
      <c r="D105" s="5" t="str">
        <f>IFERROR(__xludf.DUMMYFUNCTION("GOOGLETRANSLATE(J105, ""th"", ""en"")"),"A) Ask for advice from the trainer to improve your posture.")</f>
        <v>A) Ask for advice from the trainer to improve your posture.</v>
      </c>
      <c r="E105" s="5" t="str">
        <f>IFERROR(__xludf.DUMMYFUNCTION(" GOOGLETRANSLATE(K105, ""th"", ""en"")"),"Asking for advice can help you improve your skills.")</f>
        <v>Asking for advice can help you improve your skills.</v>
      </c>
      <c r="G105" s="6">
        <v>104.0</v>
      </c>
      <c r="H105" s="7" t="s">
        <v>4110</v>
      </c>
      <c r="I105" s="7" t="s">
        <v>4111</v>
      </c>
      <c r="J105" s="7" t="s">
        <v>4112</v>
      </c>
      <c r="K105" s="7" t="s">
        <v>4113</v>
      </c>
    </row>
    <row r="106" ht="14.25" customHeight="1">
      <c r="A106" s="4">
        <v>105.0</v>
      </c>
      <c r="B106" s="5" t="str">
        <f>IFERROR(__xludf.DUMMYFUNCTION("GOOGLETRANSLATE(H106, ""th"", ""en"")"),"In a competition, you see your opponent using a new strategy that you have never encountered before. What do you do?")</f>
        <v>In a competition, you see your opponent using a new strategy that you have never encountered before. What do you do?</v>
      </c>
      <c r="C106" s="5" t="str">
        <f>IFERROR(__xludf.DUMMYFUNCTION("GOOGLETRANSLATE(I106, ""th"", ""en"")"),"A) Study the strategy and adapt to it; B) Avoid fighting; C) Stick to the original plan; D) Wait for the opponent to make a mistake.")</f>
        <v>A) Study the strategy and adapt to it; B) Avoid fighting; C) Stick to the original plan; D) Wait for the opponent to make a mistake.</v>
      </c>
      <c r="D106" s="5" t="str">
        <f>IFERROR(__xludf.DUMMYFUNCTION("GOOGLETRANSLATE(J106, ""th"", ""en"")"),"A) Study strategies and adapt to them.")</f>
        <v>A) Study strategies and adapt to them.</v>
      </c>
      <c r="E106" s="5" t="str">
        <f>IFERROR(__xludf.DUMMYFUNCTION(" GOOGLETRANSLATE(K106, ""th"", ""en"")"),"Adaptability allows you to cope with new strategies.")</f>
        <v>Adaptability allows you to cope with new strategies.</v>
      </c>
      <c r="G106" s="6">
        <v>105.0</v>
      </c>
      <c r="H106" s="7" t="s">
        <v>4114</v>
      </c>
      <c r="I106" s="7" t="s">
        <v>4115</v>
      </c>
      <c r="J106" s="7" t="s">
        <v>4116</v>
      </c>
      <c r="K106" s="7" t="s">
        <v>4117</v>
      </c>
    </row>
    <row r="107" ht="14.25" customHeight="1">
      <c r="A107" s="4">
        <v>106.0</v>
      </c>
      <c r="B107" s="5" t="str">
        <f>IFERROR(__xludf.DUMMYFUNCTION("GOOGLETRANSLATE(H107, ""th"", ""en"")"),"During the competition, you feel your body is starting to feel tired, what do you do?")</f>
        <v>During the competition, you feel your body is starting to feel tired, what do you do?</v>
      </c>
      <c r="C107" s="5" t="str">
        <f>IFERROR(__xludf.DUMMYFUNCTION("GOOGLETRANSLATE(I107, ""th"", ""en"")"),"A) Slow down and try to control the pace of the game; B) Speed ​​up to score; C) Stop the game immediately; D) Continue practicing without stopping.")</f>
        <v>A) Slow down and try to control the pace of the game; B) Speed ​​up to score; C) Stop the game immediately; D) Continue practicing without stopping.</v>
      </c>
      <c r="D107" s="5" t="str">
        <f>IFERROR(__xludf.DUMMYFUNCTION("GOOGLETRANSLATE(J107, ""th"", ""en"")"),"A) Reduce speed and try to control the pace of the race.")</f>
        <v>A) Reduce speed and try to control the pace of the race.</v>
      </c>
      <c r="E107" s="5" t="str">
        <f>IFERROR(__xludf.DUMMYFUNCTION(" GOOGLETRANSLATE(K107, ""th"", ""en"")"),"Controlling your tempo helps you maintain your competitive energy.")</f>
        <v>Controlling your tempo helps you maintain your competitive energy.</v>
      </c>
      <c r="G107" s="6">
        <v>106.0</v>
      </c>
      <c r="H107" s="7" t="s">
        <v>4118</v>
      </c>
      <c r="I107" s="7" t="s">
        <v>4119</v>
      </c>
      <c r="J107" s="7" t="s">
        <v>4120</v>
      </c>
      <c r="K107" s="7" t="s">
        <v>4121</v>
      </c>
    </row>
    <row r="108" ht="14.25" customHeight="1">
      <c r="A108" s="4">
        <v>107.0</v>
      </c>
      <c r="B108" s="5" t="str">
        <f>IFERROR(__xludf.DUMMYFUNCTION("GOOGLETRANSLATE(H108, ""th"", ""en"")"),"During training, you feel that you are developing your skills slowly. What should you do?")</f>
        <v>During training, you feel that you are developing your skills slowly. What should you do?</v>
      </c>
      <c r="C108" s="5" t="str">
        <f>IFERROR(__xludf.DUMMYFUNCTION("GOOGLETRANSLATE(I108, ""th"", ""en"")"),"A) Consult a trainer to find a suitable training plan; B) Stop training; C) Train harder; D) Complain about the difficulty.")</f>
        <v>A) Consult a trainer to find a suitable training plan; B) Stop training; C) Train harder; D) Complain about the difficulty.</v>
      </c>
      <c r="D108" s="5" t="str">
        <f>IFERROR(__xludf.DUMMYFUNCTION("GOOGLETRANSLATE(J108, ""th"", ""en"")"),"A) Consult with your trainer to find the right training method.")</f>
        <v>A) Consult with your trainer to find the right training method.</v>
      </c>
      <c r="E108" s="5" t="str">
        <f>IFERROR(__xludf.DUMMYFUNCTION(" GOOGLETRANSLATE(K108, ""th"", ""en"")"),"Consulting a trainer can help you improve faster.")</f>
        <v>Consulting a trainer can help you improve faster.</v>
      </c>
      <c r="G108" s="6">
        <v>107.0</v>
      </c>
      <c r="H108" s="7" t="s">
        <v>4122</v>
      </c>
      <c r="I108" s="7" t="s">
        <v>4123</v>
      </c>
      <c r="J108" s="7" t="s">
        <v>4124</v>
      </c>
      <c r="K108" s="7" t="s">
        <v>4125</v>
      </c>
    </row>
    <row r="109" ht="14.25" customHeight="1">
      <c r="A109" s="4">
        <v>108.0</v>
      </c>
      <c r="B109" s="5" t="str">
        <f>IFERROR(__xludf.DUMMYFUNCTION("GOOGLETRANSLATE(H109, ""th"", ""en"")"),"You see your teammates making mistakes multiple times in practice. What do you do?")</f>
        <v>You see your teammates making mistakes multiple times in practice. What do you do?</v>
      </c>
      <c r="C109" s="5" t="str">
        <f>IFERROR(__xludf.DUMMYFUNCTION("GOOGLETRANSLATE(I109, ""th"", ""en"")"),"A) Help and advise him politely; B) reprimand him in front of others; C) ignore him and continue training; D) avoid training with him.")</f>
        <v>A) Help and advise him politely; B) reprimand him in front of others; C) ignore him and continue training; D) avoid training with him.</v>
      </c>
      <c r="D109" s="5" t="str">
        <f>IFERROR(__xludf.DUMMYFUNCTION("GOOGLETRANSLATE(J109, ""th"", ""en"")"),"A) Help and advise him politely.")</f>
        <v>A) Help and advise him politely.</v>
      </c>
      <c r="E109" s="5" t="str">
        <f>IFERROR(__xludf.DUMMYFUNCTION(" GOOGLETRANSLATE(K109, ""th"", ""en"")"),"Helping your teammates helps build unity.")</f>
        <v>Helping your teammates helps build unity.</v>
      </c>
      <c r="G109" s="6">
        <v>108.0</v>
      </c>
      <c r="H109" s="7" t="s">
        <v>4126</v>
      </c>
      <c r="I109" s="7" t="s">
        <v>4127</v>
      </c>
      <c r="J109" s="7" t="s">
        <v>4128</v>
      </c>
      <c r="K109" s="7" t="s">
        <v>4129</v>
      </c>
    </row>
    <row r="110" ht="14.25" customHeight="1">
      <c r="A110" s="4">
        <v>109.0</v>
      </c>
      <c r="B110" s="5" t="str">
        <f>IFERROR(__xludf.DUMMYFUNCTION("GOOGLETRANSLATE(H110, ""th"", ""en"")"),"During training, you find that your movement is still not good. What should you do?")</f>
        <v>During training, you find that your movement is still not good. What should you do?</v>
      </c>
      <c r="C110" s="5" t="str">
        <f>IFERROR(__xludf.DUMMYFUNCTION("GOOGLETRANSLATE(I110, ""th"", ""en"")"),"A) Ask the trainer for advice on how to improve; B) Avoid doing the exercise; C) Continue until you can do it; D) Complain about the difficulty.")</f>
        <v>A) Ask the trainer for advice on how to improve; B) Avoid doing the exercise; C) Continue until you can do it; D) Complain about the difficulty.</v>
      </c>
      <c r="D110" s="5" t="str">
        <f>IFERROR(__xludf.DUMMYFUNCTION("GOOGLETRANSLATE(J110, ""th"", ""en"")"),"A) Ask for advice from the trainer for improvement.")</f>
        <v>A) Ask for advice from the trainer for improvement.</v>
      </c>
      <c r="E110" s="5" t="str">
        <f>IFERROR(__xludf.DUMMYFUNCTION(" GOOGLETRANSLATE(K110, ""th"", ""en"")"),"Asking for advice can help you develop your skills.")</f>
        <v>Asking for advice can help you develop your skills.</v>
      </c>
      <c r="G110" s="6">
        <v>109.0</v>
      </c>
      <c r="H110" s="7" t="s">
        <v>4130</v>
      </c>
      <c r="I110" s="7" t="s">
        <v>4131</v>
      </c>
      <c r="J110" s="7" t="s">
        <v>4020</v>
      </c>
      <c r="K110" s="7" t="s">
        <v>4132</v>
      </c>
    </row>
    <row r="111" ht="14.25" customHeight="1">
      <c r="A111" s="4">
        <v>110.0</v>
      </c>
      <c r="B111" s="5" t="str">
        <f>IFERROR(__xludf.DUMMYFUNCTION("GOOGLETRANSLATE(H111, ""th"", ""en"")"),"During a match, you see your opponent getting tired, what do you do?")</f>
        <v>During a match, you see your opponent getting tired, what do you do?</v>
      </c>
      <c r="C111" s="5" t="str">
        <f>IFERROR(__xludf.DUMMYFUNCTION("GOOGLETRANSLATE(I111, ""th"", ""en"")"),"A) Speed ​​up the game and take advantage; B) Slow down and wait for the right moment; C) Observe his movements; D) Stop playing.")</f>
        <v>A) Speed ​​up the game and take advantage; B) Slow down and wait for the right moment; C) Observe his movements; D) Stop playing.</v>
      </c>
      <c r="D111" s="5" t="str">
        <f>IFERROR(__xludf.DUMMYFUNCTION("GOOGLETRANSLATE(J111, ""th"", ""en"")"),"A) Speed ​​up the game and take advantage.")</f>
        <v>A) Speed ​​up the game and take advantage.</v>
      </c>
      <c r="E111" s="5" t="str">
        <f>IFERROR(__xludf.DUMMYFUNCTION(" GOOGLETRANSLATE(K111, ""th"", ""en"")"),"Using your advantage allows you to control the competition.")</f>
        <v>Using your advantage allows you to control the competition.</v>
      </c>
      <c r="G111" s="6">
        <v>110.0</v>
      </c>
      <c r="H111" s="7" t="s">
        <v>4133</v>
      </c>
      <c r="I111" s="7" t="s">
        <v>4134</v>
      </c>
      <c r="J111" s="7" t="s">
        <v>4135</v>
      </c>
      <c r="K111" s="7" t="s">
        <v>4136</v>
      </c>
    </row>
    <row r="112" ht="14.25" customHeight="1">
      <c r="A112" s="4">
        <v>111.0</v>
      </c>
      <c r="B112" s="5" t="str">
        <f>IFERROR(__xludf.DUMMYFUNCTION("GOOGLETRANSLATE(H112, ""th"", ""en"")"),"During a match, you find your opponent changing tactics. What do you do?")</f>
        <v>During a match, you find your opponent changing tactics. What do you do?</v>
      </c>
      <c r="C112" s="5" t="str">
        <f>IFERROR(__xludf.DUMMYFUNCTION("GOOGLETRANSLATE(I112, ""th"", ""en"")"),"A) Adjust your strategy to the situation; B) Play according to your original plan; C) Observe your opponent's moves; D) Stop the match.")</f>
        <v>A) Adjust your strategy to the situation; B) Play according to your original plan; C) Observe your opponent's moves; D) Stop the match.</v>
      </c>
      <c r="D112" s="5" t="str">
        <f>IFERROR(__xludf.DUMMYFUNCTION("GOOGLETRANSLATE(J112, ""th"", ""en"")"),"A) Adjust your strategy to suit the situation.")</f>
        <v>A) Adjust your strategy to suit the situation.</v>
      </c>
      <c r="E112" s="5" t="str">
        <f>IFERROR(__xludf.DUMMYFUNCTION(" GOOGLETRANSLATE(K112, ""th"", ""en"")"),"Adjusting your strategy allows you to respond better.")</f>
        <v>Adjusting your strategy allows you to respond better.</v>
      </c>
      <c r="G112" s="6">
        <v>111.0</v>
      </c>
      <c r="H112" s="7" t="s">
        <v>4137</v>
      </c>
      <c r="I112" s="7" t="s">
        <v>4138</v>
      </c>
      <c r="J112" s="7" t="s">
        <v>4139</v>
      </c>
      <c r="K112" s="7" t="s">
        <v>4140</v>
      </c>
    </row>
    <row r="113" ht="14.25" customHeight="1">
      <c r="A113" s="4">
        <v>112.0</v>
      </c>
      <c r="B113" s="5" t="str">
        <f>IFERROR(__xludf.DUMMYFUNCTION("GOOGLETRANSLATE(H113, ""th"", ""en"")"),"During the competition, you feel an old injury coming back. What do you do?")</f>
        <v>During the competition, you feel an old injury coming back. What do you do?</v>
      </c>
      <c r="C113" s="5" t="str">
        <f>IFERROR(__xludf.DUMMYFUNCTION("GOOGLETRANSLATE(I113, ""th"", ""en"")"),"A) Inform the coach and ask for a break; B) Continue training until the end of the match; C) Avoid doing any exercises that cause pain; D) Stop playing immediately.")</f>
        <v>A) Inform the coach and ask for a break; B) Continue training until the end of the match; C) Avoid doing any exercises that cause pain; D) Stop playing immediately.</v>
      </c>
      <c r="D113" s="5" t="str">
        <f>IFERROR(__xludf.DUMMYFUNCTION("GOOGLETRANSLATE(J113, ""th"", ""en"")"),"A) Inform the trainer and request a break.")</f>
        <v>A) Inform the trainer and request a break.</v>
      </c>
      <c r="E113" s="5" t="str">
        <f>IFERROR(__xludf.DUMMYFUNCTION(" GOOGLETRANSLATE(K113, ""th"", ""en"")"),"Notifying your trainer will help ensure you receive proper care.")</f>
        <v>Notifying your trainer will help ensure you receive proper care.</v>
      </c>
      <c r="G113" s="6">
        <v>112.0</v>
      </c>
      <c r="H113" s="7" t="s">
        <v>4141</v>
      </c>
      <c r="I113" s="7" t="s">
        <v>4142</v>
      </c>
      <c r="J113" s="7" t="s">
        <v>1236</v>
      </c>
      <c r="K113" s="7" t="s">
        <v>4076</v>
      </c>
    </row>
    <row r="114" ht="14.25" customHeight="1">
      <c r="A114" s="4">
        <v>113.0</v>
      </c>
      <c r="B114" s="5" t="str">
        <f>IFERROR(__xludf.DUMMYFUNCTION("GOOGLETRANSLATE(H114, ""th"", ""en"")"),"During training, you feel that certain exercises make you feel unsure. What should you do?")</f>
        <v>During training, you feel that certain exercises make you feel unsure. What should you do?</v>
      </c>
      <c r="C114" s="5" t="str">
        <f>IFERROR(__xludf.DUMMYFUNCTION("GOOGLETRANSLATE(I114, ""th"", ""en"")"),"A) Ask the trainer for advice and practice more; B) Avoid practicing that pose; C) Continue practicing without correcting it; D) Blame yourself.")</f>
        <v>A) Ask the trainer for advice and practice more; B) Avoid practicing that pose; C) Continue practicing without correcting it; D) Blame yourself.</v>
      </c>
      <c r="D114" s="5" t="str">
        <f>IFERROR(__xludf.DUMMYFUNCTION("GOOGLETRANSLATE(J114, ""th"", ""en"")"),"A) Ask for advice from the trainer and practice more.")</f>
        <v>A) Ask for advice from the trainer and practice more.</v>
      </c>
      <c r="E114" s="5" t="str">
        <f>IFERROR(__xludf.DUMMYFUNCTION(" GOOGLETRANSLATE(K114, ""th"", ""en"")"),"Asking for advice helps you improve.")</f>
        <v>Asking for advice helps you improve.</v>
      </c>
      <c r="G114" s="6">
        <v>113.0</v>
      </c>
      <c r="H114" s="7" t="s">
        <v>4143</v>
      </c>
      <c r="I114" s="7" t="s">
        <v>4144</v>
      </c>
      <c r="J114" s="7" t="s">
        <v>4145</v>
      </c>
      <c r="K114" s="7" t="s">
        <v>4146</v>
      </c>
    </row>
    <row r="115" ht="14.25" customHeight="1">
      <c r="A115" s="4">
        <v>114.0</v>
      </c>
      <c r="B115" s="5" t="str">
        <f>IFERROR(__xludf.DUMMYFUNCTION("GOOGLETRANSLATE(H115, ""th"", ""en"")"),"During a race, you start to feel like you can't keep up with your opponents. What do you do?")</f>
        <v>During a race, you start to feel like you can't keep up with your opponents. What do you do?</v>
      </c>
      <c r="C115" s="5" t="str">
        <f>IFERROR(__xludf.DUMMYFUNCTION("GOOGLETRANSLATE(I115, ""th"", ""en"")"),"A) Adjust your strategy and try to balance it; B) Speed ​​up the game and try to score; C) Slow down and wait for a good opportunity; D) Stop the game.")</f>
        <v>A) Adjust your strategy and try to balance it; B) Speed ​​up the game and try to score; C) Slow down and wait for a good opportunity; D) Stop the game.</v>
      </c>
      <c r="D115" s="5" t="str">
        <f>IFERROR(__xludf.DUMMYFUNCTION("GOOGLETRANSLATE(J115, ""th"", ""en"")"),"A) Adjust your strategy and try to achieve balance.")</f>
        <v>A) Adjust your strategy and try to achieve balance.</v>
      </c>
      <c r="E115" s="5" t="str">
        <f>IFERROR(__xludf.DUMMYFUNCTION(" GOOGLETRANSLATE(K115, ""th"", ""en"")"),"Strategic adjustments can help you regain control of the competition.")</f>
        <v>Strategic adjustments can help you regain control of the competition.</v>
      </c>
      <c r="G115" s="6">
        <v>114.0</v>
      </c>
      <c r="H115" s="7" t="s">
        <v>4147</v>
      </c>
      <c r="I115" s="7" t="s">
        <v>4148</v>
      </c>
      <c r="J115" s="7" t="s">
        <v>4149</v>
      </c>
      <c r="K115" s="7" t="s">
        <v>4150</v>
      </c>
    </row>
    <row r="116" ht="14.25" customHeight="1">
      <c r="A116" s="4">
        <v>115.0</v>
      </c>
      <c r="B116" s="5" t="str">
        <f>IFERROR(__xludf.DUMMYFUNCTION("GOOGLETRANSLATE(H116, ""th"", ""en"")"),"During training, you feel that your teammates are not cooperating. What should you do?")</f>
        <v>During training, you feel that your teammates are not cooperating. What should you do?</v>
      </c>
      <c r="C116" s="5" t="str">
        <f>IFERROR(__xludf.DUMMYFUNCTION("GOOGLETRANSLATE(I116, ""th"", ""en"")"),"A) Try to talk and cooperate; B) Avoid training with him; C) Let him train as he pleases; D) Blame your teammates.")</f>
        <v>A) Try to talk and cooperate; B) Avoid training with him; C) Let him train as he pleases; D) Blame your teammates.</v>
      </c>
      <c r="D116" s="5" t="str">
        <f>IFERROR(__xludf.DUMMYFUNCTION("GOOGLETRANSLATE(J116, ""th"", ""en"")"),"A) Try to talk and build cooperation.")</f>
        <v>A) Try to talk and build cooperation.</v>
      </c>
      <c r="E116" s="5" t="str">
        <f>IFERROR(__xludf.DUMMYFUNCTION(" GOOGLETRANSLATE(K116, ""th"", ""en"")"),"Talking helps the team become more cohesive.")</f>
        <v>Talking helps the team become more cohesive.</v>
      </c>
      <c r="G116" s="6">
        <v>115.0</v>
      </c>
      <c r="H116" s="7" t="s">
        <v>4151</v>
      </c>
      <c r="I116" s="7" t="s">
        <v>4152</v>
      </c>
      <c r="J116" s="7" t="s">
        <v>4153</v>
      </c>
      <c r="K116" s="7" t="s">
        <v>4154</v>
      </c>
    </row>
    <row r="117" ht="14.25" customHeight="1">
      <c r="A117" s="4">
        <v>116.0</v>
      </c>
      <c r="B117" s="5" t="str">
        <f>IFERROR(__xludf.DUMMYFUNCTION("GOOGLETRANSLATE(H117, ""th"", ""en"")"),"During the match, you feel that the referee made the wrong decision, what will you do?")</f>
        <v>During the match, you feel that the referee made the wrong decision, what will you do?</v>
      </c>
      <c r="C117" s="5" t="str">
        <f>IFERROR(__xludf.DUMMYFUNCTION("GOOGLETRANSLATE(I117, ""th"", ""en"")"),"A) Tell the referee to reconsider; B) Let it go; C) Adjust the decision to your advantage; D) Complain about the decision.")</f>
        <v>A) Tell the referee to reconsider; B) Let it go; C) Adjust the decision to your advantage; D) Complain about the decision.</v>
      </c>
      <c r="D117" s="5" t="str">
        <f>IFERROR(__xludf.DUMMYFUNCTION("GOOGLETRANSLATE(J117, ""th"", ""en"")"),"A) Inform the referee for reconsideration.")</f>
        <v>A) Inform the referee for reconsideration.</v>
      </c>
      <c r="E117" s="5" t="str">
        <f>IFERROR(__xludf.DUMMYFUNCTION(" GOOGLETRANSLATE(K117, ""th"", ""en"")"),"Informing the referee makes the match in accordance with the rules.")</f>
        <v>Informing the referee makes the match in accordance with the rules.</v>
      </c>
      <c r="G117" s="6">
        <v>116.0</v>
      </c>
      <c r="H117" s="7" t="s">
        <v>4155</v>
      </c>
      <c r="I117" s="7" t="s">
        <v>4156</v>
      </c>
      <c r="J117" s="7" t="s">
        <v>4157</v>
      </c>
      <c r="K117" s="7" t="s">
        <v>4051</v>
      </c>
    </row>
    <row r="118" ht="14.25" customHeight="1">
      <c r="A118" s="4">
        <v>117.0</v>
      </c>
      <c r="B118" s="5" t="str">
        <f>IFERROR(__xludf.DUMMYFUNCTION("GOOGLETRANSLATE(H118, ""th"", ""en"")"),"In training, you see your teammates tired and unable to follow instructions. What do you do?")</f>
        <v>In training, you see your teammates tired and unable to follow instructions. What do you do?</v>
      </c>
      <c r="C118" s="5" t="str">
        <f>IFERROR(__xludf.DUMMYFUNCTION("GOOGLETRANSLATE(I118, ""th"", ""en"")"),"A) Help him and encourage him to continue; B) Let him do what he wants; C) Criticize him in front of others; D) Avoid training with him.")</f>
        <v>A) Help him and encourage him to continue; B) Let him do what he wants; C) Criticize him in front of others; D) Avoid training with him.</v>
      </c>
      <c r="D118" s="5" t="str">
        <f>IFERROR(__xludf.DUMMYFUNCTION("GOOGLETRANSLATE(J118, ""th"", ""en"")"),"A) Help him and encourage him to continue.")</f>
        <v>A) Help him and encourage him to continue.</v>
      </c>
      <c r="E118" s="5" t="str">
        <f>IFERROR(__xludf.DUMMYFUNCTION(" GOOGLETRANSLATE(K118, ""th"", ""en"")"),"Helping your teammates makes the team stronger.")</f>
        <v>Helping your teammates makes the team stronger.</v>
      </c>
      <c r="G118" s="6">
        <v>117.0</v>
      </c>
      <c r="H118" s="7" t="s">
        <v>4158</v>
      </c>
      <c r="I118" s="7" t="s">
        <v>4159</v>
      </c>
      <c r="J118" s="7" t="s">
        <v>4160</v>
      </c>
      <c r="K118" s="7" t="s">
        <v>4161</v>
      </c>
    </row>
    <row r="119" ht="14.25" customHeight="1">
      <c r="A119" s="4">
        <v>118.0</v>
      </c>
      <c r="B119" s="5" t="str">
        <f>IFERROR(__xludf.DUMMYFUNCTION("GOOGLETRANSLATE(H119, ""th"", ""en"")"),"During your training, you feel like you are making mistakes in many exercises. What should you do?")</f>
        <v>During your training, you feel like you are making mistakes in many exercises. What should you do?</v>
      </c>
      <c r="C119" s="5" t="str">
        <f>IFERROR(__xludf.DUMMYFUNCTION("GOOGLETRANSLATE(I119, ""th"", ""en"")"),"A) Ask the trainer for advice on how to improve; B) Continue training without making corrections; C) Stop training; D) Complain about training.")</f>
        <v>A) Ask the trainer for advice on how to improve; B) Continue training without making corrections; C) Stop training; D) Complain about training.</v>
      </c>
      <c r="D119" s="5" t="str">
        <f>IFERROR(__xludf.DUMMYFUNCTION("GOOGLETRANSLATE(J119, ""th"", ""en"")"),"A) Ask for advice from the trainer for improvement.")</f>
        <v>A) Ask for advice from the trainer for improvement.</v>
      </c>
      <c r="E119" s="5" t="str">
        <f>IFERROR(__xludf.DUMMYFUNCTION(" GOOGLETRANSLATE(K119, ""th"", ""en"")"),"Asking for advice helps make training more effective.")</f>
        <v>Asking for advice helps make training more effective.</v>
      </c>
      <c r="G119" s="6">
        <v>118.0</v>
      </c>
      <c r="H119" s="7" t="s">
        <v>4162</v>
      </c>
      <c r="I119" s="7" t="s">
        <v>4163</v>
      </c>
      <c r="J119" s="7" t="s">
        <v>4020</v>
      </c>
      <c r="K119" s="7" t="s">
        <v>4164</v>
      </c>
    </row>
    <row r="120" ht="14.25" customHeight="1">
      <c r="A120" s="4">
        <v>119.0</v>
      </c>
      <c r="B120" s="5" t="str">
        <f>IFERROR(__xludf.DUMMYFUNCTION("GOOGLETRANSLATE(H120, ""th"", ""en"")"),"In a match, you find that the referee doesn't give a warning when your opponent breaks the rules. What do you do?")</f>
        <v>In a match, you find that the referee doesn't give a warning when your opponent breaks the rules. What do you do?</v>
      </c>
      <c r="C120" s="5" t="str">
        <f>IFERROR(__xludf.DUMMYFUNCTION("GOOGLETRANSLATE(I120, ""th"", ""en"")"),"A) Tell the referee to reconsider the result; B) Let it go; C) Avoid fighting with the opponent; D) Complain about the decision.")</f>
        <v>A) Tell the referee to reconsider the result; B) Let it go; C) Avoid fighting with the opponent; D) Complain about the decision.</v>
      </c>
      <c r="D120" s="5" t="str">
        <f>IFERROR(__xludf.DUMMYFUNCTION("GOOGLETRANSLATE(J120, ""th"", ""en"")"),"A) Inform the referee to reconsider the result of the match.")</f>
        <v>A) Inform the referee to reconsider the result of the match.</v>
      </c>
      <c r="E120" s="5" t="str">
        <f>IFERROR(__xludf.DUMMYFUNCTION(" GOOGLETRANSLATE(K120, ""th"", ""en"")"),"Informing the referee helps ensure a fair outcome.")</f>
        <v>Informing the referee helps ensure a fair outcome.</v>
      </c>
      <c r="G120" s="6">
        <v>119.0</v>
      </c>
      <c r="H120" s="7" t="s">
        <v>4165</v>
      </c>
      <c r="I120" s="7" t="s">
        <v>4166</v>
      </c>
      <c r="J120" s="7" t="s">
        <v>4167</v>
      </c>
      <c r="K120" s="7" t="s">
        <v>4168</v>
      </c>
    </row>
    <row r="121" ht="14.25" customHeight="1">
      <c r="A121" s="4">
        <v>120.0</v>
      </c>
      <c r="B121" s="5" t="str">
        <f>IFERROR(__xludf.DUMMYFUNCTION("GOOGLETRANSLATE(H121, ""th"", ""en"")"),"During training, you feel that you are still unable to perform the desired pose well. What should you do?")</f>
        <v>During training, you feel that you are still unable to perform the desired pose well. What should you do?</v>
      </c>
      <c r="C121" s="5" t="str">
        <f>IFERROR(__xludf.DUMMYFUNCTION("GOOGLETRANSLATE(I121, ""th"", ""en"")"),"A) Ask the trainer for advice and practice more; B) Avoid practicing the move; C) Continue practicing until you can do it; D) Complain about the difficulty.")</f>
        <v>A) Ask the trainer for advice and practice more; B) Avoid practicing the move; C) Continue practicing until you can do it; D) Complain about the difficulty.</v>
      </c>
      <c r="D121" s="5" t="str">
        <f>IFERROR(__xludf.DUMMYFUNCTION("GOOGLETRANSLATE(J121, ""th"", ""en"")"),"A) Ask for advice from the trainer and practice more.")</f>
        <v>A) Ask for advice from the trainer and practice more.</v>
      </c>
      <c r="E121" s="5" t="str">
        <f>IFERROR(__xludf.DUMMYFUNCTION(" GOOGLETRANSLATE(K121, ""th"", ""en"")"),"Asking for advice helps you improve faster.")</f>
        <v>Asking for advice helps you improve faster.</v>
      </c>
      <c r="G121" s="6">
        <v>120.0</v>
      </c>
      <c r="H121" s="7" t="s">
        <v>4169</v>
      </c>
      <c r="I121" s="7" t="s">
        <v>4170</v>
      </c>
      <c r="J121" s="7" t="s">
        <v>4145</v>
      </c>
      <c r="K121" s="7" t="s">
        <v>4171</v>
      </c>
    </row>
    <row r="122" ht="14.25" customHeight="1">
      <c r="A122" s="4">
        <v>121.0</v>
      </c>
      <c r="B122" s="5" t="str">
        <f>IFERROR(__xludf.DUMMYFUNCTION("GOOGLETRANSLATE(H122, ""th"", ""en"")"),"During the competition, you feel your emotions are getting out of control. What do you do?")</f>
        <v>During the competition, you feel your emotions are getting out of control. What do you do?</v>
      </c>
      <c r="C122" s="5" t="str">
        <f>IFERROR(__xludf.DUMMYFUNCTION("GOOGLETRANSLATE(I122, ""th"", ""en"")"),"A) Stop and take a deep breath to control your emotions; B) Give it your all and ignore your emotions; C) Get angry and express yourself clearly; D) Quit the match.")</f>
        <v>A) Stop and take a deep breath to control your emotions; B) Give it your all and ignore your emotions; C) Get angry and express yourself clearly; D) Quit the match.</v>
      </c>
      <c r="D122" s="5" t="str">
        <f>IFERROR(__xludf.DUMMYFUNCTION("GOOGLETRANSLATE(J122, ""th"", ""en"")"),"A) Stop and take a deep breath to control your emotions.")</f>
        <v>A) Stop and take a deep breath to control your emotions.</v>
      </c>
      <c r="E122" s="5" t="str">
        <f>IFERROR(__xludf.DUMMYFUNCTION(" GOOGLETRANSLATE(K122, ""th"", ""en"")"),"Controlling your emotions helps you perform better.")</f>
        <v>Controlling your emotions helps you perform better.</v>
      </c>
      <c r="G122" s="6">
        <v>121.0</v>
      </c>
      <c r="H122" s="7" t="s">
        <v>4172</v>
      </c>
      <c r="I122" s="7" t="s">
        <v>4173</v>
      </c>
      <c r="J122" s="7" t="s">
        <v>4174</v>
      </c>
      <c r="K122" s="7" t="s">
        <v>4175</v>
      </c>
    </row>
    <row r="123" ht="14.25" customHeight="1">
      <c r="A123" s="4">
        <v>122.0</v>
      </c>
      <c r="B123" s="5" t="str">
        <f>IFERROR(__xludf.DUMMYFUNCTION("GOOGLETRANSLATE(H123, ""th"", ""en"")"),"In training, you see a teammate who is unable to follow instructions. What do you do?")</f>
        <v>In training, you see a teammate who is unable to follow instructions. What do you do?</v>
      </c>
      <c r="C123" s="5" t="str">
        <f>IFERROR(__xludf.DUMMYFUNCTION("GOOGLETRANSLATE(I123, ""th"", ""en"")"),"A) Help him and give him advice again; B) Ignore him and continue training; C) Reprimand him in front of others; D) Blame him.")</f>
        <v>A) Help him and give him advice again; B) Ignore him and continue training; C) Reprimand him in front of others; D) Blame him.</v>
      </c>
      <c r="D123" s="5" t="str">
        <f>IFERROR(__xludf.DUMMYFUNCTION("GOOGLETRANSLATE(J123, ""th"", ""en"")"),"A) Help him and advise him again.")</f>
        <v>A) Help him and advise him again.</v>
      </c>
      <c r="E123" s="5" t="str">
        <f>IFERROR(__xludf.DUMMYFUNCTION(" GOOGLETRANSLATE(K123, ""th"", ""en"")"),"Helping your teammates improves your training.")</f>
        <v>Helping your teammates improves your training.</v>
      </c>
      <c r="G123" s="6">
        <v>122.0</v>
      </c>
      <c r="H123" s="7" t="s">
        <v>4176</v>
      </c>
      <c r="I123" s="7" t="s">
        <v>4177</v>
      </c>
      <c r="J123" s="7" t="s">
        <v>4178</v>
      </c>
      <c r="K123" s="7" t="s">
        <v>4179</v>
      </c>
    </row>
    <row r="124" ht="14.25" customHeight="1">
      <c r="A124" s="4">
        <v>123.0</v>
      </c>
      <c r="B124" s="5" t="str">
        <f>IFERROR(__xludf.DUMMYFUNCTION("GOOGLETRANSLATE(H124, ""th"", ""en"")"),"During a match, you find your opponent starting to use moves you are not familiar with. What will you do?")</f>
        <v>During a match, you find your opponent starting to use moves you are not familiar with. What will you do?</v>
      </c>
      <c r="C124" s="5" t="str">
        <f>IFERROR(__xludf.DUMMYFUNCTION("GOOGLETRANSLATE(I124, ""th"", ""en"")"),"A) Try to observe and learn from his moves; B) Wait until the opponent makes a mistake; C) Change strategy immediately; D) Avoid clashes.")</f>
        <v>A) Try to observe and learn from his moves; B) Wait until the opponent makes a mistake; C) Change strategy immediately; D) Avoid clashes.</v>
      </c>
      <c r="D124" s="5" t="str">
        <f>IFERROR(__xludf.DUMMYFUNCTION("GOOGLETRANSLATE(J124, ""th"", ""en"")"),"A) Try to observe and learn from his movements.")</f>
        <v>A) Try to observe and learn from his movements.</v>
      </c>
      <c r="E124" s="5" t="str">
        <f>IFERROR(__xludf.DUMMYFUNCTION(" GOOGLETRANSLATE(K124, ""th"", ""en"")"),"Learning from your competitors allows you to adapt better.")</f>
        <v>Learning from your competitors allows you to adapt better.</v>
      </c>
      <c r="G124" s="6">
        <v>123.0</v>
      </c>
      <c r="H124" s="7" t="s">
        <v>4180</v>
      </c>
      <c r="I124" s="7" t="s">
        <v>4181</v>
      </c>
      <c r="J124" s="7" t="s">
        <v>4182</v>
      </c>
      <c r="K124" s="7" t="s">
        <v>4183</v>
      </c>
    </row>
    <row r="125" ht="14.25" customHeight="1">
      <c r="A125" s="4">
        <v>124.0</v>
      </c>
      <c r="B125" s="5" t="str">
        <f>IFERROR(__xludf.DUMMYFUNCTION("GOOGLETRANSLATE(H125, ""th"", ""en"")"),"During the competition, you feel an old injury coming back. What do you do?")</f>
        <v>During the competition, you feel an old injury coming back. What do you do?</v>
      </c>
      <c r="C125" s="5" t="str">
        <f>IFERROR(__xludf.DUMMYFUNCTION("GOOGLETRANSLATE(I125, ""th"", ""en"")"),"A) Inform the referee and request a break; B) Continue practicing until the end of the match; C) Avoid doing any actions that cause injury; D) Stop playing immediately.")</f>
        <v>A) Inform the referee and request a break; B) Continue practicing until the end of the match; C) Avoid doing any actions that cause injury; D) Stop playing immediately.</v>
      </c>
      <c r="D125" s="5" t="str">
        <f>IFERROR(__xludf.DUMMYFUNCTION("GOOGLETRANSLATE(J125, ""th"", ""en"")"),"A) Inform the referee and request a break.")</f>
        <v>A) Inform the referee and request a break.</v>
      </c>
      <c r="E125" s="5" t="str">
        <f>IFERROR(__xludf.DUMMYFUNCTION(" GOOGLETRANSLATE(K125, ""th"", ""en"")"),"Notifying the referee ensures you receive appropriate care.")</f>
        <v>Notifying the referee ensures you receive appropriate care.</v>
      </c>
      <c r="G125" s="6">
        <v>124.0</v>
      </c>
      <c r="H125" s="7" t="s">
        <v>4184</v>
      </c>
      <c r="I125" s="7" t="s">
        <v>4185</v>
      </c>
      <c r="J125" s="7" t="s">
        <v>4186</v>
      </c>
      <c r="K125" s="7" t="s">
        <v>4187</v>
      </c>
    </row>
    <row r="126" ht="14.25" customHeight="1">
      <c r="A126" s="4">
        <v>125.0</v>
      </c>
      <c r="B126" s="5" t="str">
        <f>IFERROR(__xludf.DUMMYFUNCTION("GOOGLETRANSLATE(H126, ""th"", ""en"")"),"You see your opponent breaking the rules in a competition, what do you do?")</f>
        <v>You see your opponent breaking the rules in a competition, what do you do?</v>
      </c>
      <c r="C126" s="5" t="str">
        <f>IFERROR(__xludf.DUMMYFUNCTION("GOOGLETRANSLATE(I126, ""th"", ""en"")"),"A) Tell the referee to make a new decision; B) Let it go; C) Attack the opponent while he is not paying attention; D) Complain about the decision.")</f>
        <v>A) Tell the referee to make a new decision; B) Let it go; C) Attack the opponent while he is not paying attention; D) Complain about the decision.</v>
      </c>
      <c r="D126" s="5" t="str">
        <f>IFERROR(__xludf.DUMMYFUNCTION("GOOGLETRANSLATE(J126, ""th"", ""en"")"),"A) Inform the referee to make a new decision.")</f>
        <v>A) Inform the referee to make a new decision.</v>
      </c>
      <c r="E126" s="5" t="str">
        <f>IFERROR(__xludf.DUMMYFUNCTION(" GOOGLETRANSLATE(K126, ""th"", ""en"")"),"Informing the referee helps the match to be in accordance with the rules.")</f>
        <v>Informing the referee helps the match to be in accordance with the rules.</v>
      </c>
      <c r="G126" s="6">
        <v>125.0</v>
      </c>
      <c r="H126" s="7" t="s">
        <v>4188</v>
      </c>
      <c r="I126" s="7" t="s">
        <v>4189</v>
      </c>
      <c r="J126" s="7" t="s">
        <v>4190</v>
      </c>
      <c r="K126" s="7" t="s">
        <v>3767</v>
      </c>
    </row>
    <row r="127" ht="14.25" customHeight="1">
      <c r="A127" s="4">
        <v>126.0</v>
      </c>
      <c r="B127" s="5" t="str">
        <f>IFERROR(__xludf.DUMMYFUNCTION("GOOGLETRANSLATE(H127, ""th"", ""en"")"),"During training, you find that you cannot perform the practiced poses well. What should you do?")</f>
        <v>During training, you find that you cannot perform the practiced poses well. What should you do?</v>
      </c>
      <c r="C127" s="5" t="str">
        <f>IFERROR(__xludf.DUMMYFUNCTION("GOOGLETRANSLATE(I127, ""th"", ""en"")"),"A) Ask the trainer for advice and practice more; B) Stop practicing; C) Continue practicing until you can do it; D) Blame yourself.")</f>
        <v>A) Ask the trainer for advice and practice more; B) Stop practicing; C) Continue practicing until you can do it; D) Blame yourself.</v>
      </c>
      <c r="D127" s="5" t="str">
        <f>IFERROR(__xludf.DUMMYFUNCTION("GOOGLETRANSLATE(J127, ""th"", ""en"")"),"A) Ask for advice from the trainer and practice more.")</f>
        <v>A) Ask for advice from the trainer and practice more.</v>
      </c>
      <c r="E127" s="5" t="str">
        <f>IFERROR(__xludf.DUMMYFUNCTION(" GOOGLETRANSLATE(K127, ""th"", ""en"")"),"Asking for advice helps you improve.")</f>
        <v>Asking for advice helps you improve.</v>
      </c>
      <c r="G127" s="6">
        <v>126.0</v>
      </c>
      <c r="H127" s="7" t="s">
        <v>4191</v>
      </c>
      <c r="I127" s="7" t="s">
        <v>4192</v>
      </c>
      <c r="J127" s="7" t="s">
        <v>4145</v>
      </c>
      <c r="K127" s="7" t="s">
        <v>4146</v>
      </c>
    </row>
    <row r="128" ht="14.25" customHeight="1">
      <c r="A128" s="4">
        <v>127.0</v>
      </c>
      <c r="B128" s="5" t="str">
        <f>IFERROR(__xludf.DUMMYFUNCTION("GOOGLETRANSLATE(H128, ""th"", ""en"")"),"During the race, you start to feel tired, what do you do?")</f>
        <v>During the race, you start to feel tired, what do you do?</v>
      </c>
      <c r="C128" s="5" t="str">
        <f>IFERROR(__xludf.DUMMYFUNCTION("GOOGLETRANSLATE(I128, ""th"", ""en"")"),"A) Slow down and try to control the pace of the game; B) Speed ​​up to score; C) Stop the game immediately; D) Adjust your strategy to score more points.")</f>
        <v>A) Slow down and try to control the pace of the game; B) Speed ​​up to score; C) Stop the game immediately; D) Adjust your strategy to score more points.</v>
      </c>
      <c r="D128" s="5" t="str">
        <f>IFERROR(__xludf.DUMMYFUNCTION("GOOGLETRANSLATE(J128, ""th"", ""en"")"),"A) Reduce speed and try to control the pace of the race.")</f>
        <v>A) Reduce speed and try to control the pace of the race.</v>
      </c>
      <c r="E128" s="5" t="str">
        <f>IFERROR(__xludf.DUMMYFUNCTION(" GOOGLETRANSLATE(K128, ""th"", ""en"")"),"Controlling your tempo helps you maintain your competitive energy.")</f>
        <v>Controlling your tempo helps you maintain your competitive energy.</v>
      </c>
      <c r="G128" s="6">
        <v>127.0</v>
      </c>
      <c r="H128" s="7" t="s">
        <v>4193</v>
      </c>
      <c r="I128" s="7" t="s">
        <v>4194</v>
      </c>
      <c r="J128" s="7" t="s">
        <v>4120</v>
      </c>
      <c r="K128" s="7" t="s">
        <v>4121</v>
      </c>
    </row>
    <row r="129" ht="14.25" customHeight="1">
      <c r="A129" s="4">
        <v>128.0</v>
      </c>
      <c r="B129" s="5" t="str">
        <f>IFERROR(__xludf.DUMMYFUNCTION("GOOGLETRANSLATE(H129, ""th"", ""en"")"),"During training, you feel that you cannot follow instructions. What should you do?")</f>
        <v>During training, you feel that you cannot follow instructions. What should you do?</v>
      </c>
      <c r="C129" s="5" t="str">
        <f>IFERROR(__xludf.DUMMYFUNCTION("GOOGLETRANSLATE(I129, ""th"", ""en"")"),"A) Ask the trainer for further advice; B) Continue practicing without correction; C) Avoid practicing the pose; D) Complain about the difficulty.")</f>
        <v>A) Ask the trainer for further advice; B) Continue practicing without correction; C) Avoid practicing the pose; D) Complain about the difficulty.</v>
      </c>
      <c r="D129" s="5" t="str">
        <f>IFERROR(__xludf.DUMMYFUNCTION("GOOGLETRANSLATE(J129, ""th"", ""en"")"),"A) Ask for further advice from the trainer.")</f>
        <v>A) Ask for further advice from the trainer.</v>
      </c>
      <c r="E129" s="5" t="str">
        <f>IFERROR(__xludf.DUMMYFUNCTION(" GOOGLETRANSLATE(K129, ""th"", ""en"")"),"Asking for advice helps make training more effective.")</f>
        <v>Asking for advice helps make training more effective.</v>
      </c>
      <c r="G129" s="6">
        <v>128.0</v>
      </c>
      <c r="H129" s="7" t="s">
        <v>4195</v>
      </c>
      <c r="I129" s="7" t="s">
        <v>4196</v>
      </c>
      <c r="J129" s="7" t="s">
        <v>4197</v>
      </c>
      <c r="K129" s="7" t="s">
        <v>4164</v>
      </c>
    </row>
    <row r="130" ht="14.25" customHeight="1">
      <c r="A130" s="4">
        <v>129.0</v>
      </c>
      <c r="B130" s="5" t="str">
        <f>IFERROR(__xludf.DUMMYFUNCTION("GOOGLETRANSLATE(H130, ""th"", ""en"")"),"You see players on your team starting to lose motivation during the match, what do you do?")</f>
        <v>You see players on your team starting to lose motivation during the match, what do you do?</v>
      </c>
      <c r="C130" s="5" t="str">
        <f>IFERROR(__xludf.DUMMYFUNCTION("GOOGLETRANSLATE(I130, ""th"", ""en"")"),"A) Encourage and support him to fight back; B) Let him be as he pleases; C) Reprimand him to do better; D) Avoid helping him.")</f>
        <v>A) Encourage and support him to fight back; B) Let him be as he pleases; C) Reprimand him to do better; D) Avoid helping him.</v>
      </c>
      <c r="D130" s="5" t="str">
        <f>IFERROR(__xludf.DUMMYFUNCTION("GOOGLETRANSLATE(J130, ""th"", ""en"")"),"A) Encourage and support him to come back and fight.")</f>
        <v>A) Encourage and support him to come back and fight.</v>
      </c>
      <c r="E130" s="5" t="str">
        <f>IFERROR(__xludf.DUMMYFUNCTION(" GOOGLETRANSLATE(K130, ""th"", ""en"")"),"Motivating your teammates helps build confidence.")</f>
        <v>Motivating your teammates helps build confidence.</v>
      </c>
      <c r="G130" s="6">
        <v>129.0</v>
      </c>
      <c r="H130" s="7" t="s">
        <v>4198</v>
      </c>
      <c r="I130" s="7" t="s">
        <v>4199</v>
      </c>
      <c r="J130" s="7" t="s">
        <v>4200</v>
      </c>
      <c r="K130" s="7" t="s">
        <v>4201</v>
      </c>
    </row>
    <row r="131" ht="14.25" customHeight="1">
      <c r="A131" s="4">
        <v>130.0</v>
      </c>
      <c r="B131" s="5" t="str">
        <f>IFERROR(__xludf.DUMMYFUNCTION("GOOGLETRANSLATE(H131, ""th"", ""en"")"),"During training, you feel like you can't perform the poses you want well. What should you do?")</f>
        <v>During training, you feel like you can't perform the poses you want well. What should you do?</v>
      </c>
      <c r="C131" s="5" t="str">
        <f>IFERROR(__xludf.DUMMYFUNCTION("GOOGLETRANSLATE(I131, ""th"", ""en"")"),"A) Ask the trainer for advice on how to improve; B) Avoid doing the exercise; C) Continue until you can do it; D) Complain about the difficulty.")</f>
        <v>A) Ask the trainer for advice on how to improve; B) Avoid doing the exercise; C) Continue until you can do it; D) Complain about the difficulty.</v>
      </c>
      <c r="D131" s="5" t="str">
        <f>IFERROR(__xludf.DUMMYFUNCTION("GOOGLETRANSLATE(J131, ""th"", ""en"")"),"A) Ask for advice from the trainer for improvement.")</f>
        <v>A) Ask for advice from the trainer for improvement.</v>
      </c>
      <c r="E131" s="5" t="str">
        <f>IFERROR(__xludf.DUMMYFUNCTION(" GOOGLETRANSLATE(K131, ""th"", ""en"")"),"Asking for advice can help you develop your skills.")</f>
        <v>Asking for advice can help you develop your skills.</v>
      </c>
      <c r="G131" s="6">
        <v>130.0</v>
      </c>
      <c r="H131" s="7" t="s">
        <v>4202</v>
      </c>
      <c r="I131" s="7" t="s">
        <v>4131</v>
      </c>
      <c r="J131" s="7" t="s">
        <v>4020</v>
      </c>
      <c r="K131" s="7" t="s">
        <v>4132</v>
      </c>
    </row>
    <row r="132" ht="14.25" customHeight="1">
      <c r="A132" s="4">
        <v>131.0</v>
      </c>
      <c r="B132" s="5" t="str">
        <f>IFERROR(__xludf.DUMMYFUNCTION("GOOGLETRANSLATE(H132, ""th"", ""en"")"),"During a match, you find your opponent using a strategy that shocks you. What will you do?")</f>
        <v>During a match, you find your opponent using a strategy that shocks you. What will you do?</v>
      </c>
      <c r="C132" s="5" t="str">
        <f>IFERROR(__xludf.DUMMYFUNCTION("GOOGLETRANSLATE(I132, ""th"", ""en"")"),"A) Adapt your strategy to the situation; B) Wait for your opponent to make a mistake; C) Attack immediately to score; D) Avoid contact.")</f>
        <v>A) Adapt your strategy to the situation; B) Wait for your opponent to make a mistake; C) Attack immediately to score; D) Avoid contact.</v>
      </c>
      <c r="D132" s="5" t="str">
        <f>IFERROR(__xludf.DUMMYFUNCTION("GOOGLETRANSLATE(J132, ""th"", ""en"")"),"A) Adjust your strategy to suit the situation.")</f>
        <v>A) Adjust your strategy to suit the situation.</v>
      </c>
      <c r="E132" s="5" t="str">
        <f>IFERROR(__xludf.DUMMYFUNCTION(" GOOGLETRANSLATE(K132, ""th"", ""en"")"),"Adjusting your strategy allows you to better cope with your competitors.")</f>
        <v>Adjusting your strategy allows you to better cope with your competitors.</v>
      </c>
      <c r="G132" s="6">
        <v>131.0</v>
      </c>
      <c r="H132" s="7" t="s">
        <v>4203</v>
      </c>
      <c r="I132" s="7" t="s">
        <v>4204</v>
      </c>
      <c r="J132" s="7" t="s">
        <v>4139</v>
      </c>
      <c r="K132" s="7" t="s">
        <v>4205</v>
      </c>
    </row>
    <row r="133" ht="14.25" customHeight="1">
      <c r="A133" s="4">
        <v>132.0</v>
      </c>
      <c r="B133" s="5" t="str">
        <f>IFERROR(__xludf.DUMMYFUNCTION("GOOGLETRANSLATE(H133, ""th"", ""en"")"),"During the match, you find that the referee has made the wrong decision, what will you do?")</f>
        <v>During the match, you find that the referee has made the wrong decision, what will you do?</v>
      </c>
      <c r="C133" s="5" t="str">
        <f>IFERROR(__xludf.DUMMYFUNCTION("GOOGLETRANSLATE(I133, ""th"", ""en"")"),"A) Tell the referee to reconsider; B) Let it go; C) Wait for the referee to change his decision; D) Argue with the referee.")</f>
        <v>A) Tell the referee to reconsider; B) Let it go; C) Wait for the referee to change his decision; D) Argue with the referee.</v>
      </c>
      <c r="D133" s="5" t="str">
        <f>IFERROR(__xludf.DUMMYFUNCTION("GOOGLETRANSLATE(J133, ""th"", ""en"")"),"A) Inform the referee for reconsideration.")</f>
        <v>A) Inform the referee for reconsideration.</v>
      </c>
      <c r="E133" s="5" t="str">
        <f>IFERROR(__xludf.DUMMYFUNCTION(" GOOGLETRANSLATE(K133, ""th"", ""en"")"),"Informing the referee helps the match result to be in accordance with the rules.")</f>
        <v>Informing the referee helps the match result to be in accordance with the rules.</v>
      </c>
      <c r="G133" s="6">
        <v>132.0</v>
      </c>
      <c r="H133" s="7" t="s">
        <v>4206</v>
      </c>
      <c r="I133" s="7" t="s">
        <v>4207</v>
      </c>
      <c r="J133" s="7" t="s">
        <v>4157</v>
      </c>
      <c r="K133" s="7" t="s">
        <v>4208</v>
      </c>
    </row>
    <row r="134" ht="14.25" customHeight="1">
      <c r="A134" s="4">
        <v>133.0</v>
      </c>
      <c r="B134" s="5" t="str">
        <f>IFERROR(__xludf.DUMMYFUNCTION("GOOGLETRANSLATE(H134, ""th"", ""en"")"),"During practice, you find that other players are doing the exercise incorrectly, what will you do?")</f>
        <v>During practice, you find that other players are doing the exercise incorrectly, what will you do?</v>
      </c>
      <c r="C134" s="5" t="str">
        <f>IFERROR(__xludf.DUMMYFUNCTION("GOOGLETRANSLATE(I134, ""th"", ""en"")"),"A) Help him and guide him to do the right thing; B) Ignore him and continue training; C) Blame him in front of others; D) Avoid training with him.")</f>
        <v>A) Help him and guide him to do the right thing; B) Ignore him and continue training; C) Blame him in front of others; D) Avoid training with him.</v>
      </c>
      <c r="D134" s="5" t="str">
        <f>IFERROR(__xludf.DUMMYFUNCTION("GOOGLETRANSLATE(J134, ""th"", ""en"")"),"A) Help him and advise him on what to do correctly.")</f>
        <v>A) Help him and advise him on what to do correctly.</v>
      </c>
      <c r="E134" s="5" t="str">
        <f>IFERROR(__xludf.DUMMYFUNCTION(" GOOGLETRANSLATE(K134, ""th"", ""en"")"),"Helping your teammates helps build unity.")</f>
        <v>Helping your teammates helps build unity.</v>
      </c>
      <c r="G134" s="6">
        <v>133.0</v>
      </c>
      <c r="H134" s="7" t="s">
        <v>4209</v>
      </c>
      <c r="I134" s="7" t="s">
        <v>4210</v>
      </c>
      <c r="J134" s="7" t="s">
        <v>4211</v>
      </c>
      <c r="K134" s="7" t="s">
        <v>4129</v>
      </c>
    </row>
    <row r="135" ht="14.25" customHeight="1">
      <c r="A135" s="4">
        <v>134.0</v>
      </c>
      <c r="B135" s="5" t="str">
        <f>IFERROR(__xludf.DUMMYFUNCTION("GOOGLETRANSLATE(H135, ""th"", ""en"")"),"During a match, you see your opponent getting tired, what do you do?")</f>
        <v>During a match, you see your opponent getting tired, what do you do?</v>
      </c>
      <c r="C135" s="5" t="str">
        <f>IFERROR(__xludf.DUMMYFUNCTION("GOOGLETRANSLATE(I135, ""th"", ""en"")"),"A) Speed ​​up the game and take advantage; B) Slow down and wait for a good opportunity; C) Attack immediately to score; D) Avoid collisions.")</f>
        <v>A) Speed ​​up the game and take advantage; B) Slow down and wait for a good opportunity; C) Attack immediately to score; D) Avoid collisions.</v>
      </c>
      <c r="D135" s="5" t="str">
        <f>IFERROR(__xludf.DUMMYFUNCTION("GOOGLETRANSLATE(J135, ""th"", ""en"")"),"A) Speed ​​up the game and take advantage.")</f>
        <v>A) Speed ​​up the game and take advantage.</v>
      </c>
      <c r="E135" s="5" t="str">
        <f>IFERROR(__xludf.DUMMYFUNCTION(" GOOGLETRANSLATE(K135, ""th"", ""en"")"),"Using your advantage allows you to control the competition.")</f>
        <v>Using your advantage allows you to control the competition.</v>
      </c>
      <c r="G135" s="6">
        <v>134.0</v>
      </c>
      <c r="H135" s="7" t="s">
        <v>4133</v>
      </c>
      <c r="I135" s="7" t="s">
        <v>4212</v>
      </c>
      <c r="J135" s="7" t="s">
        <v>4135</v>
      </c>
      <c r="K135" s="7" t="s">
        <v>4136</v>
      </c>
    </row>
    <row r="136" ht="14.25" customHeight="1">
      <c r="A136" s="4">
        <v>135.0</v>
      </c>
      <c r="B136" s="5" t="str">
        <f>IFERROR(__xludf.DUMMYFUNCTION("GOOGLETRANSLATE(H136, ""th"", ""en"")"),"During training, you feel that your teammates are not cooperating. What should you do?")</f>
        <v>During training, you feel that your teammates are not cooperating. What should you do?</v>
      </c>
      <c r="C136" s="5" t="str">
        <f>IFERROR(__xludf.DUMMYFUNCTION("GOOGLETRANSLATE(I136, ""th"", ""en"")"),"A) Try to talk and cooperate; B) Avoid training with him; C) Let him train as he pleases; D) Blame your teammates.")</f>
        <v>A) Try to talk and cooperate; B) Avoid training with him; C) Let him train as he pleases; D) Blame your teammates.</v>
      </c>
      <c r="D136" s="5" t="str">
        <f>IFERROR(__xludf.DUMMYFUNCTION("GOOGLETRANSLATE(J136, ""th"", ""en"")"),"A) Try to talk and build cooperation.")</f>
        <v>A) Try to talk and build cooperation.</v>
      </c>
      <c r="E136" s="5" t="str">
        <f>IFERROR(__xludf.DUMMYFUNCTION(" GOOGLETRANSLATE(K136, ""th"", ""en"")"),"Talking helps the team to be united.")</f>
        <v>Talking helps the team to be united.</v>
      </c>
      <c r="G136" s="6">
        <v>135.0</v>
      </c>
      <c r="H136" s="7" t="s">
        <v>4151</v>
      </c>
      <c r="I136" s="7" t="s">
        <v>4152</v>
      </c>
      <c r="J136" s="7" t="s">
        <v>4153</v>
      </c>
      <c r="K136" s="7" t="s">
        <v>4213</v>
      </c>
    </row>
    <row r="137" ht="14.25" customHeight="1">
      <c r="A137" s="4">
        <v>136.0</v>
      </c>
      <c r="B137" s="5" t="str">
        <f>IFERROR(__xludf.DUMMYFUNCTION("GOOGLETRANSLATE(H137, ""th"", ""en"")"),"During a match, you find your opponent using a strategy that shocks you. What will you do?")</f>
        <v>During a match, you find your opponent using a strategy that shocks you. What will you do?</v>
      </c>
      <c r="C137" s="5" t="str">
        <f>IFERROR(__xludf.DUMMYFUNCTION("GOOGLETRANSLATE(I137, ""th"", ""en"")"),"A) Adjust your strategy and study new methods; B) Avoid confrontation; C) Practice more to prepare; D) Wait for your opponent to make a mistake.")</f>
        <v>A) Adjust your strategy and study new methods; B) Avoid confrontation; C) Practice more to prepare; D) Wait for your opponent to make a mistake.</v>
      </c>
      <c r="D137" s="5" t="str">
        <f>IFERROR(__xludf.DUMMYFUNCTION("GOOGLETRANSLATE(J137, ""th"", ""en"")"),"A) Adjust strategies and study new methods.")</f>
        <v>A) Adjust strategies and study new methods.</v>
      </c>
      <c r="E137" s="5" t="str">
        <f>IFERROR(__xludf.DUMMYFUNCTION(" GOOGLETRANSLATE(K137, ""th"", ""en"")"),"Adjusting your strategy allows you to respond better.")</f>
        <v>Adjusting your strategy allows you to respond better.</v>
      </c>
      <c r="G137" s="6">
        <v>136.0</v>
      </c>
      <c r="H137" s="7" t="s">
        <v>4203</v>
      </c>
      <c r="I137" s="7" t="s">
        <v>4214</v>
      </c>
      <c r="J137" s="7" t="s">
        <v>4215</v>
      </c>
      <c r="K137" s="7" t="s">
        <v>4140</v>
      </c>
    </row>
    <row r="138" ht="14.25" customHeight="1">
      <c r="A138" s="4">
        <v>137.0</v>
      </c>
      <c r="B138" s="5" t="str">
        <f>IFERROR(__xludf.DUMMYFUNCTION("GOOGLETRANSLATE(H138, ""th"", ""en"")"),"During the competition, you feel an old injury coming back. What do you do?")</f>
        <v>During the competition, you feel an old injury coming back. What do you do?</v>
      </c>
      <c r="C138" s="5" t="str">
        <f>IFERROR(__xludf.DUMMYFUNCTION("GOOGLETRANSLATE(I138, ""th"", ""en"")"),"A) Inform the referee and request a break; B) Continue practicing until the end of the match; C) Avoid doing any actions that cause injury; D) Stop playing immediately.")</f>
        <v>A) Inform the referee and request a break; B) Continue practicing until the end of the match; C) Avoid doing any actions that cause injury; D) Stop playing immediately.</v>
      </c>
      <c r="D138" s="5" t="str">
        <f>IFERROR(__xludf.DUMMYFUNCTION("GOOGLETRANSLATE(J138, ""th"", ""en"")"),"A) Inform the referee and request a break.")</f>
        <v>A) Inform the referee and request a break.</v>
      </c>
      <c r="E138" s="5" t="str">
        <f>IFERROR(__xludf.DUMMYFUNCTION(" GOOGLETRANSLATE(K138, ""th"", ""en"")"),"Notifying the referee ensures you receive appropriate care.")</f>
        <v>Notifying the referee ensures you receive appropriate care.</v>
      </c>
      <c r="G138" s="6">
        <v>137.0</v>
      </c>
      <c r="H138" s="7" t="s">
        <v>4184</v>
      </c>
      <c r="I138" s="7" t="s">
        <v>4185</v>
      </c>
      <c r="J138" s="7" t="s">
        <v>4186</v>
      </c>
      <c r="K138" s="7" t="s">
        <v>4187</v>
      </c>
    </row>
    <row r="139" ht="14.25" customHeight="1">
      <c r="A139" s="4">
        <v>138.0</v>
      </c>
      <c r="B139" s="5" t="str">
        <f>IFERROR(__xludf.DUMMYFUNCTION("GOOGLETRANSLATE(H139, ""th"", ""en"")"),"During training, you feel that you cannot perform the poses you are practicing well. What should you do?")</f>
        <v>During training, you feel that you cannot perform the poses you are practicing well. What should you do?</v>
      </c>
      <c r="C139" s="5" t="str">
        <f>IFERROR(__xludf.DUMMYFUNCTION("GOOGLETRANSLATE(I139, ""th"", ""en"")"),"A) Ask the trainer for advice and practice more; B) Avoid practicing the move; C) Continue practicing until you can do it; D) Complain about the difficulty.")</f>
        <v>A) Ask the trainer for advice and practice more; B) Avoid practicing the move; C) Continue practicing until you can do it; D) Complain about the difficulty.</v>
      </c>
      <c r="D139" s="5" t="str">
        <f>IFERROR(__xludf.DUMMYFUNCTION("GOOGLETRANSLATE(J139, ""th"", ""en"")"),"A) Ask for advice from the trainer and practice more.")</f>
        <v>A) Ask for advice from the trainer and practice more.</v>
      </c>
      <c r="E139" s="5" t="str">
        <f>IFERROR(__xludf.DUMMYFUNCTION(" GOOGLETRANSLATE(K139, ""th"", ""en"")"),"Asking for advice helps make training more effective.")</f>
        <v>Asking for advice helps make training more effective.</v>
      </c>
      <c r="G139" s="6">
        <v>138.0</v>
      </c>
      <c r="H139" s="7" t="s">
        <v>4216</v>
      </c>
      <c r="I139" s="7" t="s">
        <v>4170</v>
      </c>
      <c r="J139" s="7" t="s">
        <v>4145</v>
      </c>
      <c r="K139" s="7" t="s">
        <v>4164</v>
      </c>
    </row>
    <row r="140" ht="14.25" customHeight="1">
      <c r="A140" s="4">
        <v>139.0</v>
      </c>
      <c r="B140" s="5" t="str">
        <f>IFERROR(__xludf.DUMMYFUNCTION("GOOGLETRANSLATE(H140, ""th"", ""en"")"),"During a match, you find that the referee doesn't give a warning when your opponent breaks the rules. What do you do?")</f>
        <v>During a match, you find that the referee doesn't give a warning when your opponent breaks the rules. What do you do?</v>
      </c>
      <c r="C140" s="5" t="str">
        <f>IFERROR(__xludf.DUMMYFUNCTION("GOOGLETRANSLATE(I140, ""th"", ""en"")"),"A) Tell the referee to reconsider the result; B) Let it go; C) Avoid fighting with the opponent; D) Complain about the decision.")</f>
        <v>A) Tell the referee to reconsider the result; B) Let it go; C) Avoid fighting with the opponent; D) Complain about the decision.</v>
      </c>
      <c r="D140" s="5" t="str">
        <f>IFERROR(__xludf.DUMMYFUNCTION("GOOGLETRANSLATE(J140, ""th"", ""en"")"),"A) Inform the referee to reconsider the result of the match.")</f>
        <v>A) Inform the referee to reconsider the result of the match.</v>
      </c>
      <c r="E140" s="5" t="str">
        <f>IFERROR(__xludf.DUMMYFUNCTION(" GOOGLETRANSLATE(K140, ""th"", ""en"")"),"Informing the referee helps ensure a fair outcome.")</f>
        <v>Informing the referee helps ensure a fair outcome.</v>
      </c>
      <c r="G140" s="6">
        <v>139.0</v>
      </c>
      <c r="H140" s="7" t="s">
        <v>4217</v>
      </c>
      <c r="I140" s="7" t="s">
        <v>4166</v>
      </c>
      <c r="J140" s="7" t="s">
        <v>4167</v>
      </c>
      <c r="K140" s="7" t="s">
        <v>4168</v>
      </c>
    </row>
    <row r="141" ht="14.25" customHeight="1">
      <c r="A141" s="4">
        <v>140.0</v>
      </c>
      <c r="B141" s="5" t="str">
        <f>IFERROR(__xludf.DUMMYFUNCTION("GOOGLETRANSLATE(H141, ""th"", ""en"")"),"During training, you feel that you are still unable to perform the desired pose well. What should you do?")</f>
        <v>During training, you feel that you are still unable to perform the desired pose well. What should you do?</v>
      </c>
      <c r="C141" s="5" t="str">
        <f>IFERROR(__xludf.DUMMYFUNCTION("GOOGLETRANSLATE(I141, ""th"", ""en"")"),"A) Ask the trainer for advice and practice more; B) Avoid practicing the move; C) Continue practicing until you can do it; D) Complain about the difficulty.")</f>
        <v>A) Ask the trainer for advice and practice more; B) Avoid practicing the move; C) Continue practicing until you can do it; D) Complain about the difficulty.</v>
      </c>
      <c r="D141" s="5" t="str">
        <f>IFERROR(__xludf.DUMMYFUNCTION("GOOGLETRANSLATE(J141, ""th"", ""en"")"),"A) Ask for advice from the trainer and practice more.")</f>
        <v>A) Ask for advice from the trainer and practice more.</v>
      </c>
      <c r="E141" s="5" t="str">
        <f>IFERROR(__xludf.DUMMYFUNCTION(" GOOGLETRANSLATE(K141, ""th"", ""en"")"),"Asking for advice helps you improve faster.")</f>
        <v>Asking for advice helps you improve faster.</v>
      </c>
      <c r="G141" s="6">
        <v>140.0</v>
      </c>
      <c r="H141" s="7" t="s">
        <v>4169</v>
      </c>
      <c r="I141" s="7" t="s">
        <v>4170</v>
      </c>
      <c r="J141" s="7" t="s">
        <v>4145</v>
      </c>
      <c r="K141" s="7" t="s">
        <v>4171</v>
      </c>
    </row>
    <row r="142" ht="14.25" customHeight="1">
      <c r="A142" s="4">
        <v>141.0</v>
      </c>
      <c r="B142" s="5" t="str">
        <f>IFERROR(__xludf.DUMMYFUNCTION("GOOGLETRANSLATE(H142, ""th"", ""en"")"),"During practice, you feel like you can perform the poses better. What do you do?")</f>
        <v>During practice, you feel like you can perform the poses better. What do you do?</v>
      </c>
      <c r="C142" s="5" t="str">
        <f>IFERROR(__xludf.DUMMYFUNCTION("GOOGLETRANSLATE(I142, ""th"", ""en"")"),"A) Ask the trainer for advice on further development; B) Stop training because you are already doing well; C) Continue training as usual; D) Complain about the difficulty.")</f>
        <v>A) Ask the trainer for advice on further development; B) Stop training because you are already doing well; C) Continue training as usual; D) Complain about the difficulty.</v>
      </c>
      <c r="D142" s="5" t="str">
        <f>IFERROR(__xludf.DUMMYFUNCTION("GOOGLETRANSLATE(J142, ""th"", ""en"")"),"A) Ask for advice from the trainer for further development.")</f>
        <v>A) Ask for advice from the trainer for further development.</v>
      </c>
      <c r="E142" s="5" t="str">
        <f>IFERROR(__xludf.DUMMYFUNCTION(" GOOGLETRANSLATE(K142, ""th"", ""en"")"),"Asking for advice helps your training develop faster.")</f>
        <v>Asking for advice helps your training develop faster.</v>
      </c>
      <c r="G142" s="6">
        <v>141.0</v>
      </c>
      <c r="H142" s="7" t="s">
        <v>4218</v>
      </c>
      <c r="I142" s="7" t="s">
        <v>4219</v>
      </c>
      <c r="J142" s="7" t="s">
        <v>4220</v>
      </c>
      <c r="K142" s="7" t="s">
        <v>4221</v>
      </c>
    </row>
    <row r="143" ht="14.25" customHeight="1">
      <c r="A143" s="4">
        <v>142.0</v>
      </c>
      <c r="B143" s="5" t="str">
        <f>IFERROR(__xludf.DUMMYFUNCTION("GOOGLETRANSLATE(H143, ""th"", ""en"")"),"During a match, you find your opponent has a move that you cannot defend against. What will you do?")</f>
        <v>During a match, you find your opponent has a move that you cannot defend against. What will you do?</v>
      </c>
      <c r="C143" s="5" t="str">
        <f>IFERROR(__xludf.DUMMYFUNCTION("GOOGLETRANSLATE(I143, ""th"", ""en"")"),"A) Observe and learn how to defend against that move; B) Avoid contact with your opponent; C) Speed ​​up to score; D) Try a new strategy immediately.")</f>
        <v>A) Observe and learn how to defend against that move; B) Avoid contact with your opponent; C) Speed ​​up to score; D) Try a new strategy immediately.</v>
      </c>
      <c r="D143" s="5" t="str">
        <f>IFERROR(__xludf.DUMMYFUNCTION("GOOGLETRANSLATE(J143, ""th"", ""en"")"),"A) Observe and learn how to protect yourself.")</f>
        <v>A) Observe and learn how to protect yourself.</v>
      </c>
      <c r="E143" s="5" t="str">
        <f>IFERROR(__xludf.DUMMYFUNCTION(" GOOGLETRANSLATE(K143, ""th"", ""en"")"),"Learning from your competitors allows you to adapt.")</f>
        <v>Learning from your competitors allows you to adapt.</v>
      </c>
      <c r="G143" s="6">
        <v>142.0</v>
      </c>
      <c r="H143" s="7" t="s">
        <v>4222</v>
      </c>
      <c r="I143" s="7" t="s">
        <v>4223</v>
      </c>
      <c r="J143" s="7" t="s">
        <v>4224</v>
      </c>
      <c r="K143" s="7" t="s">
        <v>4225</v>
      </c>
    </row>
    <row r="144" ht="14.25" customHeight="1">
      <c r="A144" s="4">
        <v>143.0</v>
      </c>
      <c r="B144" s="5" t="str">
        <f>IFERROR(__xludf.DUMMYFUNCTION("GOOGLETRANSLATE(H144, ""th"", ""en"")"),"In your practice, you find that you frequently make mistakes in the same poses. What should you do?")</f>
        <v>In your practice, you find that you frequently make mistakes in the same poses. What should you do?</v>
      </c>
      <c r="C144" s="5" t="str">
        <f>IFERROR(__xludf.DUMMYFUNCTION("GOOGLETRANSLATE(I144, ""th"", ""en"")"),"A) Practice that pose until you can do it; B) Stop practicing that pose; C) Ask your trainer for advice on how to improve; D) Blame yourself.")</f>
        <v>A) Practice that pose until you can do it; B) Stop practicing that pose; C) Ask your trainer for advice on how to improve; D) Blame yourself.</v>
      </c>
      <c r="D144" s="5" t="str">
        <f>IFERROR(__xludf.DUMMYFUNCTION("GOOGLETRANSLATE(J144, ""th"", ""en"")"),"A) Ask for advice from the trainer for improvement.")</f>
        <v>A) Ask for advice from the trainer for improvement.</v>
      </c>
      <c r="E144" s="5" t="str">
        <f>IFERROR(__xludf.DUMMYFUNCTION(" GOOGLETRANSLATE(K144, ""th"", ""en"")"),"Asking for advice can help you develop your skills.")</f>
        <v>Asking for advice can help you develop your skills.</v>
      </c>
      <c r="G144" s="6">
        <v>143.0</v>
      </c>
      <c r="H144" s="7" t="s">
        <v>4226</v>
      </c>
      <c r="I144" s="7" t="s">
        <v>4227</v>
      </c>
      <c r="J144" s="7" t="s">
        <v>4020</v>
      </c>
      <c r="K144" s="7" t="s">
        <v>4132</v>
      </c>
    </row>
    <row r="145" ht="14.25" customHeight="1">
      <c r="A145" s="4">
        <v>144.0</v>
      </c>
      <c r="B145" s="5" t="str">
        <f>IFERROR(__xludf.DUMMYFUNCTION("GOOGLETRANSLATE(H145, ""th"", ""en"")"),"During the competition, you feel your emotions are getting out of hand, what do you do?")</f>
        <v>During the competition, you feel your emotions are getting out of hand, what do you do?</v>
      </c>
      <c r="C145" s="5" t="str">
        <f>IFERROR(__xludf.DUMMYFUNCTION("GOOGLETRANSLATE(I145, ""th"", ""en"")"),"A) Pause and take a deep breath to control your emotions; B) Act on your emotions and express yourself clearly; C) Avoid fighting with your opponent; D) Complain about the decision.")</f>
        <v>A) Pause and take a deep breath to control your emotions; B) Act on your emotions and express yourself clearly; C) Avoid fighting with your opponent; D) Complain about the decision.</v>
      </c>
      <c r="D145" s="5" t="str">
        <f>IFERROR(__xludf.DUMMYFUNCTION("GOOGLETRANSLATE(J145, ""th"", ""en"")"),"A) Pause and take a deep breath to control your emotions.")</f>
        <v>A) Pause and take a deep breath to control your emotions.</v>
      </c>
      <c r="E145" s="5" t="str">
        <f>IFERROR(__xludf.DUMMYFUNCTION(" GOOGLETRANSLATE(K145, ""th"", ""en"")"),"Controlling your emotions helps you perform better.")</f>
        <v>Controlling your emotions helps you perform better.</v>
      </c>
      <c r="G145" s="6">
        <v>144.0</v>
      </c>
      <c r="H145" s="7" t="s">
        <v>4228</v>
      </c>
      <c r="I145" s="7" t="s">
        <v>4229</v>
      </c>
      <c r="J145" s="7" t="s">
        <v>4230</v>
      </c>
      <c r="K145" s="7" t="s">
        <v>4231</v>
      </c>
    </row>
    <row r="146" ht="14.25" customHeight="1">
      <c r="A146" s="4">
        <v>145.0</v>
      </c>
      <c r="B146" s="5" t="str">
        <f>IFERROR(__xludf.DUMMYFUNCTION("GOOGLETRANSLATE(H146, ""th"", ""en"")"),"During a match, you find that the referee doesn't give a warning when your opponent breaks the rules. What do you do?")</f>
        <v>During a match, you find that the referee doesn't give a warning when your opponent breaks the rules. What do you do?</v>
      </c>
      <c r="C146" s="5" t="str">
        <f>IFERROR(__xludf.DUMMYFUNCTION("GOOGLETRANSLATE(I146, ""th"", ""en"")"),"A) Tell the referee to reconsider the result; B) Let it go; C) Avoid fighting with the opponent; D) Complain about the decision.")</f>
        <v>A) Tell the referee to reconsider the result; B) Let it go; C) Avoid fighting with the opponent; D) Complain about the decision.</v>
      </c>
      <c r="D146" s="5" t="str">
        <f>IFERROR(__xludf.DUMMYFUNCTION("GOOGLETRANSLATE(J146, ""th"", ""en"")"),"A) Inform the referee to reconsider the result of the match.")</f>
        <v>A) Inform the referee to reconsider the result of the match.</v>
      </c>
      <c r="E146" s="5" t="str">
        <f>IFERROR(__xludf.DUMMYFUNCTION(" GOOGLETRANSLATE(K146, ""th"", ""en"")"),"Informing the referee helps ensure a fair outcome.")</f>
        <v>Informing the referee helps ensure a fair outcome.</v>
      </c>
      <c r="G146" s="6">
        <v>145.0</v>
      </c>
      <c r="H146" s="7" t="s">
        <v>4217</v>
      </c>
      <c r="I146" s="7" t="s">
        <v>4166</v>
      </c>
      <c r="J146" s="7" t="s">
        <v>4167</v>
      </c>
      <c r="K146" s="7" t="s">
        <v>4168</v>
      </c>
    </row>
    <row r="147" ht="14.25" customHeight="1">
      <c r="A147" s="4">
        <v>146.0</v>
      </c>
      <c r="B147" s="5" t="str">
        <f>IFERROR(__xludf.DUMMYFUNCTION("GOOGLETRANSLATE(H147, ""th"", ""en"")"),"During training, you feel that you are still unable to perform the desired pose well. What should you do?")</f>
        <v>During training, you feel that you are still unable to perform the desired pose well. What should you do?</v>
      </c>
      <c r="C147" s="5" t="str">
        <f>IFERROR(__xludf.DUMMYFUNCTION("GOOGLETRANSLATE(I147, ""th"", ""en"")"),"A) Ask the trainer for advice and practice more; B) Avoid practicing the move; C) Continue practicing until you can do it; D) Complain about the difficulty.")</f>
        <v>A) Ask the trainer for advice and practice more; B) Avoid practicing the move; C) Continue practicing until you can do it; D) Complain about the difficulty.</v>
      </c>
      <c r="D147" s="5" t="str">
        <f>IFERROR(__xludf.DUMMYFUNCTION("GOOGLETRANSLATE(J147, ""th"", ""en"")"),"A) Ask for advice from the trainer and practice more.")</f>
        <v>A) Ask for advice from the trainer and practice more.</v>
      </c>
      <c r="E147" s="5" t="str">
        <f>IFERROR(__xludf.DUMMYFUNCTION(" GOOGLETRANSLATE(K147, ""th"", ""en"")"),"Asking for advice helps you improve faster.")</f>
        <v>Asking for advice helps you improve faster.</v>
      </c>
      <c r="G147" s="6">
        <v>146.0</v>
      </c>
      <c r="H147" s="7" t="s">
        <v>4169</v>
      </c>
      <c r="I147" s="7" t="s">
        <v>4170</v>
      </c>
      <c r="J147" s="7" t="s">
        <v>4145</v>
      </c>
      <c r="K147" s="7" t="s">
        <v>4171</v>
      </c>
    </row>
    <row r="148" ht="14.25" customHeight="1">
      <c r="A148" s="4">
        <v>147.0</v>
      </c>
      <c r="B148" s="5" t="str">
        <f>IFERROR(__xludf.DUMMYFUNCTION("GOOGLETRANSLATE(H148, ""th"", ""en"")"),"In training, you find that your teammates are unable to follow instructions. What do you do?")</f>
        <v>In training, you find that your teammates are unable to follow instructions. What do you do?</v>
      </c>
      <c r="C148" s="5" t="str">
        <f>IFERROR(__xludf.DUMMYFUNCTION("GOOGLETRANSLATE(I148, ""th"", ""en"")"),"A) Help him and give him advice again; B) Ignore him and continue training; C) Reprimand him in front of others; D) Blame him.")</f>
        <v>A) Help him and give him advice again; B) Ignore him and continue training; C) Reprimand him in front of others; D) Blame him.</v>
      </c>
      <c r="D148" s="5" t="str">
        <f>IFERROR(__xludf.DUMMYFUNCTION("GOOGLETRANSLATE(J148, ""th"", ""en"")"),"A) Help him and advise him again.")</f>
        <v>A) Help him and advise him again.</v>
      </c>
      <c r="E148" s="5" t="str">
        <f>IFERROR(__xludf.DUMMYFUNCTION(" GOOGLETRANSLATE(K148, ""th"", ""en"")"),"Helping your teammates improves your training.")</f>
        <v>Helping your teammates improves your training.</v>
      </c>
      <c r="G148" s="6">
        <v>147.0</v>
      </c>
      <c r="H148" s="7" t="s">
        <v>4232</v>
      </c>
      <c r="I148" s="7" t="s">
        <v>4177</v>
      </c>
      <c r="J148" s="7" t="s">
        <v>4178</v>
      </c>
      <c r="K148" s="7" t="s">
        <v>4179</v>
      </c>
    </row>
    <row r="149" ht="14.25" customHeight="1">
      <c r="A149" s="4">
        <v>148.0</v>
      </c>
      <c r="B149" s="5" t="str">
        <f>IFERROR(__xludf.DUMMYFUNCTION("GOOGLETRANSLATE(H149, ""th"", ""en"")"),"During a match, you feel your opponent is making mistakes. What should you do?")</f>
        <v>During a match, you feel your opponent is making mistakes. What should you do?</v>
      </c>
      <c r="C149" s="5" t="str">
        <f>IFERROR(__xludf.DUMMYFUNCTION("GOOGLETRANSLATE(I149, ""th"", ""en"")"),"A) Speed ​​up the game to take advantage; B) Wait for the opponent to make more mistakes; C) Avoid contact; D) Adjust your strategy to score points.")</f>
        <v>A) Speed ​​up the game to take advantage; B) Wait for the opponent to make more mistakes; C) Avoid contact; D) Adjust your strategy to score points.</v>
      </c>
      <c r="D149" s="5" t="str">
        <f>IFERROR(__xludf.DUMMYFUNCTION("GOOGLETRANSLATE(J149, ""th"", ""en"")"),"A) Speed ​​up the game to take advantage.")</f>
        <v>A) Speed ​​up the game to take advantage.</v>
      </c>
      <c r="E149" s="5" t="str">
        <f>IFERROR(__xludf.DUMMYFUNCTION(" GOOGLETRANSLATE(K149, ""th"", ""en"")"),"Using your advantage helps you take control of the game.")</f>
        <v>Using your advantage helps you take control of the game.</v>
      </c>
      <c r="G149" s="6">
        <v>148.0</v>
      </c>
      <c r="H149" s="7" t="s">
        <v>4233</v>
      </c>
      <c r="I149" s="7" t="s">
        <v>4234</v>
      </c>
      <c r="J149" s="7" t="s">
        <v>4235</v>
      </c>
      <c r="K149" s="7" t="s">
        <v>4236</v>
      </c>
    </row>
    <row r="150" ht="14.25" customHeight="1">
      <c r="A150" s="4">
        <v>149.0</v>
      </c>
      <c r="B150" s="5" t="str">
        <f>IFERROR(__xludf.DUMMYFUNCTION("GOOGLETRANSLATE(H150, ""th"", ""en"")"),"In training, you see your teammates not cooperating in training, what do you do?")</f>
        <v>In training, you see your teammates not cooperating in training, what do you do?</v>
      </c>
      <c r="C150" s="5" t="str">
        <f>IFERROR(__xludf.DUMMYFUNCTION("GOOGLETRANSLATE(I150, ""th"", ""en"")"),"A) Try to talk and cooperate; B) Avoid training with him; C) Let him train as he pleases; D) Blame your teammates.")</f>
        <v>A) Try to talk and cooperate; B) Avoid training with him; C) Let him train as he pleases; D) Blame your teammates.</v>
      </c>
      <c r="D150" s="5" t="str">
        <f>IFERROR(__xludf.DUMMYFUNCTION("GOOGLETRANSLATE(J150, ""th"", ""en"")"),"A) Try to talk and build cooperation.")</f>
        <v>A) Try to talk and build cooperation.</v>
      </c>
      <c r="E150" s="5" t="str">
        <f>IFERROR(__xludf.DUMMYFUNCTION(" GOOGLETRANSLATE(K150, ""th"", ""en"")"),"Talking helps the team to be united.")</f>
        <v>Talking helps the team to be united.</v>
      </c>
      <c r="G150" s="6">
        <v>149.0</v>
      </c>
      <c r="H150" s="7" t="s">
        <v>4237</v>
      </c>
      <c r="I150" s="7" t="s">
        <v>4152</v>
      </c>
      <c r="J150" s="7" t="s">
        <v>4153</v>
      </c>
      <c r="K150" s="7" t="s">
        <v>4213</v>
      </c>
    </row>
    <row r="151" ht="14.25" customHeight="1">
      <c r="A151" s="4">
        <v>150.0</v>
      </c>
      <c r="B151" s="5" t="str">
        <f>IFERROR(__xludf.DUMMYFUNCTION("GOOGLETRANSLATE(H151, ""th"", ""en"")"),"During the competition, you find that an old injury has returned. What do you do?")</f>
        <v>During the competition, you find that an old injury has returned. What do you do?</v>
      </c>
      <c r="C151" s="5" t="str">
        <f>IFERROR(__xludf.DUMMYFUNCTION("GOOGLETRANSLATE(I151, ""th"", ""en"")"),"A) Inform the referee and request a break; B) Continue practicing until the end of the match; C) Avoid doing any actions that cause injury; D) Stop playing immediately.")</f>
        <v>A) Inform the referee and request a break; B) Continue practicing until the end of the match; C) Avoid doing any actions that cause injury; D) Stop playing immediately.</v>
      </c>
      <c r="D151" s="5" t="str">
        <f>IFERROR(__xludf.DUMMYFUNCTION("GOOGLETRANSLATE(J151, ""th"", ""en"")"),"A) Inform the referee and request a break.")</f>
        <v>A) Inform the referee and request a break.</v>
      </c>
      <c r="E151" s="5" t="str">
        <f>IFERROR(__xludf.DUMMYFUNCTION(" GOOGLETRANSLATE(K151, ""th"", ""en"")"),"Notifying the referee ensures you receive appropriate care.")</f>
        <v>Notifying the referee ensures you receive appropriate care.</v>
      </c>
      <c r="G151" s="6">
        <v>150.0</v>
      </c>
      <c r="H151" s="7" t="s">
        <v>4238</v>
      </c>
      <c r="I151" s="7" t="s">
        <v>4185</v>
      </c>
      <c r="J151" s="7" t="s">
        <v>4186</v>
      </c>
      <c r="K151" s="7" t="s">
        <v>4187</v>
      </c>
    </row>
    <row r="152" ht="14.25" customHeight="1">
      <c r="A152" s="4">
        <v>151.0</v>
      </c>
      <c r="B152" s="5" t="str">
        <f>IFERROR(__xludf.DUMMYFUNCTION("GOOGLETRANSLATE(H152, ""th"", ""en"")"),"During the match, you find out that the referee made a wrong decision, what will you do?")</f>
        <v>During the match, you find out that the referee made a wrong decision, what will you do?</v>
      </c>
      <c r="C152" s="5" t="str">
        <f>IFERROR(__xludf.DUMMYFUNCTION("GOOGLETRANSLATE(I152, ""th"", ""en"")"),"A) Tell the referee to reconsider the result; B) Let it go; C) Argue with the referee; D) Wait for the referee to change his decision.")</f>
        <v>A) Tell the referee to reconsider the result; B) Let it go; C) Argue with the referee; D) Wait for the referee to change his decision.</v>
      </c>
      <c r="D152" s="5" t="str">
        <f>IFERROR(__xludf.DUMMYFUNCTION("GOOGLETRANSLATE(J152, ""th"", ""en"")"),"A) Inform the referee to reconsider the result of the match.")</f>
        <v>A) Inform the referee to reconsider the result of the match.</v>
      </c>
      <c r="E152" s="5" t="str">
        <f>IFERROR(__xludf.DUMMYFUNCTION(" GOOGLETRANSLATE(K152, ""th"", ""en"")"),"Informing the referee helps the match to be in accordance with the rules.")</f>
        <v>Informing the referee helps the match to be in accordance with the rules.</v>
      </c>
      <c r="G152" s="6">
        <v>151.0</v>
      </c>
      <c r="H152" s="7" t="s">
        <v>4239</v>
      </c>
      <c r="I152" s="7" t="s">
        <v>4240</v>
      </c>
      <c r="J152" s="7" t="s">
        <v>4167</v>
      </c>
      <c r="K152" s="7" t="s">
        <v>3767</v>
      </c>
    </row>
    <row r="153" ht="14.25" customHeight="1">
      <c r="A153" s="4">
        <v>152.0</v>
      </c>
      <c r="B153" s="5" t="str">
        <f>IFERROR(__xludf.DUMMYFUNCTION("GOOGLETRANSLATE(H153, ""th"", ""en"")"),"In training, you see your teammates making mistakes frequently. What do you do?")</f>
        <v>In training, you see your teammates making mistakes frequently. What do you do?</v>
      </c>
      <c r="C153" s="5" t="str">
        <f>IFERROR(__xludf.DUMMYFUNCTION("GOOGLETRANSLATE(I153, ""th"", ""en"")"),"A) Help him and guide him to do the right thing; B) Ignore him and continue training; C) Blame him in front of others; D) Avoid training with him.")</f>
        <v>A) Help him and guide him to do the right thing; B) Ignore him and continue training; C) Blame him in front of others; D) Avoid training with him.</v>
      </c>
      <c r="D153" s="5" t="str">
        <f>IFERROR(__xludf.DUMMYFUNCTION("GOOGLETRANSLATE(J153, ""th"", ""en"")"),"A) Help him and advise him on what to do correctly.")</f>
        <v>A) Help him and advise him on what to do correctly.</v>
      </c>
      <c r="E153" s="5" t="str">
        <f>IFERROR(__xludf.DUMMYFUNCTION(" GOOGLETRANSLATE(K153, ""th"", ""en"")"),"Helping your teammates helps build unity.")</f>
        <v>Helping your teammates helps build unity.</v>
      </c>
      <c r="G153" s="6">
        <v>152.0</v>
      </c>
      <c r="H153" s="7" t="s">
        <v>4241</v>
      </c>
      <c r="I153" s="7" t="s">
        <v>4210</v>
      </c>
      <c r="J153" s="7" t="s">
        <v>4211</v>
      </c>
      <c r="K153" s="7" t="s">
        <v>4129</v>
      </c>
    </row>
    <row r="154" ht="14.25" customHeight="1">
      <c r="A154" s="4">
        <v>153.0</v>
      </c>
      <c r="B154" s="5" t="str">
        <f>IFERROR(__xludf.DUMMYFUNCTION("GOOGLETRANSLATE(H154, ""th"", ""en"")"),"During a match, you find your opponent is getting tired. What do you do?")</f>
        <v>During a match, you find your opponent is getting tired. What do you do?</v>
      </c>
      <c r="C154" s="5" t="str">
        <f>IFERROR(__xludf.DUMMYFUNCTION("GOOGLETRANSLATE(I154, ""th"", ""en"")"),"A) Speed ​​up the game and take advantage; B) Slow down and wait for a good opportunity; C) Attack immediately to score; D) Avoid collisions.")</f>
        <v>A) Speed ​​up the game and take advantage; B) Slow down and wait for a good opportunity; C) Attack immediately to score; D) Avoid collisions.</v>
      </c>
      <c r="D154" s="5" t="str">
        <f>IFERROR(__xludf.DUMMYFUNCTION("GOOGLETRANSLATE(J154, ""th"", ""en"")"),"A) Speed ​​up the game and take advantage.")</f>
        <v>A) Speed ​​up the game and take advantage.</v>
      </c>
      <c r="E154" s="5" t="str">
        <f>IFERROR(__xludf.DUMMYFUNCTION(" GOOGLETRANSLATE(K154, ""th"", ""en"")"),"Using your advantage allows you to control the competition.")</f>
        <v>Using your advantage allows you to control the competition.</v>
      </c>
      <c r="G154" s="6">
        <v>153.0</v>
      </c>
      <c r="H154" s="7" t="s">
        <v>4242</v>
      </c>
      <c r="I154" s="7" t="s">
        <v>4212</v>
      </c>
      <c r="J154" s="7" t="s">
        <v>4135</v>
      </c>
      <c r="K154" s="7" t="s">
        <v>4136</v>
      </c>
    </row>
    <row r="155" ht="14.25" customHeight="1">
      <c r="A155" s="4">
        <v>154.0</v>
      </c>
      <c r="B155" s="5" t="str">
        <f>IFERROR(__xludf.DUMMYFUNCTION("GOOGLETRANSLATE(H155, ""th"", ""en"")"),"During training, you find that your teammate is doing an exercise incorrectly, what will you do?")</f>
        <v>During training, you find that your teammate is doing an exercise incorrectly, what will you do?</v>
      </c>
      <c r="C155" s="5" t="str">
        <f>IFERROR(__xludf.DUMMYFUNCTION("GOOGLETRANSLATE(I155, ""th"", ""en"")"),"A) Help him and guide him to do the right thing; B) Ignore him and continue training; C) Blame him in front of others; D) Avoid training with him.")</f>
        <v>A) Help him and guide him to do the right thing; B) Ignore him and continue training; C) Blame him in front of others; D) Avoid training with him.</v>
      </c>
      <c r="D155" s="5" t="str">
        <f>IFERROR(__xludf.DUMMYFUNCTION("GOOGLETRANSLATE(J155, ""th"", ""en"")"),"A) Help him and advise him on what to do correctly.")</f>
        <v>A) Help him and advise him on what to do correctly.</v>
      </c>
      <c r="E155" s="5" t="str">
        <f>IFERROR(__xludf.DUMMYFUNCTION(" GOOGLETRANSLATE(K155, ""th"", ""en"")"),"Helping your teammates helps build unity.")</f>
        <v>Helping your teammates helps build unity.</v>
      </c>
      <c r="G155" s="6">
        <v>154.0</v>
      </c>
      <c r="H155" s="7" t="s">
        <v>4243</v>
      </c>
      <c r="I155" s="7" t="s">
        <v>4210</v>
      </c>
      <c r="J155" s="7" t="s">
        <v>4211</v>
      </c>
      <c r="K155" s="7" t="s">
        <v>4129</v>
      </c>
    </row>
    <row r="156" ht="14.25" customHeight="1">
      <c r="A156" s="4">
        <v>155.0</v>
      </c>
      <c r="B156" s="5" t="str">
        <f>IFERROR(__xludf.DUMMYFUNCTION("GOOGLETRANSLATE(H156, ""th"", ""en"")"),"During the competition, you feel your emotions are getting out of control. What do you do?")</f>
        <v>During the competition, you feel your emotions are getting out of control. What do you do?</v>
      </c>
      <c r="C156" s="5" t="str">
        <f>IFERROR(__xludf.DUMMYFUNCTION("GOOGLETRANSLATE(I156, ""th"", ""en"")"),"A) Stop and take a deep breath to control your emotions; B) Give it your all and ignore your emotions; C) Get angry and express yourself clearly; D) Quit the match.")</f>
        <v>A) Stop and take a deep breath to control your emotions; B) Give it your all and ignore your emotions; C) Get angry and express yourself clearly; D) Quit the match.</v>
      </c>
      <c r="D156" s="5" t="str">
        <f>IFERROR(__xludf.DUMMYFUNCTION("GOOGLETRANSLATE(J156, ""th"", ""en"")"),"A) Stop and take a deep breath to control your emotions.")</f>
        <v>A) Stop and take a deep breath to control your emotions.</v>
      </c>
      <c r="E156" s="5" t="str">
        <f>IFERROR(__xludf.DUMMYFUNCTION(" GOOGLETRANSLATE(K156, ""th"", ""en"")"),"Controlling your emotions helps you perform better.")</f>
        <v>Controlling your emotions helps you perform better.</v>
      </c>
      <c r="G156" s="6">
        <v>155.0</v>
      </c>
      <c r="H156" s="7" t="s">
        <v>4172</v>
      </c>
      <c r="I156" s="7" t="s">
        <v>4173</v>
      </c>
      <c r="J156" s="7" t="s">
        <v>4174</v>
      </c>
      <c r="K156" s="7" t="s">
        <v>4175</v>
      </c>
    </row>
    <row r="157" ht="14.25" customHeight="1">
      <c r="A157" s="4">
        <v>156.0</v>
      </c>
      <c r="B157" s="5" t="str">
        <f>IFERROR(__xludf.DUMMYFUNCTION("GOOGLETRANSLATE(H157, ""th"", ""en"")"),"During training, you feel like you can't perform the poses you want well. What should you do?")</f>
        <v>During training, you feel like you can't perform the poses you want well. What should you do?</v>
      </c>
      <c r="C157" s="5" t="str">
        <f>IFERROR(__xludf.DUMMYFUNCTION("GOOGLETRANSLATE(I157, ""th"", ""en"")"),"A) Ask the trainer for advice and practice more; B) Avoid practicing the move; C) Continue practicing until you can do it; D) Complain about the difficulty.")</f>
        <v>A) Ask the trainer for advice and practice more; B) Avoid practicing the move; C) Continue practicing until you can do it; D) Complain about the difficulty.</v>
      </c>
      <c r="D157" s="5" t="str">
        <f>IFERROR(__xludf.DUMMYFUNCTION("GOOGLETRANSLATE(J157, ""th"", ""en"")"),"A) Ask for advice from the trainer and practice more.")</f>
        <v>A) Ask for advice from the trainer and practice more.</v>
      </c>
      <c r="E157" s="5" t="str">
        <f>IFERROR(__xludf.DUMMYFUNCTION(" GOOGLETRANSLATE(K157, ""th"", ""en"")"),"Asking for advice can help you develop your skills.")</f>
        <v>Asking for advice can help you develop your skills.</v>
      </c>
      <c r="G157" s="6">
        <v>156.0</v>
      </c>
      <c r="H157" s="7" t="s">
        <v>4244</v>
      </c>
      <c r="I157" s="7" t="s">
        <v>4170</v>
      </c>
      <c r="J157" s="7" t="s">
        <v>4145</v>
      </c>
      <c r="K157" s="7" t="s">
        <v>4132</v>
      </c>
    </row>
    <row r="158" ht="14.25" customHeight="1">
      <c r="A158" s="4">
        <v>157.0</v>
      </c>
      <c r="B158" s="5" t="str">
        <f>IFERROR(__xludf.DUMMYFUNCTION("GOOGLETRANSLATE(H158, ""th"", ""en"")"),"During a match, you see your opponent starting to break the rules. What will you do?")</f>
        <v>During a match, you see your opponent starting to break the rules. What will you do?</v>
      </c>
      <c r="C158" s="5" t="str">
        <f>IFERROR(__xludf.DUMMYFUNCTION("GOOGLETRANSLATE(I158, ""th"", ""en"")"),"A) Tell the referee to reconsider the result; B) Let it go; C) Avoid fighting with the opponent; D) Complain about the decision.")</f>
        <v>A) Tell the referee to reconsider the result; B) Let it go; C) Avoid fighting with the opponent; D) Complain about the decision.</v>
      </c>
      <c r="D158" s="5" t="str">
        <f>IFERROR(__xludf.DUMMYFUNCTION("GOOGLETRANSLATE(J158, ""th"", ""en"")"),"A) Inform the referee to reconsider the result of the match.")</f>
        <v>A) Inform the referee to reconsider the result of the match.</v>
      </c>
      <c r="E158" s="5" t="str">
        <f>IFERROR(__xludf.DUMMYFUNCTION(" GOOGLETRANSLATE(K158, ""th"", ""en"")"),"Informing the referee helps ensure a fair outcome.")</f>
        <v>Informing the referee helps ensure a fair outcome.</v>
      </c>
      <c r="G158" s="6">
        <v>157.0</v>
      </c>
      <c r="H158" s="7" t="s">
        <v>4245</v>
      </c>
      <c r="I158" s="7" t="s">
        <v>4166</v>
      </c>
      <c r="J158" s="7" t="s">
        <v>4167</v>
      </c>
      <c r="K158" s="7" t="s">
        <v>4168</v>
      </c>
    </row>
    <row r="159" ht="14.25" customHeight="1">
      <c r="A159" s="4">
        <v>158.0</v>
      </c>
      <c r="B159" s="5" t="str">
        <f>IFERROR(__xludf.DUMMYFUNCTION("GOOGLETRANSLATE(H159, ""th"", ""en"")"),"In training, you find that your teammates are unable to follow instructions. What do you do?")</f>
        <v>In training, you find that your teammates are unable to follow instructions. What do you do?</v>
      </c>
      <c r="C159" s="5" t="str">
        <f>IFERROR(__xludf.DUMMYFUNCTION("GOOGLETRANSLATE(I159, ""th"", ""en"")"),"A) Help him and give him advice again; B) Ignore him and continue training; C) Reprimand him in front of others; D) Blame him.")</f>
        <v>A) Help him and give him advice again; B) Ignore him and continue training; C) Reprimand him in front of others; D) Blame him.</v>
      </c>
      <c r="D159" s="5" t="str">
        <f>IFERROR(__xludf.DUMMYFUNCTION("GOOGLETRANSLATE(J159, ""th"", ""en"")"),"A) Help him and advise him again.")</f>
        <v>A) Help him and advise him again.</v>
      </c>
      <c r="E159" s="5" t="str">
        <f>IFERROR(__xludf.DUMMYFUNCTION(" GOOGLETRANSLATE(K159, ""th"", ""en"")"),"Helping your teammates improves your training.")</f>
        <v>Helping your teammates improves your training.</v>
      </c>
      <c r="G159" s="6">
        <v>158.0</v>
      </c>
      <c r="H159" s="7" t="s">
        <v>4232</v>
      </c>
      <c r="I159" s="7" t="s">
        <v>4177</v>
      </c>
      <c r="J159" s="7" t="s">
        <v>4178</v>
      </c>
      <c r="K159" s="7" t="s">
        <v>4179</v>
      </c>
    </row>
    <row r="160" ht="14.25" customHeight="1">
      <c r="A160" s="4">
        <v>159.0</v>
      </c>
      <c r="B160" s="5" t="str">
        <f>IFERROR(__xludf.DUMMYFUNCTION("GOOGLETRANSLATE(H160, ""th"", ""en"")"),"In training, you find that you are not making the progress you expected. What should you do?")</f>
        <v>In training, you find that you are not making the progress you expected. What should you do?</v>
      </c>
      <c r="C160" s="5" t="str">
        <f>IFERROR(__xludf.DUMMYFUNCTION("GOOGLETRANSLATE(I160, ""th"", ""en"")"),"A) Adjust training methods and ask for advice from the trainer; B) Stop training; C) Blame yourself; D) Complain about training.")</f>
        <v>A) Adjust training methods and ask for advice from the trainer; B) Stop training; C) Blame yourself; D) Complain about training.</v>
      </c>
      <c r="D160" s="5" t="str">
        <f>IFERROR(__xludf.DUMMYFUNCTION("GOOGLETRANSLATE(J160, ""th"", ""en"")"),"A) Adjust training methods and ask for advice from trainers.")</f>
        <v>A) Adjust training methods and ask for advice from trainers.</v>
      </c>
      <c r="E160" s="5" t="str">
        <f>IFERROR(__xludf.DUMMYFUNCTION(" GOOGLETRANSLATE(K160, ""th"", ""en"")"),"Adjusting the method helps to make training more effective.")</f>
        <v>Adjusting the method helps to make training more effective.</v>
      </c>
      <c r="G160" s="6">
        <v>159.0</v>
      </c>
      <c r="H160" s="7" t="s">
        <v>4246</v>
      </c>
      <c r="I160" s="7" t="s">
        <v>4247</v>
      </c>
      <c r="J160" s="7" t="s">
        <v>4248</v>
      </c>
      <c r="K160" s="7" t="s">
        <v>4249</v>
      </c>
    </row>
    <row r="161" ht="14.25" customHeight="1">
      <c r="A161" s="4">
        <v>160.0</v>
      </c>
      <c r="B161" s="5" t="str">
        <f>IFERROR(__xludf.DUMMYFUNCTION("GOOGLETRANSLATE(H161, ""th"", ""en"")"),"During a match, you notice that your opponent is showing signs of fatigue. What do you do?")</f>
        <v>During a match, you notice that your opponent is showing signs of fatigue. What do you do?</v>
      </c>
      <c r="C161" s="5" t="str">
        <f>IFERROR(__xludf.DUMMYFUNCTION("GOOGLETRANSLATE(I161, ""th"", ""en"")"),"A) Speed ​​up the game to take advantage of fatigue; B) Slow down to avoid making mistakes; C) Attack immediately to score; D) Avoid contact.")</f>
        <v>A) Speed ​​up the game to take advantage of fatigue; B) Slow down to avoid making mistakes; C) Attack immediately to score; D) Avoid contact.</v>
      </c>
      <c r="D161" s="5" t="str">
        <f>IFERROR(__xludf.DUMMYFUNCTION("GOOGLETRANSLATE(J161, ""th"", ""en"")"),"A) Speed ​​up the game to take advantage of fatigue.")</f>
        <v>A) Speed ​​up the game to take advantage of fatigue.</v>
      </c>
      <c r="E161" s="5" t="str">
        <f>IFERROR(__xludf.DUMMYFUNCTION(" GOOGLETRANSLATE(K161, ""th"", ""en"")"),"Taking advantage of your opponent's fatigue can help you score points.")</f>
        <v>Taking advantage of your opponent's fatigue can help you score points.</v>
      </c>
      <c r="G161" s="6">
        <v>160.0</v>
      </c>
      <c r="H161" s="7" t="s">
        <v>4250</v>
      </c>
      <c r="I161" s="7" t="s">
        <v>4251</v>
      </c>
      <c r="J161" s="7" t="s">
        <v>4252</v>
      </c>
      <c r="K161" s="7" t="s">
        <v>4253</v>
      </c>
    </row>
    <row r="162" ht="14.25" customHeight="1">
      <c r="A162" s="4">
        <v>161.0</v>
      </c>
      <c r="B162" s="5" t="str">
        <f>IFERROR(__xludf.DUMMYFUNCTION("GOOGLETRANSLATE(H162, ""th"", ""en"")"),"During training, you feel that your skills are not as good as they should be. What should you do?")</f>
        <v>During training, you feel that your skills are not as good as they should be. What should you do?</v>
      </c>
      <c r="C162" s="5" t="str">
        <f>IFERROR(__xludf.DUMMYFUNCTION("GOOGLETRANSLATE(I162, ""th"", ""en"")"),"A) Ask the trainer for advice and try to improve; B) Avoid practicing the exercise; C) Complain about the difficulty; D) Stop practicing.")</f>
        <v>A) Ask the trainer for advice and try to improve; B) Avoid practicing the exercise; C) Complain about the difficulty; D) Stop practicing.</v>
      </c>
      <c r="D162" s="5" t="str">
        <f>IFERROR(__xludf.DUMMYFUNCTION("GOOGLETRANSLATE(J162, ""th"", ""en"")"),"A) Ask for advice from the trainer and try to improve.")</f>
        <v>A) Ask for advice from the trainer and try to improve.</v>
      </c>
      <c r="E162" s="5" t="str">
        <f>IFERROR(__xludf.DUMMYFUNCTION(" GOOGLETRANSLATE(K162, ""th"", ""en"")"),"Asking for advice can help you develop your skills faster.")</f>
        <v>Asking for advice can help you develop your skills faster.</v>
      </c>
      <c r="G162" s="6">
        <v>161.0</v>
      </c>
      <c r="H162" s="7" t="s">
        <v>4254</v>
      </c>
      <c r="I162" s="7" t="s">
        <v>4255</v>
      </c>
      <c r="J162" s="7" t="s">
        <v>4256</v>
      </c>
      <c r="K162" s="7" t="s">
        <v>4257</v>
      </c>
    </row>
    <row r="163" ht="14.25" customHeight="1">
      <c r="A163" s="4">
        <v>162.0</v>
      </c>
      <c r="B163" s="5" t="str">
        <f>IFERROR(__xludf.DUMMYFUNCTION("GOOGLETRANSLATE(H163, ""th"", ""en"")"),"During the match, you feel that your opponent is starting to make mistakes. What will you do?")</f>
        <v>During the match, you feel that your opponent is starting to make mistakes. What will you do?</v>
      </c>
      <c r="C163" s="5" t="str">
        <f>IFERROR(__xludf.DUMMYFUNCTION("GOOGLETRANSLATE(I163, ""th"", ""en"")"),"A) Speed ​​up the game to take advantage; B) Wait for the opponent to make more mistakes; C) Slow down and play normally; D) Attack immediately to score.")</f>
        <v>A) Speed ​​up the game to take advantage; B) Wait for the opponent to make more mistakes; C) Slow down and play normally; D) Attack immediately to score.</v>
      </c>
      <c r="D163" s="5" t="str">
        <f>IFERROR(__xludf.DUMMYFUNCTION("GOOGLETRANSLATE(J163, ""th"", ""en"")"),"A) Speed ​​up the game to take advantage.")</f>
        <v>A) Speed ​​up the game to take advantage.</v>
      </c>
      <c r="E163" s="5" t="str">
        <f>IFERROR(__xludf.DUMMYFUNCTION(" GOOGLETRANSLATE(K163, ""th"", ""en"")"),"Using your advantage helps you control the competition.")</f>
        <v>Using your advantage helps you control the competition.</v>
      </c>
      <c r="G163" s="6">
        <v>162.0</v>
      </c>
      <c r="H163" s="7" t="s">
        <v>4258</v>
      </c>
      <c r="I163" s="7" t="s">
        <v>4259</v>
      </c>
      <c r="J163" s="7" t="s">
        <v>4235</v>
      </c>
      <c r="K163" s="7" t="s">
        <v>4260</v>
      </c>
    </row>
    <row r="164" ht="14.25" customHeight="1">
      <c r="A164" s="4">
        <v>163.0</v>
      </c>
      <c r="B164" s="5" t="str">
        <f>IFERROR(__xludf.DUMMYFUNCTION("GOOGLETRANSLATE(H164, ""th"", ""en"")"),"In training, you find that your teammates are not following instructions. What do you do?")</f>
        <v>In training, you find that your teammates are not following instructions. What do you do?</v>
      </c>
      <c r="C164" s="5" t="str">
        <f>IFERROR(__xludf.DUMMYFUNCTION("GOOGLETRANSLATE(I164, ""th"", ""en"")"),"A) Try to help and explain things again; B) Avoid training with him; C) Blame him; D) Let him train as he pleases.")</f>
        <v>A) Try to help and explain things again; B) Avoid training with him; C) Blame him; D) Let him train as he pleases.</v>
      </c>
      <c r="D164" s="5" t="str">
        <f>IFERROR(__xludf.DUMMYFUNCTION("GOOGLETRANSLATE(J164, ""th"", ""en"")"),"A) Try to help and explain again.")</f>
        <v>A) Try to help and explain again.</v>
      </c>
      <c r="E164" s="5" t="str">
        <f>IFERROR(__xludf.DUMMYFUNCTION(" GOOGLETRANSLATE(K164, ""th"", ""en"")"),"Helping your teammates helps build unity.")</f>
        <v>Helping your teammates helps build unity.</v>
      </c>
      <c r="G164" s="6">
        <v>163.0</v>
      </c>
      <c r="H164" s="7" t="s">
        <v>4261</v>
      </c>
      <c r="I164" s="7" t="s">
        <v>4262</v>
      </c>
      <c r="J164" s="7" t="s">
        <v>4263</v>
      </c>
      <c r="K164" s="7" t="s">
        <v>4264</v>
      </c>
    </row>
    <row r="165" ht="14.25" customHeight="1">
      <c r="A165" s="4">
        <v>164.0</v>
      </c>
      <c r="B165" s="5" t="str">
        <f>IFERROR(__xludf.DUMMYFUNCTION("GOOGLETRANSLATE(H165, ""th"", ""en"")"),"In a match, you see a referee make a mistake, what do you do?")</f>
        <v>In a match, you see a referee make a mistake, what do you do?</v>
      </c>
      <c r="C165" s="5" t="str">
        <f>IFERROR(__xludf.DUMMYFUNCTION("GOOGLETRANSLATE(I165, ""th"", ""en"")"),"A) Tell the referee to reconsider the result; B) Let it go; C) Argue with the referee; D) Complain about the decision.")</f>
        <v>A) Tell the referee to reconsider the result; B) Let it go; C) Argue with the referee; D) Complain about the decision.</v>
      </c>
      <c r="D165" s="5" t="str">
        <f>IFERROR(__xludf.DUMMYFUNCTION("GOOGLETRANSLATE(J165, ""th"", ""en"")"),"A) Inform the referee to reconsider the result of the match.")</f>
        <v>A) Inform the referee to reconsider the result of the match.</v>
      </c>
      <c r="E165" s="5" t="str">
        <f>IFERROR(__xludf.DUMMYFUNCTION(" GOOGLETRANSLATE(K165, ""th"", ""en"")"),"Informing the referee helps the match to be in accordance with the rules.")</f>
        <v>Informing the referee helps the match to be in accordance with the rules.</v>
      </c>
      <c r="G165" s="6">
        <v>164.0</v>
      </c>
      <c r="H165" s="7" t="s">
        <v>4265</v>
      </c>
      <c r="I165" s="7" t="s">
        <v>4266</v>
      </c>
      <c r="J165" s="7" t="s">
        <v>4167</v>
      </c>
      <c r="K165" s="7" t="s">
        <v>3767</v>
      </c>
    </row>
    <row r="166" ht="14.25" customHeight="1">
      <c r="A166" s="4">
        <v>165.0</v>
      </c>
      <c r="B166" s="5" t="str">
        <f>IFERROR(__xludf.DUMMYFUNCTION("GOOGLETRANSLATE(H166, ""th"", ""en"")"),"During the race, you feel tired, what do you do?")</f>
        <v>During the race, you feel tired, what do you do?</v>
      </c>
      <c r="C166" s="5" t="str">
        <f>IFERROR(__xludf.DUMMYFUNCTION("GOOGLETRANSLATE(I166, ""th"", ""en"")"),"A) Take a break to recuperate; B) Slow down and continue playing; C) Try to continue playing without taking a break; D) Stop playing immediately.")</f>
        <v>A) Take a break to recuperate; B) Slow down and continue playing; C) Try to continue playing without taking a break; D) Stop playing immediately.</v>
      </c>
      <c r="D166" s="5" t="str">
        <f>IFERROR(__xludf.DUMMYFUNCTION("GOOGLETRANSLATE(J166, ""th"", ""en"")"),"B) Slow down and continue playing.")</f>
        <v>B) Slow down and continue playing.</v>
      </c>
      <c r="E166" s="5" t="str">
        <f>IFERROR(__xludf.DUMMYFUNCTION(" GOOGLETRANSLATE(K166, ""th"", ""en"")"),"Slowing down allows you to recover and continue playing.")</f>
        <v>Slowing down allows you to recover and continue playing.</v>
      </c>
      <c r="G166" s="6">
        <v>165.0</v>
      </c>
      <c r="H166" s="7" t="s">
        <v>4267</v>
      </c>
      <c r="I166" s="7" t="s">
        <v>4268</v>
      </c>
      <c r="J166" s="7" t="s">
        <v>4269</v>
      </c>
      <c r="K166" s="7" t="s">
        <v>4270</v>
      </c>
    </row>
    <row r="167" ht="14.25" customHeight="1">
      <c r="A167" s="4">
        <v>166.0</v>
      </c>
      <c r="B167" s="5" t="str">
        <f>IFERROR(__xludf.DUMMYFUNCTION("GOOGLETRANSLATE(H167, ""th"", ""en"")"),"During training, you find that you are unable to perform the poses you have been practicing as expected. What should you do?")</f>
        <v>During training, you find that you are unable to perform the poses you have been practicing as expected. What should you do?</v>
      </c>
      <c r="C167" s="5" t="str">
        <f>IFERROR(__xludf.DUMMYFUNCTION("GOOGLETRANSLATE(I167, ""th"", ""en"")"),"A) Continue practicing until you can do it; B) Ask your trainer for advice on how to improve; C) Avoid practicing the pose; D) Complain about the difficulty.")</f>
        <v>A) Continue practicing until you can do it; B) Ask your trainer for advice on how to improve; C) Avoid practicing the pose; D) Complain about the difficulty.</v>
      </c>
      <c r="D167" s="5" t="str">
        <f>IFERROR(__xludf.DUMMYFUNCTION("GOOGLETRANSLATE(J167, ""th"", ""en"")"),"B) Ask for advice from the trainer for improvement.")</f>
        <v>B) Ask for advice from the trainer for improvement.</v>
      </c>
      <c r="E167" s="5" t="str">
        <f>IFERROR(__xludf.DUMMYFUNCTION(" GOOGLETRANSLATE(K167, ""th"", ""en"")"),"Asking for advice helps you improve faster.")</f>
        <v>Asking for advice helps you improve faster.</v>
      </c>
      <c r="G167" s="6">
        <v>166.0</v>
      </c>
      <c r="H167" s="7" t="s">
        <v>4271</v>
      </c>
      <c r="I167" s="7" t="s">
        <v>4272</v>
      </c>
      <c r="J167" s="7" t="s">
        <v>4273</v>
      </c>
      <c r="K167" s="7" t="s">
        <v>4171</v>
      </c>
    </row>
    <row r="168" ht="14.25" customHeight="1">
      <c r="A168" s="4">
        <v>167.0</v>
      </c>
      <c r="B168" s="5" t="str">
        <f>IFERROR(__xludf.DUMMYFUNCTION("GOOGLETRANSLATE(H168, ""th"", ""en"")"),"In a competition, you find your opponent starting to use techniques that you cannot defend against. What do you do?")</f>
        <v>In a competition, you find your opponent starting to use techniques that you cannot defend against. What do you do?</v>
      </c>
      <c r="C168" s="5" t="str">
        <f>IFERROR(__xludf.DUMMYFUNCTION("GOOGLETRANSLATE(I168, ""th"", ""en"")"),"A) Study the technique and try to find ways to defend; B) Avoid clashing with your opponent; C) Slow down and play normally; D) Attack immediately.")</f>
        <v>A) Study the technique and try to find ways to defend; B) Avoid clashing with your opponent; C) Slow down and play normally; D) Attack immediately.</v>
      </c>
      <c r="D168" s="5" t="str">
        <f>IFERROR(__xludf.DUMMYFUNCTION("GOOGLETRANSLATE(J168, ""th"", ""en"")"),"A) Study the techniques and try to find ways to protect yourself.")</f>
        <v>A) Study the techniques and try to find ways to protect yourself.</v>
      </c>
      <c r="E168" s="5" t="str">
        <f>IFERROR(__xludf.DUMMYFUNCTION(" GOOGLETRANSLATE(K168, ""th"", ""en"")"),"Studying your opponent's play can help you defend better.")</f>
        <v>Studying your opponent's play can help you defend better.</v>
      </c>
      <c r="G168" s="6">
        <v>167.0</v>
      </c>
      <c r="H168" s="7" t="s">
        <v>4274</v>
      </c>
      <c r="I168" s="7" t="s">
        <v>4275</v>
      </c>
      <c r="J168" s="7" t="s">
        <v>4276</v>
      </c>
      <c r="K168" s="7" t="s">
        <v>4277</v>
      </c>
    </row>
    <row r="169" ht="14.25" customHeight="1">
      <c r="A169" s="4">
        <v>168.0</v>
      </c>
      <c r="B169" s="5" t="str">
        <f>IFERROR(__xludf.DUMMYFUNCTION("GOOGLETRANSLATE(H169, ""th"", ""en"")"),"In training, you see your teammates making mistakes frequently. What do you do?")</f>
        <v>In training, you see your teammates making mistakes frequently. What do you do?</v>
      </c>
      <c r="C169" s="5" t="str">
        <f>IFERROR(__xludf.DUMMYFUNCTION("GOOGLETRANSLATE(I169, ""th"", ""en"")"),"A) Help him and guide him to do the right thing; B) Ignore him and continue training; C) Blame him in front of others; D) Avoid training with him.")</f>
        <v>A) Help him and guide him to do the right thing; B) Ignore him and continue training; C) Blame him in front of others; D) Avoid training with him.</v>
      </c>
      <c r="D169" s="5" t="str">
        <f>IFERROR(__xludf.DUMMYFUNCTION("GOOGLETRANSLATE(J169, ""th"", ""en"")"),"A) Help him and advise him on what to do correctly.")</f>
        <v>A) Help him and advise him on what to do correctly.</v>
      </c>
      <c r="E169" s="5" t="str">
        <f>IFERROR(__xludf.DUMMYFUNCTION(" GOOGLETRANSLATE(K169, ""th"", ""en"")"),"Helping your teammates helps build unity.")</f>
        <v>Helping your teammates helps build unity.</v>
      </c>
      <c r="G169" s="6">
        <v>168.0</v>
      </c>
      <c r="H169" s="7" t="s">
        <v>4241</v>
      </c>
      <c r="I169" s="7" t="s">
        <v>4210</v>
      </c>
      <c r="J169" s="7" t="s">
        <v>4211</v>
      </c>
      <c r="K169" s="7" t="s">
        <v>4129</v>
      </c>
    </row>
    <row r="170" ht="14.25" customHeight="1">
      <c r="A170" s="4">
        <v>169.0</v>
      </c>
      <c r="B170" s="5" t="str">
        <f>IFERROR(__xludf.DUMMYFUNCTION("GOOGLETRANSLATE(H170, ""th"", ""en"")"),"In a competition, you find yourself losing your temper, what do you do?")</f>
        <v>In a competition, you find yourself losing your temper, what do you do?</v>
      </c>
      <c r="C170" s="5" t="str">
        <f>IFERROR(__xludf.DUMMYFUNCTION("GOOGLETRANSLATE(I170, ""th"", ""en"")"),"A) Pause and take a deep breath to control your emotions; B) Act on your emotions and express yourself clearly; C) Avoid fighting with your opponent; D) Complain about the decision.")</f>
        <v>A) Pause and take a deep breath to control your emotions; B) Act on your emotions and express yourself clearly; C) Avoid fighting with your opponent; D) Complain about the decision.</v>
      </c>
      <c r="D170" s="5" t="str">
        <f>IFERROR(__xludf.DUMMYFUNCTION("GOOGLETRANSLATE(J170, ""th"", ""en"")"),"A) Pause and take a deep breath to control your emotions.")</f>
        <v>A) Pause and take a deep breath to control your emotions.</v>
      </c>
      <c r="E170" s="5" t="str">
        <f>IFERROR(__xludf.DUMMYFUNCTION(" GOOGLETRANSLATE(K170, ""th"", ""en"")"),"Controlling your emotions helps you perform better.")</f>
        <v>Controlling your emotions helps you perform better.</v>
      </c>
      <c r="G170" s="6">
        <v>169.0</v>
      </c>
      <c r="H170" s="7" t="s">
        <v>4278</v>
      </c>
      <c r="I170" s="7" t="s">
        <v>4229</v>
      </c>
      <c r="J170" s="7" t="s">
        <v>4230</v>
      </c>
      <c r="K170" s="7" t="s">
        <v>4231</v>
      </c>
    </row>
    <row r="171" ht="14.25" customHeight="1">
      <c r="A171" s="4">
        <v>170.0</v>
      </c>
      <c r="B171" s="5" t="str">
        <f>IFERROR(__xludf.DUMMYFUNCTION("GOOGLETRANSLATE(H171, ""th"", ""en"")"),"During a match, you feel that your teammates are unable to follow your instructions. What should you do?")</f>
        <v>During a match, you feel that your teammates are unable to follow your instructions. What should you do?</v>
      </c>
      <c r="C171" s="5" t="str">
        <f>IFERROR(__xludf.DUMMYFUNCTION("GOOGLETRANSLATE(I171, ""th"", ""en"")"),"A) Try to help and explain things again; B) Avoid training with him; C) Blame him in front of others; D) Let him train as he pleases.")</f>
        <v>A) Try to help and explain things again; B) Avoid training with him; C) Blame him in front of others; D) Let him train as he pleases.</v>
      </c>
      <c r="D171" s="5" t="str">
        <f>IFERROR(__xludf.DUMMYFUNCTION("GOOGLETRANSLATE(J171, ""th"", ""en"")"),"A) Try to help and explain again.")</f>
        <v>A) Try to help and explain again.</v>
      </c>
      <c r="E171" s="5" t="str">
        <f>IFERROR(__xludf.DUMMYFUNCTION(" GOOGLETRANSLATE(K171, ""th"", ""en"")"),"Helping your teammates improves your training.")</f>
        <v>Helping your teammates improves your training.</v>
      </c>
      <c r="G171" s="6">
        <v>170.0</v>
      </c>
      <c r="H171" s="7" t="s">
        <v>4279</v>
      </c>
      <c r="I171" s="7" t="s">
        <v>4280</v>
      </c>
      <c r="J171" s="7" t="s">
        <v>4263</v>
      </c>
      <c r="K171" s="7" t="s">
        <v>4179</v>
      </c>
    </row>
    <row r="172" ht="14.25" customHeight="1">
      <c r="A172" s="4">
        <v>171.0</v>
      </c>
      <c r="B172" s="5" t="str">
        <f>IFERROR(__xludf.DUMMYFUNCTION("GOOGLETRANSLATE(H172, ""th"", ""en"")"),"In training, you find that your teammates are uncooperative. What do you do?")</f>
        <v>In training, you find that your teammates are uncooperative. What do you do?</v>
      </c>
      <c r="C172" s="5" t="str">
        <f>IFERROR(__xludf.DUMMYFUNCTION("GOOGLETRANSLATE(I172, ""th"", ""en"")"),"A) Try to talk and cooperate; B) Avoid training with him; C) Let him train as he pleases; D) Blame your teammates.")</f>
        <v>A) Try to talk and cooperate; B) Avoid training with him; C) Let him train as he pleases; D) Blame your teammates.</v>
      </c>
      <c r="D172" s="5" t="str">
        <f>IFERROR(__xludf.DUMMYFUNCTION("GOOGLETRANSLATE(J172, ""th"", ""en"")"),"A) Try to talk and build cooperation.")</f>
        <v>A) Try to talk and build cooperation.</v>
      </c>
      <c r="E172" s="5" t="str">
        <f>IFERROR(__xludf.DUMMYFUNCTION(" GOOGLETRANSLATE(K172, ""th"", ""en"")"),"Talking helps the team to be united.")</f>
        <v>Talking helps the team to be united.</v>
      </c>
      <c r="G172" s="6">
        <v>171.0</v>
      </c>
      <c r="H172" s="7" t="s">
        <v>4281</v>
      </c>
      <c r="I172" s="7" t="s">
        <v>4152</v>
      </c>
      <c r="J172" s="7" t="s">
        <v>4153</v>
      </c>
      <c r="K172" s="7" t="s">
        <v>4213</v>
      </c>
    </row>
    <row r="173" ht="14.25" customHeight="1">
      <c r="A173" s="4">
        <v>172.0</v>
      </c>
      <c r="B173" s="5" t="str">
        <f>IFERROR(__xludf.DUMMYFUNCTION("GOOGLETRANSLATE(H173, ""th"", ""en"")"),"During training, you feel like you are not improving. What should you do?")</f>
        <v>During training, you feel like you are not improving. What should you do?</v>
      </c>
      <c r="C173" s="5" t="str">
        <f>IFERROR(__xludf.DUMMYFUNCTION("GOOGLETRANSLATE(I173, ""th"", ""en"")"),"A) Adjust training methods and ask for advice from the trainer; B) Stop training; C) Blame yourself; D) Complain about training.")</f>
        <v>A) Adjust training methods and ask for advice from the trainer; B) Stop training; C) Blame yourself; D) Complain about training.</v>
      </c>
      <c r="D173" s="5" t="str">
        <f>IFERROR(__xludf.DUMMYFUNCTION("GOOGLETRANSLATE(J173, ""th"", ""en"")"),"A) Adjust training methods and ask for advice from trainers.")</f>
        <v>A) Adjust training methods and ask for advice from trainers.</v>
      </c>
      <c r="E173" s="5" t="str">
        <f>IFERROR(__xludf.DUMMYFUNCTION(" GOOGLETRANSLATE(K173, ""th"", ""en"")"),"Adjusting the method helps to make training more effective.")</f>
        <v>Adjusting the method helps to make training more effective.</v>
      </c>
      <c r="G173" s="6">
        <v>172.0</v>
      </c>
      <c r="H173" s="7" t="s">
        <v>4282</v>
      </c>
      <c r="I173" s="7" t="s">
        <v>4247</v>
      </c>
      <c r="J173" s="7" t="s">
        <v>4248</v>
      </c>
      <c r="K173" s="7" t="s">
        <v>4249</v>
      </c>
    </row>
    <row r="174" ht="14.25" customHeight="1">
      <c r="A174" s="4">
        <v>173.0</v>
      </c>
      <c r="B174" s="5" t="str">
        <f>IFERROR(__xludf.DUMMYFUNCTION("GOOGLETRANSLATE(H174, ""th"", ""en"")"),"During training, you find that you are unable to achieve your set goals. What do you do?")</f>
        <v>During training, you find that you are unable to achieve your set goals. What do you do?</v>
      </c>
      <c r="C174" s="5" t="str">
        <f>IFERROR(__xludf.DUMMYFUNCTION("GOOGLETRANSLATE(I174, ""th"", ""en"")"),"A) Adjust your goals and try to achieve them; B) Stop practicing; C) Blame yourself; D) Complain about the difficulty.")</f>
        <v>A) Adjust your goals and try to achieve them; B) Stop practicing; C) Blame yourself; D) Complain about the difficulty.</v>
      </c>
      <c r="D174" s="5" t="str">
        <f>IFERROR(__xludf.DUMMYFUNCTION("GOOGLETRANSLATE(J174, ""th"", ""en"")"),"A) Adjust your goals appropriately and try to achieve them.")</f>
        <v>A) Adjust your goals appropriately and try to achieve them.</v>
      </c>
      <c r="E174" s="5" t="str">
        <f>IFERROR(__xludf.DUMMYFUNCTION(" GOOGLETRANSLATE(K174, ""th"", ""en"")"),"Adjusting your goals helps you keep improving.")</f>
        <v>Adjusting your goals helps you keep improving.</v>
      </c>
      <c r="G174" s="6">
        <v>173.0</v>
      </c>
      <c r="H174" s="7" t="s">
        <v>4283</v>
      </c>
      <c r="I174" s="7" t="s">
        <v>4284</v>
      </c>
      <c r="J174" s="7" t="s">
        <v>4285</v>
      </c>
      <c r="K174" s="7" t="s">
        <v>4286</v>
      </c>
    </row>
    <row r="175" ht="14.25" customHeight="1">
      <c r="A175" s="4">
        <v>174.0</v>
      </c>
      <c r="B175" s="5" t="str">
        <f>IFERROR(__xludf.DUMMYFUNCTION("GOOGLETRANSLATE(H175, ""th"", ""en"")"),"During the competition, you feel like you're in a bad mood, what do you do?")</f>
        <v>During the competition, you feel like you're in a bad mood, what do you do?</v>
      </c>
      <c r="C175" s="5" t="str">
        <f>IFERROR(__xludf.DUMMYFUNCTION("GOOGLETRANSLATE(I175, ""th"", ""en"")"),"A) Pause and take a deep breath to control your emotions; B) Give it your all and ignore your emotions; C) Get angry and express yourself clearly; D) Give up the game.")</f>
        <v>A) Pause and take a deep breath to control your emotions; B) Give it your all and ignore your emotions; C) Get angry and express yourself clearly; D) Give up the game.</v>
      </c>
      <c r="D175" s="5" t="str">
        <f>IFERROR(__xludf.DUMMYFUNCTION("GOOGLETRANSLATE(J175, ""th"", ""en"")"),"A) Pause and take a deep breath to control your emotions.")</f>
        <v>A) Pause and take a deep breath to control your emotions.</v>
      </c>
      <c r="E175" s="5" t="str">
        <f>IFERROR(__xludf.DUMMYFUNCTION(" GOOGLETRANSLATE(K175, ""th"", ""en"")"),"Controlling your emotions helps you perform better.")</f>
        <v>Controlling your emotions helps you perform better.</v>
      </c>
      <c r="G175" s="6">
        <v>174.0</v>
      </c>
      <c r="H175" s="7" t="s">
        <v>4287</v>
      </c>
      <c r="I175" s="7" t="s">
        <v>4288</v>
      </c>
      <c r="J175" s="7" t="s">
        <v>4230</v>
      </c>
      <c r="K175" s="7" t="s">
        <v>4289</v>
      </c>
    </row>
    <row r="176" ht="14.25" customHeight="1">
      <c r="A176" s="4">
        <v>175.0</v>
      </c>
      <c r="B176" s="5" t="str">
        <f>IFERROR(__xludf.DUMMYFUNCTION("GOOGLETRANSLATE(H176, ""th"", ""en"")"),"In training, you find that your teammates are unable to follow instructions. What do you do?")</f>
        <v>In training, you find that your teammates are unable to follow instructions. What do you do?</v>
      </c>
      <c r="C176" s="5" t="str">
        <f>IFERROR(__xludf.DUMMYFUNCTION("GOOGLETRANSLATE(I176, ""th"", ""en"")"),"A) Help him and guide him to do the right thing; B) Ignore him and continue training; C) Blame him in front of others; D) Avoid training with him.")</f>
        <v>A) Help him and guide him to do the right thing; B) Ignore him and continue training; C) Blame him in front of others; D) Avoid training with him.</v>
      </c>
      <c r="D176" s="5" t="str">
        <f>IFERROR(__xludf.DUMMYFUNCTION("GOOGLETRANSLATE(J176, ""th"", ""en"")"),"A) Help him and advise him on what to do correctly.")</f>
        <v>A) Help him and advise him on what to do correctly.</v>
      </c>
      <c r="E176" s="5" t="str">
        <f>IFERROR(__xludf.DUMMYFUNCTION(" GOOGLETRANSLATE(K176, ""th"", ""en"")"),"Helping your teammates helps build unity.")</f>
        <v>Helping your teammates helps build unity.</v>
      </c>
      <c r="G176" s="6">
        <v>175.0</v>
      </c>
      <c r="H176" s="7" t="s">
        <v>4232</v>
      </c>
      <c r="I176" s="7" t="s">
        <v>4210</v>
      </c>
      <c r="J176" s="7" t="s">
        <v>4211</v>
      </c>
      <c r="K176" s="7" t="s">
        <v>4129</v>
      </c>
    </row>
    <row r="177" ht="14.25" customHeight="1">
      <c r="A177" s="4">
        <v>176.0</v>
      </c>
      <c r="B177" s="5" t="str">
        <f>IFERROR(__xludf.DUMMYFUNCTION("GOOGLETRANSLATE(H177, ""th"", ""en"")"),"In a competition, you find that your opponent is starting to make mistakes. What will you do?")</f>
        <v>In a competition, you find that your opponent is starting to make mistakes. What will you do?</v>
      </c>
      <c r="C177" s="5" t="str">
        <f>IFERROR(__xludf.DUMMYFUNCTION("GOOGLETRANSLATE(I177, ""th"", ""en"")"),"A) Speed ​​up the game to take advantage; B) Wait for the opponent to make more mistakes; C) Slow down and play normally; D) Attack immediately to score.")</f>
        <v>A) Speed ​​up the game to take advantage; B) Wait for the opponent to make more mistakes; C) Slow down and play normally; D) Attack immediately to score.</v>
      </c>
      <c r="D177" s="5" t="str">
        <f>IFERROR(__xludf.DUMMYFUNCTION("GOOGLETRANSLATE(J177, ""th"", ""en"")"),"A) Speed ​​up the game to take advantage.")</f>
        <v>A) Speed ​​up the game to take advantage.</v>
      </c>
      <c r="E177" s="5" t="str">
        <f>IFERROR(__xludf.DUMMYFUNCTION(" GOOGLETRANSLATE(K177, ""th"", ""en"")"),"Using your advantage helps you take control of the game.")</f>
        <v>Using your advantage helps you take control of the game.</v>
      </c>
      <c r="G177" s="6">
        <v>176.0</v>
      </c>
      <c r="H177" s="7" t="s">
        <v>4290</v>
      </c>
      <c r="I177" s="7" t="s">
        <v>4259</v>
      </c>
      <c r="J177" s="7" t="s">
        <v>4235</v>
      </c>
      <c r="K177" s="7" t="s">
        <v>4236</v>
      </c>
    </row>
    <row r="178" ht="14.25" customHeight="1">
      <c r="A178" s="4">
        <v>177.0</v>
      </c>
      <c r="B178" s="5" t="str">
        <f>IFERROR(__xludf.DUMMYFUNCTION("GOOGLETRANSLATE(H178, ""th"", ""en"")"),"In training, you find that your teammates often make mistakes. What do you do?")</f>
        <v>In training, you find that your teammates often make mistakes. What do you do?</v>
      </c>
      <c r="C178" s="5" t="str">
        <f>IFERROR(__xludf.DUMMYFUNCTION("GOOGLETRANSLATE(I178, ""th"", ""en"")"),"A) Help him and guide him to do the right thing; B) Ignore him and continue training; C) Blame him in front of others; D) Avoid training with him.")</f>
        <v>A) Help him and guide him to do the right thing; B) Ignore him and continue training; C) Blame him in front of others; D) Avoid training with him.</v>
      </c>
      <c r="D178" s="5" t="str">
        <f>IFERROR(__xludf.DUMMYFUNCTION("GOOGLETRANSLATE(J178, ""th"", ""en"")"),"A) Help him and advise him on what to do correctly.")</f>
        <v>A) Help him and advise him on what to do correctly.</v>
      </c>
      <c r="E178" s="5" t="str">
        <f>IFERROR(__xludf.DUMMYFUNCTION(" GOOGLETRANSLATE(K178, ""th"", ""en"")"),"Helping your teammates helps build unity.")</f>
        <v>Helping your teammates helps build unity.</v>
      </c>
      <c r="G178" s="6">
        <v>177.0</v>
      </c>
      <c r="H178" s="7" t="s">
        <v>4291</v>
      </c>
      <c r="I178" s="7" t="s">
        <v>4210</v>
      </c>
      <c r="J178" s="7" t="s">
        <v>4211</v>
      </c>
      <c r="K178" s="7" t="s">
        <v>4129</v>
      </c>
    </row>
    <row r="179" ht="14.25" customHeight="1">
      <c r="A179" s="4">
        <v>178.0</v>
      </c>
      <c r="B179" s="5" t="str">
        <f>IFERROR(__xludf.DUMMYFUNCTION("GOOGLETRANSLATE(H179, ""th"", ""en"")"),"During the competition, you feel your emotions are getting out of hand, what do you do?")</f>
        <v>During the competition, you feel your emotions are getting out of hand, what do you do?</v>
      </c>
      <c r="C179" s="5" t="str">
        <f>IFERROR(__xludf.DUMMYFUNCTION("GOOGLETRANSLATE(I179, ""th"", ""en"")"),"A) Pause and take a deep breath to control your emotions; B) Act on your emotions and express yourself clearly; C) Avoid fighting with your opponent; D) Complain about the decision.")</f>
        <v>A) Pause and take a deep breath to control your emotions; B) Act on your emotions and express yourself clearly; C) Avoid fighting with your opponent; D) Complain about the decision.</v>
      </c>
      <c r="D179" s="5" t="str">
        <f>IFERROR(__xludf.DUMMYFUNCTION("GOOGLETRANSLATE(J179, ""th"", ""en"")"),"A) Pause and take a deep breath to control your emotions.")</f>
        <v>A) Pause and take a deep breath to control your emotions.</v>
      </c>
      <c r="E179" s="5" t="str">
        <f>IFERROR(__xludf.DUMMYFUNCTION(" GOOGLETRANSLATE(K179, ""th"", ""en"")"),"Controlling your emotions helps you perform better.")</f>
        <v>Controlling your emotions helps you perform better.</v>
      </c>
      <c r="G179" s="6">
        <v>178.0</v>
      </c>
      <c r="H179" s="7" t="s">
        <v>4228</v>
      </c>
      <c r="I179" s="7" t="s">
        <v>4229</v>
      </c>
      <c r="J179" s="7" t="s">
        <v>4230</v>
      </c>
      <c r="K179" s="7" t="s">
        <v>4231</v>
      </c>
    </row>
    <row r="180" ht="14.25" customHeight="1">
      <c r="A180" s="4">
        <v>179.0</v>
      </c>
      <c r="B180" s="5" t="str">
        <f>IFERROR(__xludf.DUMMYFUNCTION("GOOGLETRANSLATE(H180, ""th"", ""en"")"),"During training, you find that you are not making progress in the skill you are practicing. What should you do?")</f>
        <v>During training, you find that you are not making progress in the skill you are practicing. What should you do?</v>
      </c>
      <c r="C180" s="5" t="str">
        <f>IFERROR(__xludf.DUMMYFUNCTION("GOOGLETRANSLATE(I180, ""th"", ""en"")"),"A) Adjust training methods and ask for advice from the trainer; B) Stop training; C) Blame yourself; D) Complain about training.")</f>
        <v>A) Adjust training methods and ask for advice from the trainer; B) Stop training; C) Blame yourself; D) Complain about training.</v>
      </c>
      <c r="D180" s="5" t="str">
        <f>IFERROR(__xludf.DUMMYFUNCTION("GOOGLETRANSLATE(J180, ""th"", ""en"")"),"A) Adjust training methods and ask for advice from trainers.")</f>
        <v>A) Adjust training methods and ask for advice from trainers.</v>
      </c>
      <c r="E180" s="5" t="str">
        <f>IFERROR(__xludf.DUMMYFUNCTION(" GOOGLETRANSLATE(K180, ""th"", ""en"")"),"Adjusting your training methods can help you improve.")</f>
        <v>Adjusting your training methods can help you improve.</v>
      </c>
      <c r="G180" s="6">
        <v>179.0</v>
      </c>
      <c r="H180" s="7" t="s">
        <v>4292</v>
      </c>
      <c r="I180" s="7" t="s">
        <v>4247</v>
      </c>
      <c r="J180" s="7" t="s">
        <v>4248</v>
      </c>
      <c r="K180" s="7" t="s">
        <v>4293</v>
      </c>
    </row>
    <row r="181" ht="14.25" customHeight="1">
      <c r="A181" s="4">
        <v>180.0</v>
      </c>
      <c r="B181" s="5" t="str">
        <f>IFERROR(__xludf.DUMMYFUNCTION("GOOGLETRANSLATE(H181, ""th"", ""en"")"),"In a match, you find out that your teammate made a mistake, what will you do?")</f>
        <v>In a match, you find out that your teammate made a mistake, what will you do?</v>
      </c>
      <c r="C181" s="5" t="str">
        <f>IFERROR(__xludf.DUMMYFUNCTION("GOOGLETRANSLATE(I181, ""th"", ""en"")"),"A) Help him and encourage him; B) scold him in front of others; C) Slow down and play normally; D) Stop the game.")</f>
        <v>A) Help him and encourage him; B) scold him in front of others; C) Slow down and play normally; D) Stop the game.</v>
      </c>
      <c r="D181" s="5" t="str">
        <f>IFERROR(__xludf.DUMMYFUNCTION("GOOGLETRANSLATE(J181, ""th"", ""en"")"),"A) Help him and give him encouragement.")</f>
        <v>A) Help him and give him encouragement.</v>
      </c>
      <c r="E181" s="5" t="str">
        <f>IFERROR(__xludf.DUMMYFUNCTION(" GOOGLETRANSLATE(K181, ""th"", ""en"")"),"Encouragement helps build team unity.")</f>
        <v>Encouragement helps build team unity.</v>
      </c>
      <c r="G181" s="6">
        <v>180.0</v>
      </c>
      <c r="H181" s="7" t="s">
        <v>4294</v>
      </c>
      <c r="I181" s="7" t="s">
        <v>4295</v>
      </c>
      <c r="J181" s="7" t="s">
        <v>4296</v>
      </c>
      <c r="K181" s="7" t="s">
        <v>4297</v>
      </c>
    </row>
    <row r="182" ht="14.25" customHeight="1">
      <c r="A182" s="4">
        <v>181.0</v>
      </c>
      <c r="B182" s="5" t="str">
        <f>IFERROR(__xludf.DUMMYFUNCTION("GOOGLETRANSLATE(H182, ""th"", ""en"")"),"During training, you feel like you are starting to lose motivation. What do you do?")</f>
        <v>During training, you feel like you are starting to lose motivation. What do you do?</v>
      </c>
      <c r="C182" s="5" t="str">
        <f>IFERROR(__xludf.DUMMYFUNCTION("GOOGLETRANSLATE(I182, ""th"", ""en"")"),"A) Take a break and come back to practice; B) Stop practicing immediately; C) Complain about the difficulty; D) Act on impulse.")</f>
        <v>A) Take a break and come back to practice; B) Stop practicing immediately; C) Complain about the difficulty; D) Act on impulse.</v>
      </c>
      <c r="D182" s="5" t="str">
        <f>IFERROR(__xludf.DUMMYFUNCTION("GOOGLETRANSLATE(J182, ""th"", ""en"")"),"A) Take a break and come back to practice.")</f>
        <v>A) Take a break and come back to practice.</v>
      </c>
      <c r="E182" s="5" t="str">
        <f>IFERROR(__xludf.DUMMYFUNCTION(" GOOGLETRANSLATE(K182, ""th"", ""en"")"),"Resting allows you to recharge and return to training better.")</f>
        <v>Resting allows you to recharge and return to training better.</v>
      </c>
      <c r="G182" s="6">
        <v>181.0</v>
      </c>
      <c r="H182" s="7" t="s">
        <v>4298</v>
      </c>
      <c r="I182" s="7" t="s">
        <v>4299</v>
      </c>
      <c r="J182" s="7" t="s">
        <v>4300</v>
      </c>
      <c r="K182" s="7" t="s">
        <v>4301</v>
      </c>
    </row>
    <row r="183" ht="14.25" customHeight="1">
      <c r="A183" s="4">
        <v>182.0</v>
      </c>
      <c r="B183" s="5" t="str">
        <f>IFERROR(__xludf.DUMMYFUNCTION("GOOGLETRANSLATE(H183, ""th"", ""en"")"),"In a competition, you feel that your opponent is using unexpected techniques. What will you do?")</f>
        <v>In a competition, you feel that your opponent is using unexpected techniques. What will you do?</v>
      </c>
      <c r="C183" s="5" t="str">
        <f>IFERROR(__xludf.DUMMYFUNCTION("GOOGLETRANSLATE(I183, ""th"", ""en"")"),"A) Study and adapt; B) Avoid collisions; C) Slow down and play normally; D) Argue with your opponent.")</f>
        <v>A) Study and adapt; B) Avoid collisions; C) Slow down and play normally; D) Argue with your opponent.</v>
      </c>
      <c r="D183" s="5" t="str">
        <f>IFERROR(__xludf.DUMMYFUNCTION("GOOGLETRANSLATE(J183, ""th"", ""en"")"),"A) Study and adapt to the times.")</f>
        <v>A) Study and adapt to the times.</v>
      </c>
      <c r="E183" s="5" t="str">
        <f>IFERROR(__xludf.DUMMYFUNCTION(" GOOGLETRANSLATE(K183, ""th"", ""en"")"),"Adaptability allows you to deal with unexpected situations.")</f>
        <v>Adaptability allows you to deal with unexpected situations.</v>
      </c>
      <c r="G183" s="6">
        <v>182.0</v>
      </c>
      <c r="H183" s="7" t="s">
        <v>4302</v>
      </c>
      <c r="I183" s="7" t="s">
        <v>4303</v>
      </c>
      <c r="J183" s="7" t="s">
        <v>4304</v>
      </c>
      <c r="K183" s="7" t="s">
        <v>4305</v>
      </c>
    </row>
    <row r="184" ht="14.25" customHeight="1">
      <c r="A184" s="4">
        <v>183.0</v>
      </c>
      <c r="B184" s="5" t="str">
        <f>IFERROR(__xludf.DUMMYFUNCTION("GOOGLETRANSLATE(H184, ""th"", ""en"")"),"During training, you find that you are unable to achieve your set goals. What do you do?")</f>
        <v>During training, you find that you are unable to achieve your set goals. What do you do?</v>
      </c>
      <c r="C184" s="5" t="str">
        <f>IFERROR(__xludf.DUMMYFUNCTION("GOOGLETRANSLATE(I184, ""th"", ""en"")"),"A) Adjust your goals and try to achieve them; B) Stop practicing; C) Blame yourself; D) Complain about the difficulty.")</f>
        <v>A) Adjust your goals and try to achieve them; B) Stop practicing; C) Blame yourself; D) Complain about the difficulty.</v>
      </c>
      <c r="D184" s="5" t="str">
        <f>IFERROR(__xludf.DUMMYFUNCTION("GOOGLETRANSLATE(J184, ""th"", ""en"")"),"A) Adjust your goals appropriately and try to achieve them.")</f>
        <v>A) Adjust your goals appropriately and try to achieve them.</v>
      </c>
      <c r="E184" s="5" t="str">
        <f>IFERROR(__xludf.DUMMYFUNCTION(" GOOGLETRANSLATE(K184, ""th"", ""en"")"),"Adjusting your goals helps you keep improving.")</f>
        <v>Adjusting your goals helps you keep improving.</v>
      </c>
      <c r="G184" s="6">
        <v>183.0</v>
      </c>
      <c r="H184" s="7" t="s">
        <v>4306</v>
      </c>
      <c r="I184" s="7" t="s">
        <v>4284</v>
      </c>
      <c r="J184" s="7" t="s">
        <v>4285</v>
      </c>
      <c r="K184" s="7" t="s">
        <v>4286</v>
      </c>
    </row>
    <row r="185" ht="14.25" customHeight="1">
      <c r="A185" s="4">
        <v>184.0</v>
      </c>
      <c r="B185" s="5" t="str">
        <f>IFERROR(__xludf.DUMMYFUNCTION("GOOGLETRANSLATE(H185, ""th"", ""en"")"),"During the competition, you feel that your opponent is starting to make mistakes frequently. What should you do?")</f>
        <v>During the competition, you feel that your opponent is starting to make mistakes frequently. What should you do?</v>
      </c>
      <c r="C185" s="5" t="str">
        <f>IFERROR(__xludf.DUMMYFUNCTION("GOOGLETRANSLATE(I185, ""th"", ""en"")"),"A) Speed ​​up the game to take advantage of your opponent's mistakes; B) Slow down to avoid making mistakes; C) Attack immediately to score; D) Let your opponent keep making mistakes.")</f>
        <v>A) Speed ​​up the game to take advantage of your opponent's mistakes; B) Slow down to avoid making mistakes; C) Attack immediately to score; D) Let your opponent keep making mistakes.</v>
      </c>
      <c r="D185" s="5" t="str">
        <f>IFERROR(__xludf.DUMMYFUNCTION("GOOGLETRANSLATE(J185, ""th"", ""en"")"),"A) Speed ​​up the game to take advantage of your opponent's mistakes.")</f>
        <v>A) Speed ​​up the game to take advantage of your opponent's mistakes.</v>
      </c>
      <c r="E185" s="5" t="str">
        <f>IFERROR(__xludf.DUMMYFUNCTION(" GOOGLETRANSLATE(K185, ""th"", ""en"")"),"Speeding up the game allows you to take advantage.")</f>
        <v>Speeding up the game allows you to take advantage.</v>
      </c>
      <c r="G185" s="6">
        <v>184.0</v>
      </c>
      <c r="H185" s="7" t="s">
        <v>4307</v>
      </c>
      <c r="I185" s="7" t="s">
        <v>4308</v>
      </c>
      <c r="J185" s="7" t="s">
        <v>4309</v>
      </c>
      <c r="K185" s="7" t="s">
        <v>4310</v>
      </c>
    </row>
    <row r="186" ht="14.25" customHeight="1">
      <c r="A186" s="4">
        <v>185.0</v>
      </c>
      <c r="B186" s="5" t="str">
        <f>IFERROR(__xludf.DUMMYFUNCTION("GOOGLETRANSLATE(H186, ""th"", ""en"")"),"During the race, you start to feel pain. What do you do?")</f>
        <v>During the race, you start to feel pain. What do you do?</v>
      </c>
      <c r="C186" s="5" t="str">
        <f>IFERROR(__xludf.DUMMYFUNCTION("GOOGLETRANSLATE(I186, ""th"", ""en"")"),"A) Notify the coach and ask for supervision; B) Avoid contact and continue playing; C) Reduce speed and play normally; D) Stop playing immediately.")</f>
        <v>A) Notify the coach and ask for supervision; B) Avoid contact and continue playing; C) Reduce speed and play normally; D) Stop playing immediately.</v>
      </c>
      <c r="D186" s="5" t="str">
        <f>IFERROR(__xludf.DUMMYFUNCTION("GOOGLETRANSLATE(J186, ""th"", ""en"")"),"A) Inform the trainer and ask for supervision.")</f>
        <v>A) Inform the trainer and ask for supervision.</v>
      </c>
      <c r="E186" s="5" t="str">
        <f>IFERROR(__xludf.DUMMYFUNCTION(" GOOGLETRANSLATE(K186, ""th"", ""en"")"),"Notifying your trainer will help ensure you receive proper care.")</f>
        <v>Notifying your trainer will help ensure you receive proper care.</v>
      </c>
      <c r="G186" s="6">
        <v>185.0</v>
      </c>
      <c r="H186" s="7" t="s">
        <v>4311</v>
      </c>
      <c r="I186" s="7" t="s">
        <v>4312</v>
      </c>
      <c r="J186" s="7" t="s">
        <v>4313</v>
      </c>
      <c r="K186" s="7" t="s">
        <v>4076</v>
      </c>
    </row>
    <row r="187" ht="14.25" customHeight="1">
      <c r="A187" s="4">
        <v>186.0</v>
      </c>
      <c r="B187" s="5" t="str">
        <f>IFERROR(__xludf.DUMMYFUNCTION("GOOGLETRANSLATE(H187, ""th"", ""en"")"),"During training, you feel your body is starting to feel tired, what should you do?")</f>
        <v>During training, you feel your body is starting to feel tired, what should you do?</v>
      </c>
      <c r="C187" s="5" t="str">
        <f>IFERROR(__xludf.DUMMYFUNCTION("GOOGLETRANSLATE(I187, ""th"", ""en"")"),"A) Rest and recover; B) Stop training immediately; C) Continue training without resting; D) Reduce the intensity of training.")</f>
        <v>A) Rest and recover; B) Stop training immediately; C) Continue training without resting; D) Reduce the intensity of training.</v>
      </c>
      <c r="D187" s="5" t="str">
        <f>IFERROR(__xludf.DUMMYFUNCTION("GOOGLETRANSLATE(J187, ""th"", ""en"")"),"A) Rest and recharge.")</f>
        <v>A) Rest and recharge.</v>
      </c>
      <c r="E187" s="5" t="str">
        <f>IFERROR(__xludf.DUMMYFUNCTION(" GOOGLETRANSLATE(K187, ""th"", ""en"")"),"Rest allows the body to recover and be ready for new training.")</f>
        <v>Rest allows the body to recover and be ready for new training.</v>
      </c>
      <c r="G187" s="6">
        <v>186.0</v>
      </c>
      <c r="H187" s="7" t="s">
        <v>4314</v>
      </c>
      <c r="I187" s="7" t="s">
        <v>4315</v>
      </c>
      <c r="J187" s="7" t="s">
        <v>1332</v>
      </c>
      <c r="K187" s="7" t="s">
        <v>4316</v>
      </c>
    </row>
    <row r="188" ht="14.25" customHeight="1">
      <c r="A188" s="4">
        <v>187.0</v>
      </c>
      <c r="B188" s="5" t="str">
        <f>IFERROR(__xludf.DUMMYFUNCTION("GOOGLETRANSLATE(H188, ""th"", ""en"")"),"In a match, you find your opponent is starting to play poorly, what do you do?")</f>
        <v>In a match, you find your opponent is starting to play poorly, what do you do?</v>
      </c>
      <c r="C188" s="5" t="str">
        <f>IFERROR(__xludf.DUMMYFUNCTION("GOOGLETRANSLATE(I188, ""th"", ""en"")"),"A) Use your advantage and speed up the game; B) Avoid attacks; C) Slow down and play normally; D) Attack immediately to score.")</f>
        <v>A) Use your advantage and speed up the game; B) Avoid attacks; C) Slow down and play normally; D) Attack immediately to score.</v>
      </c>
      <c r="D188" s="5" t="str">
        <f>IFERROR(__xludf.DUMMYFUNCTION("GOOGLETRANSLATE(J188, ""th"", ""en"")"),"A) Take advantage and accelerate the game.")</f>
        <v>A) Take advantage and accelerate the game.</v>
      </c>
      <c r="E188" s="5" t="str">
        <f>IFERROR(__xludf.DUMMYFUNCTION(" GOOGLETRANSLATE(K188, ""th"", ""en"")"),"Speeding up your game allows you to take advantage of your opponents who are playing poorly.")</f>
        <v>Speeding up your game allows you to take advantage of your opponents who are playing poorly.</v>
      </c>
      <c r="G188" s="6">
        <v>187.0</v>
      </c>
      <c r="H188" s="7" t="s">
        <v>4317</v>
      </c>
      <c r="I188" s="7" t="s">
        <v>4318</v>
      </c>
      <c r="J188" s="7" t="s">
        <v>4028</v>
      </c>
      <c r="K188" s="7" t="s">
        <v>4319</v>
      </c>
    </row>
    <row r="189" ht="14.25" customHeight="1">
      <c r="A189" s="4">
        <v>188.0</v>
      </c>
      <c r="B189" s="5" t="str">
        <f>IFERROR(__xludf.DUMMYFUNCTION("GOOGLETRANSLATE(H189, ""th"", ""en"")"),"During training, you find that your teammates are not receiving full guidance from the coach. What do you do?")</f>
        <v>During training, you find that your teammates are not receiving full guidance from the coach. What do you do?</v>
      </c>
      <c r="C189" s="5" t="str">
        <f>IFERROR(__xludf.DUMMYFUNCTION("GOOGLETRANSLATE(I189, ""th"", ""en"")"),"A) Try to help and explain things to your teammates; B) Avoid training with him; C) Blame him in front of others; D) Let him train on his own.")</f>
        <v>A) Try to help and explain things to your teammates; B) Avoid training with him; C) Blame him in front of others; D) Let him train on his own.</v>
      </c>
      <c r="D189" s="5" t="str">
        <f>IFERROR(__xludf.DUMMYFUNCTION("GOOGLETRANSLATE(J189, ""th"", ""en"")"),"A) Try to help and explain things to your teammates.")</f>
        <v>A) Try to help and explain things to your teammates.</v>
      </c>
      <c r="E189" s="5" t="str">
        <f>IFERROR(__xludf.DUMMYFUNCTION(" GOOGLETRANSLATE(K189, ""th"", ""en"")"),"Helping your teammates helps build team unity.")</f>
        <v>Helping your teammates helps build team unity.</v>
      </c>
      <c r="G189" s="6">
        <v>188.0</v>
      </c>
      <c r="H189" s="7" t="s">
        <v>4320</v>
      </c>
      <c r="I189" s="7" t="s">
        <v>4321</v>
      </c>
      <c r="J189" s="7" t="s">
        <v>4322</v>
      </c>
      <c r="K189" s="7" t="s">
        <v>4323</v>
      </c>
    </row>
    <row r="190" ht="14.25" customHeight="1">
      <c r="A190" s="4">
        <v>189.0</v>
      </c>
      <c r="B190" s="5" t="str">
        <f>IFERROR(__xludf.DUMMYFUNCTION("GOOGLETRANSLATE(H190, ""th"", ""en"")"),"During training, you see your opponent making frequent mistakes. What do you do?")</f>
        <v>During training, you see your opponent making frequent mistakes. What do you do?</v>
      </c>
      <c r="C190" s="5" t="str">
        <f>IFERROR(__xludf.DUMMYFUNCTION("GOOGLETRANSLATE(I190, ""th"", ""en"")"),"A) Take advantage of your opponent's mistakes; B) Reduce your speed to avoid making mistakes; C) Avoid collisions with your opponent; D) Stop practicing.")</f>
        <v>A) Take advantage of your opponent's mistakes; B) Reduce your speed to avoid making mistakes; C) Avoid collisions with your opponent; D) Stop practicing.</v>
      </c>
      <c r="D190" s="5" t="str">
        <f>IFERROR(__xludf.DUMMYFUNCTION("GOOGLETRANSLATE(J190, ""th"", ""en"")"),"A) Take advantage of your competitors' mistakes.")</f>
        <v>A) Take advantage of your competitors' mistakes.</v>
      </c>
      <c r="E190" s="5" t="str">
        <f>IFERROR(__xludf.DUMMYFUNCTION(" GOOGLETRANSLATE(K190, ""th"", ""en"")"),"Using your competitors' mistakes to your advantage can help you win.")</f>
        <v>Using your competitors' mistakes to your advantage can help you win.</v>
      </c>
      <c r="G190" s="6">
        <v>189.0</v>
      </c>
      <c r="H190" s="7" t="s">
        <v>4324</v>
      </c>
      <c r="I190" s="7" t="s">
        <v>4325</v>
      </c>
      <c r="J190" s="7" t="s">
        <v>4326</v>
      </c>
      <c r="K190" s="7" t="s">
        <v>4327</v>
      </c>
    </row>
    <row r="191" ht="14.25" customHeight="1">
      <c r="A191" s="4">
        <v>190.0</v>
      </c>
      <c r="B191" s="5" t="str">
        <f>IFERROR(__xludf.DUMMYFUNCTION("GOOGLETRANSLATE(H191, ""th"", ""en"")"),"In a competition, you find your opponent using unfamiliar techniques. What do you do?")</f>
        <v>In a competition, you find your opponent using unfamiliar techniques. What do you do?</v>
      </c>
      <c r="C191" s="5" t="str">
        <f>IFERROR(__xludf.DUMMYFUNCTION("GOOGLETRANSLATE(I191, ""th"", ""en"")"),"A) Study and find ways to deal with new techniques; B) Avoid contact; C) Attack immediately to score; D) Slow down and play normally.")</f>
        <v>A) Study and find ways to deal with new techniques; B) Avoid contact; C) Attack immediately to score; D) Slow down and play normally.</v>
      </c>
      <c r="D191" s="5" t="str">
        <f>IFERROR(__xludf.DUMMYFUNCTION("GOOGLETRANSLATE(J191, ""th"", ""en"")"),"A) Study and find ways to deal with new techniques.")</f>
        <v>A) Study and find ways to deal with new techniques.</v>
      </c>
      <c r="E191" s="5" t="str">
        <f>IFERROR(__xludf.DUMMYFUNCTION(" GOOGLETRANSLATE(K191, ""th"", ""en"")"),"Studying your competitors helps you better cope with unfamiliar techniques.")</f>
        <v>Studying your competitors helps you better cope with unfamiliar techniques.</v>
      </c>
      <c r="G191" s="6">
        <v>190.0</v>
      </c>
      <c r="H191" s="7" t="s">
        <v>4328</v>
      </c>
      <c r="I191" s="7" t="s">
        <v>4329</v>
      </c>
      <c r="J191" s="7" t="s">
        <v>4330</v>
      </c>
      <c r="K191" s="7" t="s">
        <v>4331</v>
      </c>
    </row>
    <row r="192" ht="14.25" customHeight="1">
      <c r="A192" s="4">
        <v>191.0</v>
      </c>
      <c r="B192" s="5" t="str">
        <f>IFERROR(__xludf.DUMMYFUNCTION("GOOGLETRANSLATE(H192, ""th"", ""en"")"),"In training, you find that your teammates make mistakes in training. What will you do?")</f>
        <v>In training, you find that your teammates make mistakes in training. What will you do?</v>
      </c>
      <c r="C192" s="5" t="str">
        <f>IFERROR(__xludf.DUMMYFUNCTION("GOOGLETRANSLATE(I192, ""th"", ""en"")"),"A) Help him and guide him to do the right thing; B) Avoid training with him; C) Blame him in front of others; D) Let him train as he pleases.")</f>
        <v>A) Help him and guide him to do the right thing; B) Avoid training with him; C) Blame him in front of others; D) Let him train as he pleases.</v>
      </c>
      <c r="D192" s="5" t="str">
        <f>IFERROR(__xludf.DUMMYFUNCTION("GOOGLETRANSLATE(J192, ""th"", ""en"")"),"A) Help him and advise him on what to do correctly.")</f>
        <v>A) Help him and advise him on what to do correctly.</v>
      </c>
      <c r="E192" s="5" t="str">
        <f>IFERROR(__xludf.DUMMYFUNCTION(" GOOGLETRANSLATE(K192, ""th"", ""en"")"),"Helping your teammates helps to build team unity.")</f>
        <v>Helping your teammates helps to build team unity.</v>
      </c>
      <c r="G192" s="6">
        <v>191.0</v>
      </c>
      <c r="H192" s="7" t="s">
        <v>4332</v>
      </c>
      <c r="I192" s="7" t="s">
        <v>4333</v>
      </c>
      <c r="J192" s="7" t="s">
        <v>4211</v>
      </c>
      <c r="K192" s="7" t="s">
        <v>3755</v>
      </c>
    </row>
    <row r="193" ht="14.25" customHeight="1">
      <c r="A193" s="4">
        <v>192.0</v>
      </c>
      <c r="B193" s="5" t="str">
        <f>IFERROR(__xludf.DUMMYFUNCTION("GOOGLETRANSLATE(H193, ""th"", ""en"")"),"During the competition, you found yourself feeling pressured by the audience. What should you do?")</f>
        <v>During the competition, you found yourself feeling pressured by the audience. What should you do?</v>
      </c>
      <c r="C193" s="5" t="str">
        <f>IFERROR(__xludf.DUMMYFUNCTION("GOOGLETRANSLATE(I193, ""th"", ""en"")"),"A) Take a deep breath and stay focused on the game; B) Follow your emotions and express yourself clearly; C) Avoid paying attention to the audience; D) Abandon the game.")</f>
        <v>A) Take a deep breath and stay focused on the game; B) Follow your emotions and express yourself clearly; C) Avoid paying attention to the audience; D) Abandon the game.</v>
      </c>
      <c r="D193" s="5" t="str">
        <f>IFERROR(__xludf.DUMMYFUNCTION("GOOGLETRANSLATE(J193, ""th"", ""en"")"),"A) Take a deep breath and stay focused on the game.")</f>
        <v>A) Take a deep breath and stay focused on the game.</v>
      </c>
      <c r="E193" s="5" t="str">
        <f>IFERROR(__xludf.DUMMYFUNCTION(" GOOGLETRANSLATE(K193, ""th"", ""en"")"),"Controlling your emotions allows you to focus on the game.")</f>
        <v>Controlling your emotions allows you to focus on the game.</v>
      </c>
      <c r="G193" s="6">
        <v>192.0</v>
      </c>
      <c r="H193" s="7" t="s">
        <v>4334</v>
      </c>
      <c r="I193" s="7" t="s">
        <v>4335</v>
      </c>
      <c r="J193" s="7" t="s">
        <v>4336</v>
      </c>
      <c r="K193" s="7" t="s">
        <v>4337</v>
      </c>
    </row>
    <row r="194" ht="14.25" customHeight="1">
      <c r="A194" s="4">
        <v>193.0</v>
      </c>
      <c r="B194" s="5" t="str">
        <f>IFERROR(__xludf.DUMMYFUNCTION("GOOGLETRANSLATE(H194, ""th"", ""en"")"),"During a match, you find that your teammates are starting to lose confidence in themselves. What do you do?")</f>
        <v>During a match, you find that your teammates are starting to lose confidence in themselves. What do you do?</v>
      </c>
      <c r="C194" s="5" t="str">
        <f>IFERROR(__xludf.DUMMYFUNCTION("GOOGLETRANSLATE(I194, ""th"", ""en"")"),"A) Encourage him and help him get back to playing well; B) Let him do what he wants; C) Blame him in front of others; D) Avoid playing with him.")</f>
        <v>A) Encourage him and help him get back to playing well; B) Let him do what he wants; C) Blame him in front of others; D) Avoid playing with him.</v>
      </c>
      <c r="D194" s="5" t="str">
        <f>IFERROR(__xludf.DUMMYFUNCTION("GOOGLETRANSLATE(J194, ""th"", ""en"")"),"A) Encourage and help him get back to playing well.")</f>
        <v>A) Encourage and help him get back to playing well.</v>
      </c>
      <c r="E194" s="5" t="str">
        <f>IFERROR(__xludf.DUMMYFUNCTION(" GOOGLETRANSLATE(K194, ""th"", ""en"")"),"Encouragement boosts teammates' confidence.")</f>
        <v>Encouragement boosts teammates' confidence.</v>
      </c>
      <c r="G194" s="6">
        <v>193.0</v>
      </c>
      <c r="H194" s="7" t="s">
        <v>4338</v>
      </c>
      <c r="I194" s="7" t="s">
        <v>4339</v>
      </c>
      <c r="J194" s="7" t="s">
        <v>4340</v>
      </c>
      <c r="K194" s="7" t="s">
        <v>1393</v>
      </c>
    </row>
    <row r="195" ht="14.25" customHeight="1">
      <c r="A195" s="4">
        <v>194.0</v>
      </c>
      <c r="B195" s="5" t="str">
        <f>IFERROR(__xludf.DUMMYFUNCTION("GOOGLETRANSLATE(H195, ""th"", ""en"")"),"During training, you find that the training results are not as expected. What should you do?")</f>
        <v>During training, you find that the training results are not as expected. What should you do?</v>
      </c>
      <c r="C195" s="5" t="str">
        <f>IFERROR(__xludf.DUMMYFUNCTION("GOOGLETRANSLATE(I195, ""th"", ""en"")"),"A) Adjust training methods and ask for advice from the trainer; B) Stop training; C) Blame yourself; D) Complain about training.")</f>
        <v>A) Adjust training methods and ask for advice from the trainer; B) Stop training; C) Blame yourself; D) Complain about training.</v>
      </c>
      <c r="D195" s="5" t="str">
        <f>IFERROR(__xludf.DUMMYFUNCTION("GOOGLETRANSLATE(J195, ""th"", ""en"")"),"A) Adjust training methods and ask for advice from trainers.")</f>
        <v>A) Adjust training methods and ask for advice from trainers.</v>
      </c>
      <c r="E195" s="5" t="str">
        <f>IFERROR(__xludf.DUMMYFUNCTION(" GOOGLETRANSLATE(K195, ""th"", ""en"")"),"Adjusting your training methods can help you improve more effectively.")</f>
        <v>Adjusting your training methods can help you improve more effectively.</v>
      </c>
      <c r="G195" s="6">
        <v>194.0</v>
      </c>
      <c r="H195" s="7" t="s">
        <v>4341</v>
      </c>
      <c r="I195" s="7" t="s">
        <v>4247</v>
      </c>
      <c r="J195" s="7" t="s">
        <v>4248</v>
      </c>
      <c r="K195" s="7" t="s">
        <v>4342</v>
      </c>
    </row>
    <row r="196" ht="14.25" customHeight="1">
      <c r="A196" s="4">
        <v>195.0</v>
      </c>
      <c r="B196" s="5" t="str">
        <f>IFERROR(__xludf.DUMMYFUNCTION("GOOGLETRANSLATE(H196, ""th"", ""en"")"),"During the competition, you feel like you're feeling down, what do you do?")</f>
        <v>During the competition, you feel like you're feeling down, what do you do?</v>
      </c>
      <c r="C196" s="5" t="str">
        <f>IFERROR(__xludf.DUMMYFUNCTION("GOOGLETRANSLATE(I196, ""th"", ""en"")"),"A) Pause and take a deep breath to control your emotions; B) Give it your all and ignore your emotions; C) Get angry and express yourself clearly; D) Give up the game.")</f>
        <v>A) Pause and take a deep breath to control your emotions; B) Give it your all and ignore your emotions; C) Get angry and express yourself clearly; D) Give up the game.</v>
      </c>
      <c r="D196" s="5" t="str">
        <f>IFERROR(__xludf.DUMMYFUNCTION("GOOGLETRANSLATE(J196, ""th"", ""en"")"),"A) Pause and take a deep breath to control your emotions.")</f>
        <v>A) Pause and take a deep breath to control your emotions.</v>
      </c>
      <c r="E196" s="5" t="str">
        <f>IFERROR(__xludf.DUMMYFUNCTION(" GOOGLETRANSLATE(K196, ""th"", ""en"")"),"Controlling your emotions helps you perform better.")</f>
        <v>Controlling your emotions helps you perform better.</v>
      </c>
      <c r="G196" s="6">
        <v>195.0</v>
      </c>
      <c r="H196" s="7" t="s">
        <v>4343</v>
      </c>
      <c r="I196" s="7" t="s">
        <v>4288</v>
      </c>
      <c r="J196" s="7" t="s">
        <v>4230</v>
      </c>
      <c r="K196" s="7" t="s">
        <v>4231</v>
      </c>
    </row>
    <row r="197" ht="14.25" customHeight="1">
      <c r="A197" s="4">
        <v>196.0</v>
      </c>
      <c r="B197" s="5" t="str">
        <f>IFERROR(__xludf.DUMMYFUNCTION("GOOGLETRANSLATE(H197, ""th"", ""en"")"),"In training, you find that your teammates are unable to follow instructions. What do you do?")</f>
        <v>In training, you find that your teammates are unable to follow instructions. What do you do?</v>
      </c>
      <c r="C197" s="5" t="str">
        <f>IFERROR(__xludf.DUMMYFUNCTION("GOOGLETRANSLATE(I197, ""th"", ""en"")"),"A) Help him and guide him to do the right thing; B) Ignore him and continue training; C) Blame him in front of others; D) Avoid training with him.")</f>
        <v>A) Help him and guide him to do the right thing; B) Ignore him and continue training; C) Blame him in front of others; D) Avoid training with him.</v>
      </c>
      <c r="D197" s="5" t="str">
        <f>IFERROR(__xludf.DUMMYFUNCTION("GOOGLETRANSLATE(J197, ""th"", ""en"")"),"A) Help him and advise him on what to do correctly.")</f>
        <v>A) Help him and advise him on what to do correctly.</v>
      </c>
      <c r="E197" s="5" t="str">
        <f>IFERROR(__xludf.DUMMYFUNCTION(" GOOGLETRANSLATE(K197, ""th"", ""en"")"),"Helping your teammates helps build unity.")</f>
        <v>Helping your teammates helps build unity.</v>
      </c>
      <c r="G197" s="6">
        <v>196.0</v>
      </c>
      <c r="H197" s="7" t="s">
        <v>4344</v>
      </c>
      <c r="I197" s="7" t="s">
        <v>4210</v>
      </c>
      <c r="J197" s="7" t="s">
        <v>4211</v>
      </c>
      <c r="K197" s="7" t="s">
        <v>4129</v>
      </c>
    </row>
    <row r="198" ht="14.25" customHeight="1">
      <c r="A198" s="4">
        <v>197.0</v>
      </c>
      <c r="B198" s="5" t="str">
        <f>IFERROR(__xludf.DUMMYFUNCTION("GOOGLETRANSLATE(H198, ""th"", ""en"")"),"During the match, you find yourself feeling stressed by the referee's decisions. What do you do?")</f>
        <v>During the match, you find yourself feeling stressed by the referee's decisions. What do you do?</v>
      </c>
      <c r="C198" s="5" t="str">
        <f>IFERROR(__xludf.DUMMYFUNCTION("GOOGLETRANSLATE(I198, ""th"", ""en"")"),"A) Try to focus on the game and let the decision go; B) Argue with the referee; C) Complain about the decision; D) Abandon the match.")</f>
        <v>A) Try to focus on the game and let the decision go; B) Argue with the referee; C) Complain about the decision; D) Abandon the match.</v>
      </c>
      <c r="D198" s="5" t="str">
        <f>IFERROR(__xludf.DUMMYFUNCTION("GOOGLETRANSLATE(J198, ""th"", ""en"")"),"A) Try to focus on the game and let the decisions flow.")</f>
        <v>A) Try to focus on the game and let the decisions flow.</v>
      </c>
      <c r="E198" s="5" t="str">
        <f>IFERROR(__xludf.DUMMYFUNCTION(" GOOGLETRANSLATE(K198, ""th"", ""en"")"),"Focusing on the game helps you perform better.")</f>
        <v>Focusing on the game helps you perform better.</v>
      </c>
      <c r="G198" s="6">
        <v>197.0</v>
      </c>
      <c r="H198" s="7" t="s">
        <v>4345</v>
      </c>
      <c r="I198" s="7" t="s">
        <v>4346</v>
      </c>
      <c r="J198" s="7" t="s">
        <v>4347</v>
      </c>
      <c r="K198" s="7" t="s">
        <v>4348</v>
      </c>
    </row>
    <row r="199" ht="14.25" customHeight="1">
      <c r="A199" s="4">
        <v>198.0</v>
      </c>
      <c r="B199" s="5" t="str">
        <f>IFERROR(__xludf.DUMMYFUNCTION("GOOGLETRANSLATE(H199, ""th"", ""en"")"),"During training, you find that your teammates are feeling stressed. What do you do?")</f>
        <v>During training, you find that your teammates are feeling stressed. What do you do?</v>
      </c>
      <c r="C199" s="5" t="str">
        <f>IFERROR(__xludf.DUMMYFUNCTION("GOOGLETRANSLATE(I199, ""th"", ""en"")"),"A) Talk to him and encourage him; B) Let him relieve his stress; C) Complain to him; D) Avoid talking to him.")</f>
        <v>A) Talk to him and encourage him; B) Let him relieve his stress; C) Complain to him; D) Avoid talking to him.</v>
      </c>
      <c r="D199" s="5" t="str">
        <f>IFERROR(__xludf.DUMMYFUNCTION("GOOGLETRANSLATE(J199, ""th"", ""en"")"),"A) Talk to him and encourage him.")</f>
        <v>A) Talk to him and encourage him.</v>
      </c>
      <c r="E199" s="5" t="str">
        <f>IFERROR(__xludf.DUMMYFUNCTION(" GOOGLETRANSLATE(K199, ""th"", ""en"")"),"Giving encouragement helps teammates feel better.")</f>
        <v>Giving encouragement helps teammates feel better.</v>
      </c>
      <c r="G199" s="6">
        <v>198.0</v>
      </c>
      <c r="H199" s="7" t="s">
        <v>4349</v>
      </c>
      <c r="I199" s="7" t="s">
        <v>4350</v>
      </c>
      <c r="J199" s="7" t="s">
        <v>3090</v>
      </c>
      <c r="K199" s="7" t="s">
        <v>4351</v>
      </c>
    </row>
    <row r="200" ht="14.25" customHeight="1">
      <c r="A200" s="4">
        <v>199.0</v>
      </c>
      <c r="B200" s="5" t="str">
        <f>IFERROR(__xludf.DUMMYFUNCTION("GOOGLETRANSLATE(H200, ""th"", ""en"")"),"In a match, you find your opponent using a technique that is not suitable for the game. What do you do?")</f>
        <v>In a match, you find your opponent using a technique that is not suitable for the game. What do you do?</v>
      </c>
      <c r="C200" s="5" t="str">
        <f>IFERROR(__xludf.DUMMYFUNCTION("GOOGLETRANSLATE(I200, ""th"", ""en"")"),"A) Study the techniques and adapt accordingly; B) Avoid attacks; C) Slow down and play normally; D) Argue with your opponent.")</f>
        <v>A) Study the techniques and adapt accordingly; B) Avoid attacks; C) Slow down and play normally; D) Argue with your opponent.</v>
      </c>
      <c r="D200" s="5" t="str">
        <f>IFERROR(__xludf.DUMMYFUNCTION("GOOGLETRANSLATE(J200, ""th"", ""en"")"),"A) Study the techniques and adapt accordingly.")</f>
        <v>A) Study the techniques and adapt accordingly.</v>
      </c>
      <c r="E200" s="5" t="str">
        <f>IFERROR(__xludf.DUMMYFUNCTION(" GOOGLETRANSLATE(K200, ""th"", ""en"")"),"Studying your competitors helps you adapt effectively.")</f>
        <v>Studying your competitors helps you adapt effectively.</v>
      </c>
      <c r="G200" s="6">
        <v>199.0</v>
      </c>
      <c r="H200" s="7" t="s">
        <v>4352</v>
      </c>
      <c r="I200" s="7" t="s">
        <v>4353</v>
      </c>
      <c r="J200" s="7" t="s">
        <v>4354</v>
      </c>
      <c r="K200" s="7" t="s">
        <v>4355</v>
      </c>
    </row>
    <row r="201" ht="14.25" customHeight="1">
      <c r="A201" s="4">
        <v>200.0</v>
      </c>
      <c r="B201" s="5" t="str">
        <f>IFERROR(__xludf.DUMMYFUNCTION("GOOGLETRANSLATE(H201, ""th"", ""en"")"),"During training, you find yourself running out of energy. What do you do?")</f>
        <v>During training, you find yourself running out of energy. What do you do?</v>
      </c>
      <c r="C201" s="5" t="str">
        <f>IFERROR(__xludf.DUMMYFUNCTION("GOOGLETRANSLATE(I201, ""th"", ""en"")"),"A) Rest and resume training; B) Stop training immediately; C) Continue training until exhaustion; D) Decrease the intensity of training.")</f>
        <v>A) Rest and resume training; B) Stop training immediately; C) Continue training until exhaustion; D) Decrease the intensity of training.</v>
      </c>
      <c r="D201" s="5" t="str">
        <f>IFERROR(__xludf.DUMMYFUNCTION("GOOGLETRANSLATE(J201, ""th"", ""en"")"),"A) Take a break and come back to practice.")</f>
        <v>A) Take a break and come back to practice.</v>
      </c>
      <c r="E201" s="5" t="str">
        <f>IFERROR(__xludf.DUMMYFUNCTION(" GOOGLETRANSLATE(K201, ""th"", ""en"")"),"Resting allows you to recharge and return to training better.")</f>
        <v>Resting allows you to recharge and return to training better.</v>
      </c>
      <c r="G201" s="6">
        <v>200.0</v>
      </c>
      <c r="H201" s="7" t="s">
        <v>4356</v>
      </c>
      <c r="I201" s="7" t="s">
        <v>4357</v>
      </c>
      <c r="J201" s="7" t="s">
        <v>4300</v>
      </c>
      <c r="K201" s="7" t="s">
        <v>4358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>
      <c r="A208" s="8" t="s">
        <v>690</v>
      </c>
    </row>
    <row r="209" ht="14.25" customHeight="1">
      <c r="A209" s="17"/>
      <c r="B209" s="9" t="s">
        <v>1</v>
      </c>
      <c r="C209" s="18">
        <v>60.0</v>
      </c>
      <c r="D209" s="9" t="s">
        <v>692</v>
      </c>
      <c r="E209" s="9" t="s">
        <v>693</v>
      </c>
      <c r="F209" s="9" t="s">
        <v>694</v>
      </c>
      <c r="G209" s="9" t="s">
        <v>695</v>
      </c>
      <c r="H209" s="9" t="s">
        <v>696</v>
      </c>
      <c r="I209" s="9" t="s">
        <v>697</v>
      </c>
      <c r="J209" s="9" t="s">
        <v>698</v>
      </c>
      <c r="K209" s="9" t="s">
        <v>699</v>
      </c>
      <c r="L209" s="9" t="s">
        <v>700</v>
      </c>
      <c r="M209" s="9"/>
      <c r="N209" s="9" t="s">
        <v>701</v>
      </c>
      <c r="O209" s="9" t="s">
        <v>702</v>
      </c>
      <c r="P209" s="17"/>
      <c r="Q209" s="17"/>
    </row>
    <row r="210" ht="14.25" customHeight="1">
      <c r="A210" s="10" t="s">
        <v>4359</v>
      </c>
      <c r="B210" s="10" t="s">
        <v>4360</v>
      </c>
      <c r="C210" s="12">
        <v>1.0</v>
      </c>
      <c r="D210" s="10" t="s">
        <v>4360</v>
      </c>
      <c r="E210" s="10" t="s">
        <v>4361</v>
      </c>
      <c r="F210" s="10" t="s">
        <v>4362</v>
      </c>
      <c r="G210" s="10" t="s">
        <v>4363</v>
      </c>
      <c r="H210" s="10" t="s">
        <v>4364</v>
      </c>
      <c r="I210" s="10" t="s">
        <v>4365</v>
      </c>
      <c r="J210" s="10" t="s">
        <v>4366</v>
      </c>
      <c r="K210" s="10" t="s">
        <v>719</v>
      </c>
      <c r="L210" s="11"/>
      <c r="M210" s="10"/>
      <c r="N210" s="10" t="s">
        <v>4365</v>
      </c>
      <c r="O210" s="10" t="s">
        <v>4366</v>
      </c>
      <c r="Q210" s="10" t="s">
        <v>4367</v>
      </c>
    </row>
    <row r="211" ht="14.25" customHeight="1">
      <c r="A211" s="10" t="s">
        <v>4368</v>
      </c>
      <c r="B211" s="10" t="s">
        <v>4369</v>
      </c>
      <c r="C211" s="11"/>
      <c r="D211" s="11"/>
      <c r="E211" s="10" t="s">
        <v>4370</v>
      </c>
      <c r="F211" s="11"/>
      <c r="G211" s="10" t="s">
        <v>4371</v>
      </c>
      <c r="H211" s="11"/>
      <c r="I211" s="10" t="s">
        <v>4372</v>
      </c>
      <c r="J211" s="11"/>
      <c r="K211" s="10" t="s">
        <v>4373</v>
      </c>
      <c r="L211" s="11"/>
      <c r="M211" s="10"/>
      <c r="N211" s="10" t="s">
        <v>4372</v>
      </c>
      <c r="O211" s="11"/>
      <c r="P211" s="11"/>
      <c r="Q211" s="11"/>
    </row>
    <row r="212" ht="14.25" customHeight="1">
      <c r="A212" s="10" t="s">
        <v>4374</v>
      </c>
      <c r="B212" s="10" t="s">
        <v>4375</v>
      </c>
      <c r="C212" s="11"/>
      <c r="D212" s="11"/>
      <c r="E212" s="10" t="s">
        <v>4376</v>
      </c>
      <c r="F212" s="11"/>
      <c r="G212" s="10" t="s">
        <v>4377</v>
      </c>
      <c r="H212" s="11"/>
      <c r="I212" s="10" t="s">
        <v>4378</v>
      </c>
      <c r="J212" s="11"/>
      <c r="K212" s="10" t="s">
        <v>4379</v>
      </c>
      <c r="L212" s="11"/>
      <c r="M212" s="10"/>
      <c r="N212" s="10" t="s">
        <v>4376</v>
      </c>
      <c r="O212" s="11"/>
      <c r="P212" s="11"/>
      <c r="Q212" s="11"/>
    </row>
    <row r="213" ht="14.25" customHeight="1">
      <c r="A213" s="10" t="s">
        <v>4380</v>
      </c>
      <c r="B213" s="10" t="s">
        <v>4381</v>
      </c>
      <c r="C213" s="11"/>
      <c r="D213" s="11"/>
      <c r="E213" s="10" t="s">
        <v>4382</v>
      </c>
      <c r="F213" s="11"/>
      <c r="G213" s="10" t="s">
        <v>4383</v>
      </c>
      <c r="H213" s="11"/>
      <c r="I213" s="10" t="s">
        <v>4384</v>
      </c>
      <c r="J213" s="11"/>
      <c r="K213" s="10" t="s">
        <v>4385</v>
      </c>
      <c r="L213" s="11"/>
      <c r="M213" s="10"/>
      <c r="N213" s="10" t="s">
        <v>4382</v>
      </c>
      <c r="O213" s="11"/>
      <c r="P213" s="11"/>
      <c r="Q213" s="11"/>
    </row>
    <row r="214" ht="14.25" customHeight="1">
      <c r="A214" s="10" t="s">
        <v>4386</v>
      </c>
      <c r="B214" s="10" t="s">
        <v>4387</v>
      </c>
      <c r="C214" s="11"/>
      <c r="D214" s="11"/>
      <c r="E214" s="10" t="s">
        <v>4388</v>
      </c>
      <c r="F214" s="11"/>
      <c r="G214" s="10" t="s">
        <v>4389</v>
      </c>
      <c r="H214" s="11"/>
      <c r="I214" s="10" t="s">
        <v>4390</v>
      </c>
      <c r="J214" s="11"/>
      <c r="K214" s="10" t="s">
        <v>4391</v>
      </c>
      <c r="L214" s="11"/>
      <c r="M214" s="10"/>
      <c r="N214" s="10" t="s">
        <v>4388</v>
      </c>
      <c r="O214" s="11"/>
      <c r="P214" s="11"/>
      <c r="Q214" s="11"/>
    </row>
    <row r="215" ht="14.25" customHeight="1">
      <c r="A215" s="10" t="s">
        <v>4392</v>
      </c>
      <c r="B215" s="10" t="s">
        <v>4393</v>
      </c>
      <c r="C215" s="12">
        <v>1.0</v>
      </c>
      <c r="D215" s="10" t="s">
        <v>4394</v>
      </c>
      <c r="E215" s="10" t="s">
        <v>4365</v>
      </c>
      <c r="F215" s="11"/>
      <c r="G215" s="10" t="s">
        <v>4395</v>
      </c>
      <c r="H215" s="11"/>
      <c r="I215" s="10" t="s">
        <v>4396</v>
      </c>
      <c r="J215" s="11"/>
      <c r="K215" s="10" t="s">
        <v>4361</v>
      </c>
      <c r="L215" s="11"/>
      <c r="M215" s="10"/>
      <c r="N215" s="10" t="s">
        <v>4361</v>
      </c>
      <c r="O215" s="10" t="s">
        <v>4397</v>
      </c>
      <c r="Q215" s="12">
        <v>1.0</v>
      </c>
    </row>
    <row r="216" ht="14.25" customHeight="1">
      <c r="A216" s="10" t="s">
        <v>4398</v>
      </c>
      <c r="B216" s="10" t="s">
        <v>4399</v>
      </c>
      <c r="C216" s="11"/>
      <c r="D216" s="11"/>
      <c r="E216" s="10" t="s">
        <v>4400</v>
      </c>
      <c r="F216" s="11"/>
      <c r="G216" s="10" t="s">
        <v>4401</v>
      </c>
      <c r="H216" s="11"/>
      <c r="I216" s="10" t="s">
        <v>4402</v>
      </c>
      <c r="J216" s="11"/>
      <c r="K216" s="10" t="s">
        <v>4403</v>
      </c>
      <c r="L216" s="11"/>
      <c r="M216" s="10"/>
      <c r="N216" s="10" t="s">
        <v>4401</v>
      </c>
      <c r="O216" s="11"/>
      <c r="P216" s="11"/>
      <c r="Q216" s="11"/>
    </row>
    <row r="217" ht="14.25" customHeight="1">
      <c r="A217" s="10" t="s">
        <v>4404</v>
      </c>
      <c r="B217" s="10" t="s">
        <v>4405</v>
      </c>
      <c r="C217" s="11"/>
      <c r="D217" s="11"/>
      <c r="E217" s="10" t="s">
        <v>4401</v>
      </c>
      <c r="F217" s="11"/>
      <c r="G217" s="10" t="s">
        <v>4406</v>
      </c>
      <c r="H217" s="11"/>
      <c r="I217" s="10" t="s">
        <v>4400</v>
      </c>
      <c r="J217" s="11"/>
      <c r="K217" s="10" t="s">
        <v>4407</v>
      </c>
      <c r="L217" s="11"/>
      <c r="M217" s="10"/>
      <c r="N217" s="10" t="s">
        <v>4401</v>
      </c>
      <c r="O217" s="11"/>
      <c r="P217" s="11"/>
      <c r="Q217" s="11"/>
    </row>
    <row r="218" ht="14.25" customHeight="1">
      <c r="A218" s="10" t="s">
        <v>4408</v>
      </c>
      <c r="B218" s="10" t="s">
        <v>4409</v>
      </c>
      <c r="C218" s="12">
        <v>1.0</v>
      </c>
      <c r="D218" s="10" t="s">
        <v>4410</v>
      </c>
      <c r="E218" s="10" t="s">
        <v>4400</v>
      </c>
      <c r="F218" s="10" t="s">
        <v>4411</v>
      </c>
      <c r="G218" s="10" t="s">
        <v>4407</v>
      </c>
      <c r="H218" s="10" t="s">
        <v>4412</v>
      </c>
      <c r="I218" s="10" t="s">
        <v>4406</v>
      </c>
      <c r="J218" s="10" t="s">
        <v>4413</v>
      </c>
      <c r="K218" s="10" t="s">
        <v>4401</v>
      </c>
      <c r="L218" s="10" t="s">
        <v>4414</v>
      </c>
      <c r="M218" s="10"/>
      <c r="N218" s="10" t="s">
        <v>4406</v>
      </c>
      <c r="O218" s="10" t="s">
        <v>4414</v>
      </c>
      <c r="Q218" s="11"/>
    </row>
    <row r="219" ht="14.25" customHeight="1">
      <c r="A219" s="10" t="s">
        <v>4415</v>
      </c>
      <c r="B219" s="10" t="s">
        <v>4416</v>
      </c>
      <c r="C219" s="12">
        <v>1.0</v>
      </c>
      <c r="D219" s="10" t="s">
        <v>4417</v>
      </c>
      <c r="E219" s="10" t="s">
        <v>4403</v>
      </c>
      <c r="F219" s="10" t="s">
        <v>4418</v>
      </c>
      <c r="G219" s="10" t="s">
        <v>4400</v>
      </c>
      <c r="H219" s="10" t="s">
        <v>4411</v>
      </c>
      <c r="I219" s="10" t="s">
        <v>4407</v>
      </c>
      <c r="J219" s="10" t="s">
        <v>4412</v>
      </c>
      <c r="K219" s="10" t="s">
        <v>4419</v>
      </c>
      <c r="L219" s="10" t="s">
        <v>4413</v>
      </c>
      <c r="M219" s="10"/>
      <c r="N219" s="10" t="s">
        <v>4403</v>
      </c>
      <c r="O219" s="10" t="s">
        <v>4413</v>
      </c>
      <c r="Q219" s="11"/>
    </row>
    <row r="220" ht="14.25" customHeight="1">
      <c r="A220" s="10" t="s">
        <v>4420</v>
      </c>
      <c r="B220" s="10" t="s">
        <v>4421</v>
      </c>
      <c r="C220" s="11"/>
      <c r="D220" s="11"/>
      <c r="E220" s="10" t="s">
        <v>4400</v>
      </c>
      <c r="F220" s="11"/>
      <c r="G220" s="10" t="s">
        <v>4407</v>
      </c>
      <c r="H220" s="11"/>
      <c r="I220" s="10" t="s">
        <v>4402</v>
      </c>
      <c r="J220" s="11"/>
      <c r="K220" s="10" t="s">
        <v>4419</v>
      </c>
      <c r="L220" s="11"/>
      <c r="M220" s="10"/>
      <c r="N220" s="10" t="s">
        <v>4419</v>
      </c>
      <c r="O220" s="11"/>
      <c r="P220" s="11"/>
      <c r="Q220" s="11"/>
    </row>
    <row r="221" ht="14.25" customHeight="1">
      <c r="A221" s="10" t="s">
        <v>4422</v>
      </c>
      <c r="B221" s="10" t="s">
        <v>4423</v>
      </c>
      <c r="C221" s="12">
        <v>1.0</v>
      </c>
      <c r="D221" s="10" t="s">
        <v>4424</v>
      </c>
      <c r="E221" s="10" t="s">
        <v>4406</v>
      </c>
      <c r="F221" s="10" t="s">
        <v>4425</v>
      </c>
      <c r="G221" s="10" t="s">
        <v>4407</v>
      </c>
      <c r="H221" s="11"/>
      <c r="I221" s="10" t="s">
        <v>4402</v>
      </c>
      <c r="J221" s="11"/>
      <c r="K221" s="10" t="s">
        <v>4401</v>
      </c>
      <c r="L221" s="11"/>
      <c r="M221" s="10"/>
      <c r="N221" s="10" t="s">
        <v>4406</v>
      </c>
      <c r="O221" s="10" t="s">
        <v>4425</v>
      </c>
      <c r="Q221" s="11"/>
    </row>
    <row r="222" ht="14.25" customHeight="1">
      <c r="A222" s="10" t="s">
        <v>4426</v>
      </c>
      <c r="B222" s="10" t="s">
        <v>4427</v>
      </c>
      <c r="C222" s="12">
        <v>1.0</v>
      </c>
      <c r="D222" s="11"/>
      <c r="E222" s="10" t="s">
        <v>4361</v>
      </c>
      <c r="F222" s="11"/>
      <c r="G222" s="10" t="s">
        <v>4363</v>
      </c>
      <c r="H222" s="11"/>
      <c r="I222" s="10" t="s">
        <v>4428</v>
      </c>
      <c r="K222" s="10" t="s">
        <v>4429</v>
      </c>
      <c r="L222" s="11"/>
      <c r="M222" s="10"/>
      <c r="N222" s="10" t="s">
        <v>4428</v>
      </c>
      <c r="P222" s="11"/>
      <c r="Q222" s="11"/>
    </row>
    <row r="223" ht="14.25" customHeight="1">
      <c r="A223" s="10" t="s">
        <v>4430</v>
      </c>
      <c r="B223" s="10" t="s">
        <v>4431</v>
      </c>
      <c r="C223" s="11"/>
      <c r="D223" s="11"/>
      <c r="E223" s="10" t="s">
        <v>4432</v>
      </c>
      <c r="F223" s="11"/>
      <c r="G223" s="10" t="s">
        <v>4433</v>
      </c>
      <c r="H223" s="11"/>
      <c r="I223" s="10" t="s">
        <v>4434</v>
      </c>
      <c r="J223" s="11"/>
      <c r="K223" s="10" t="s">
        <v>4435</v>
      </c>
      <c r="L223" s="11"/>
      <c r="M223" s="10"/>
      <c r="N223" s="10" t="s">
        <v>4433</v>
      </c>
      <c r="O223" s="11"/>
      <c r="P223" s="11"/>
      <c r="Q223" s="11"/>
    </row>
    <row r="224" ht="14.25" customHeight="1">
      <c r="A224" s="10" t="s">
        <v>4436</v>
      </c>
      <c r="B224" s="10" t="s">
        <v>4437</v>
      </c>
      <c r="C224" s="12">
        <v>1.0</v>
      </c>
      <c r="D224" s="10" t="s">
        <v>4438</v>
      </c>
      <c r="E224" s="10" t="s">
        <v>4439</v>
      </c>
      <c r="F224" s="11"/>
      <c r="G224" s="10" t="s">
        <v>4440</v>
      </c>
      <c r="I224" s="10" t="s">
        <v>4441</v>
      </c>
      <c r="J224" s="11"/>
      <c r="K224" s="10" t="s">
        <v>4442</v>
      </c>
      <c r="L224" s="11"/>
      <c r="M224" s="10"/>
      <c r="N224" s="10" t="s">
        <v>4439</v>
      </c>
      <c r="O224" s="11"/>
      <c r="P224" s="11"/>
      <c r="Q224" s="11"/>
    </row>
    <row r="225" ht="14.25" customHeight="1">
      <c r="A225" s="10" t="s">
        <v>4443</v>
      </c>
      <c r="B225" s="10" t="s">
        <v>4444</v>
      </c>
      <c r="C225" s="12">
        <v>1.0</v>
      </c>
      <c r="D225" s="10" t="s">
        <v>4445</v>
      </c>
      <c r="E225" s="10" t="s">
        <v>4372</v>
      </c>
      <c r="F225" s="11"/>
      <c r="G225" s="10" t="s">
        <v>4446</v>
      </c>
      <c r="H225" s="11"/>
      <c r="I225" s="10" t="s">
        <v>4447</v>
      </c>
      <c r="J225" s="11"/>
      <c r="K225" s="10" t="s">
        <v>4376</v>
      </c>
      <c r="L225" s="11"/>
      <c r="M225" s="10"/>
      <c r="N225" s="10" t="s">
        <v>4372</v>
      </c>
      <c r="O225" s="11"/>
      <c r="P225" s="11"/>
      <c r="Q225" s="11"/>
    </row>
    <row r="226" ht="14.25" customHeight="1">
      <c r="A226" s="10" t="s">
        <v>4448</v>
      </c>
      <c r="B226" s="10" t="s">
        <v>4449</v>
      </c>
      <c r="C226" s="12">
        <v>1.0</v>
      </c>
      <c r="D226" s="10" t="s">
        <v>4450</v>
      </c>
      <c r="E226" s="10" t="s">
        <v>4451</v>
      </c>
      <c r="F226" s="11"/>
      <c r="G226" s="10" t="s">
        <v>4452</v>
      </c>
      <c r="H226" s="11"/>
      <c r="I226" s="10" t="s">
        <v>4363</v>
      </c>
      <c r="J226" s="10" t="s">
        <v>4453</v>
      </c>
      <c r="K226" s="10" t="s">
        <v>4361</v>
      </c>
      <c r="L226" s="11"/>
      <c r="M226" s="10"/>
      <c r="N226" s="10" t="s">
        <v>4452</v>
      </c>
      <c r="O226" s="10" t="s">
        <v>4453</v>
      </c>
      <c r="Q226" s="11"/>
    </row>
    <row r="227" ht="14.25" customHeight="1">
      <c r="A227" s="10" t="s">
        <v>4454</v>
      </c>
      <c r="B227" s="10" t="s">
        <v>4455</v>
      </c>
      <c r="C227" s="11"/>
      <c r="D227" s="11"/>
      <c r="E227" s="10" t="s">
        <v>4400</v>
      </c>
      <c r="F227" s="11"/>
      <c r="G227" s="10" t="s">
        <v>4407</v>
      </c>
      <c r="H227" s="11"/>
      <c r="I227" s="10" t="s">
        <v>4406</v>
      </c>
      <c r="J227" s="11"/>
      <c r="K227" s="10" t="s">
        <v>4401</v>
      </c>
      <c r="L227" s="11"/>
      <c r="M227" s="10"/>
      <c r="N227" s="10" t="s">
        <v>4406</v>
      </c>
      <c r="O227" s="11"/>
      <c r="P227" s="11"/>
      <c r="Q227" s="11"/>
    </row>
    <row r="228" ht="14.25" customHeight="1">
      <c r="A228" s="10" t="s">
        <v>4456</v>
      </c>
      <c r="B228" s="10" t="s">
        <v>4457</v>
      </c>
      <c r="C228" s="12">
        <v>1.0</v>
      </c>
      <c r="D228" s="11"/>
      <c r="E228" s="10" t="s">
        <v>4419</v>
      </c>
      <c r="F228" s="10" t="s">
        <v>4418</v>
      </c>
      <c r="G228" s="10" t="s">
        <v>4400</v>
      </c>
      <c r="H228" s="10" t="s">
        <v>4411</v>
      </c>
      <c r="I228" s="10" t="s">
        <v>4407</v>
      </c>
      <c r="J228" s="10" t="s">
        <v>4412</v>
      </c>
      <c r="K228" s="10" t="s">
        <v>4402</v>
      </c>
      <c r="L228" s="11"/>
      <c r="M228" s="10"/>
      <c r="N228" s="10" t="s">
        <v>4419</v>
      </c>
      <c r="O228" s="10" t="s">
        <v>4418</v>
      </c>
      <c r="Q228" s="11"/>
    </row>
    <row r="229" ht="14.25" customHeight="1">
      <c r="A229" s="10" t="s">
        <v>4458</v>
      </c>
      <c r="B229" s="10" t="s">
        <v>4459</v>
      </c>
      <c r="C229" s="12">
        <v>1.0</v>
      </c>
      <c r="D229" s="11"/>
      <c r="E229" s="10" t="s">
        <v>4400</v>
      </c>
      <c r="F229" s="10" t="s">
        <v>4411</v>
      </c>
      <c r="G229" s="10" t="s">
        <v>4401</v>
      </c>
      <c r="H229" s="10" t="s">
        <v>4414</v>
      </c>
      <c r="I229" s="10" t="s">
        <v>4407</v>
      </c>
      <c r="J229" s="10" t="s">
        <v>4412</v>
      </c>
      <c r="K229" s="10" t="s">
        <v>4402</v>
      </c>
      <c r="L229" s="11"/>
      <c r="M229" s="10"/>
      <c r="N229" s="10" t="s">
        <v>4400</v>
      </c>
      <c r="O229" s="10" t="s">
        <v>4460</v>
      </c>
      <c r="Q229" s="11"/>
    </row>
    <row r="230" ht="14.25" customHeight="1">
      <c r="A230" s="10" t="s">
        <v>4461</v>
      </c>
      <c r="B230" s="10" t="s">
        <v>4462</v>
      </c>
      <c r="C230" s="12">
        <v>1.0</v>
      </c>
      <c r="D230" s="10" t="s">
        <v>4463</v>
      </c>
      <c r="E230" s="10" t="s">
        <v>4464</v>
      </c>
      <c r="F230" s="11"/>
      <c r="G230" s="10" t="s">
        <v>4465</v>
      </c>
      <c r="H230" s="11"/>
      <c r="I230" s="10" t="s">
        <v>4466</v>
      </c>
      <c r="J230" s="11"/>
      <c r="K230" s="10" t="s">
        <v>4467</v>
      </c>
      <c r="L230" s="11"/>
      <c r="M230" s="10"/>
      <c r="N230" s="10" t="s">
        <v>4465</v>
      </c>
      <c r="O230" s="11"/>
      <c r="P230" s="11"/>
      <c r="Q230" s="11"/>
    </row>
    <row r="231" ht="14.25" customHeight="1">
      <c r="A231" s="10" t="s">
        <v>4468</v>
      </c>
      <c r="B231" s="10" t="s">
        <v>4469</v>
      </c>
      <c r="C231" s="12">
        <v>1.0</v>
      </c>
      <c r="D231" s="10" t="s">
        <v>4470</v>
      </c>
      <c r="E231" s="10" t="s">
        <v>4411</v>
      </c>
      <c r="F231" s="11"/>
      <c r="G231" s="10" t="s">
        <v>4412</v>
      </c>
      <c r="H231" s="11"/>
      <c r="I231" s="10" t="s">
        <v>4402</v>
      </c>
      <c r="J231" s="11"/>
      <c r="K231" s="10" t="s">
        <v>4460</v>
      </c>
      <c r="L231" s="11"/>
      <c r="M231" s="10"/>
      <c r="N231" s="10" t="s">
        <v>4460</v>
      </c>
      <c r="O231" s="10" t="s">
        <v>4411</v>
      </c>
      <c r="Q231" s="11"/>
    </row>
    <row r="232" ht="14.25" customHeight="1">
      <c r="A232" s="10" t="s">
        <v>4471</v>
      </c>
      <c r="B232" s="10" t="s">
        <v>4472</v>
      </c>
      <c r="C232" s="12">
        <v>1.0</v>
      </c>
      <c r="D232" s="10" t="s">
        <v>4473</v>
      </c>
      <c r="E232" s="10" t="s">
        <v>4465</v>
      </c>
      <c r="F232" s="11"/>
      <c r="G232" s="10" t="s">
        <v>4474</v>
      </c>
      <c r="H232" s="11"/>
      <c r="I232" s="10" t="s">
        <v>4364</v>
      </c>
      <c r="J232" s="11"/>
      <c r="K232" s="10" t="s">
        <v>4467</v>
      </c>
      <c r="L232" s="11"/>
      <c r="M232" s="10"/>
      <c r="N232" s="10" t="s">
        <v>4465</v>
      </c>
      <c r="O232" s="11"/>
      <c r="P232" s="11"/>
      <c r="Q232" s="11"/>
    </row>
    <row r="233" ht="14.25" customHeight="1">
      <c r="A233" s="10" t="s">
        <v>4475</v>
      </c>
      <c r="B233" s="10" t="s">
        <v>4476</v>
      </c>
      <c r="C233" s="12">
        <v>1.0</v>
      </c>
      <c r="D233" s="11"/>
      <c r="E233" s="10" t="s">
        <v>4411</v>
      </c>
      <c r="F233" s="11"/>
      <c r="G233" s="10" t="s">
        <v>4412</v>
      </c>
      <c r="H233" s="11"/>
      <c r="I233" s="10" t="s">
        <v>4402</v>
      </c>
      <c r="J233" s="11"/>
      <c r="K233" s="10" t="s">
        <v>4460</v>
      </c>
      <c r="L233" s="11"/>
      <c r="M233" s="10"/>
      <c r="N233" s="10" t="s">
        <v>4460</v>
      </c>
      <c r="O233" s="10" t="s">
        <v>4411</v>
      </c>
      <c r="Q233" s="11"/>
    </row>
    <row r="234" ht="14.25" customHeight="1">
      <c r="A234" s="10" t="s">
        <v>4477</v>
      </c>
      <c r="B234" s="10" t="s">
        <v>4478</v>
      </c>
      <c r="C234" s="11"/>
      <c r="D234" s="11"/>
      <c r="E234" s="10" t="s">
        <v>4418</v>
      </c>
      <c r="F234" s="11"/>
      <c r="G234" s="10" t="s">
        <v>4412</v>
      </c>
      <c r="H234" s="11"/>
      <c r="I234" s="10" t="s">
        <v>4414</v>
      </c>
      <c r="J234" s="11"/>
      <c r="K234" s="10" t="s">
        <v>4460</v>
      </c>
      <c r="L234" s="11"/>
      <c r="M234" s="10"/>
      <c r="N234" s="10" t="s">
        <v>4460</v>
      </c>
      <c r="O234" s="11"/>
      <c r="P234" s="11"/>
      <c r="Q234" s="11"/>
    </row>
    <row r="235" ht="14.25" customHeight="1">
      <c r="A235" s="10" t="s">
        <v>4479</v>
      </c>
      <c r="B235" s="10" t="s">
        <v>4480</v>
      </c>
      <c r="C235" s="12">
        <v>1.0</v>
      </c>
      <c r="D235" s="10" t="s">
        <v>4481</v>
      </c>
      <c r="E235" s="10" t="s">
        <v>4411</v>
      </c>
      <c r="F235" s="11"/>
      <c r="G235" s="10" t="s">
        <v>4412</v>
      </c>
      <c r="H235" s="11"/>
      <c r="I235" s="10" t="s">
        <v>4418</v>
      </c>
      <c r="J235" s="11"/>
      <c r="K235" s="10" t="s">
        <v>4414</v>
      </c>
      <c r="L235" s="11"/>
      <c r="M235" s="10"/>
      <c r="N235" s="10" t="s">
        <v>4414</v>
      </c>
      <c r="O235" s="10" t="s">
        <v>4418</v>
      </c>
      <c r="Q235" s="11"/>
    </row>
    <row r="236" ht="14.25" customHeight="1">
      <c r="A236" s="10" t="s">
        <v>4482</v>
      </c>
      <c r="B236" s="10" t="s">
        <v>4483</v>
      </c>
      <c r="C236" s="12">
        <v>1.0</v>
      </c>
      <c r="D236" s="10" t="s">
        <v>4484</v>
      </c>
      <c r="E236" s="10" t="s">
        <v>4418</v>
      </c>
      <c r="F236" s="11"/>
      <c r="G236" s="10" t="s">
        <v>4411</v>
      </c>
      <c r="H236" s="11"/>
      <c r="I236" s="10" t="s">
        <v>4413</v>
      </c>
      <c r="J236" s="11"/>
      <c r="K236" s="10" t="s">
        <v>4402</v>
      </c>
      <c r="L236" s="11"/>
      <c r="M236" s="10"/>
      <c r="N236" s="10" t="s">
        <v>4413</v>
      </c>
      <c r="O236" s="10" t="s">
        <v>4411</v>
      </c>
      <c r="Q236" s="11"/>
    </row>
    <row r="237" ht="14.25" customHeight="1">
      <c r="A237" s="10" t="s">
        <v>4485</v>
      </c>
      <c r="B237" s="10" t="s">
        <v>4486</v>
      </c>
      <c r="C237" s="12">
        <v>1.0</v>
      </c>
      <c r="D237" s="10" t="s">
        <v>4487</v>
      </c>
      <c r="E237" s="10" t="s">
        <v>4460</v>
      </c>
      <c r="F237" s="11"/>
      <c r="G237" s="10" t="s">
        <v>4412</v>
      </c>
      <c r="H237" s="11"/>
      <c r="I237" s="10" t="s">
        <v>4418</v>
      </c>
      <c r="J237" s="10" t="s">
        <v>4414</v>
      </c>
      <c r="K237" s="10" t="s">
        <v>4402</v>
      </c>
      <c r="L237" s="11"/>
      <c r="M237" s="10"/>
      <c r="N237" s="10" t="s">
        <v>4460</v>
      </c>
      <c r="O237" s="10" t="s">
        <v>4414</v>
      </c>
      <c r="Q237" s="11"/>
    </row>
    <row r="238" ht="14.25" customHeight="1">
      <c r="A238" s="10" t="s">
        <v>4488</v>
      </c>
      <c r="B238" s="10" t="s">
        <v>4489</v>
      </c>
      <c r="C238" s="12">
        <v>1.0</v>
      </c>
      <c r="D238" s="10" t="s">
        <v>4490</v>
      </c>
      <c r="E238" s="10" t="s">
        <v>4402</v>
      </c>
      <c r="F238" s="11"/>
      <c r="G238" s="10" t="s">
        <v>4412</v>
      </c>
      <c r="H238" s="11"/>
      <c r="I238" s="10" t="s">
        <v>4418</v>
      </c>
      <c r="J238" s="11"/>
      <c r="K238" s="10" t="s">
        <v>4414</v>
      </c>
      <c r="L238" s="11"/>
      <c r="M238" s="10"/>
      <c r="N238" s="10" t="s">
        <v>4402</v>
      </c>
      <c r="O238" s="10" t="s">
        <v>4412</v>
      </c>
      <c r="Q238" s="11"/>
    </row>
    <row r="239" ht="14.25" customHeight="1">
      <c r="A239" s="10" t="s">
        <v>4491</v>
      </c>
      <c r="B239" s="10" t="s">
        <v>4492</v>
      </c>
      <c r="C239" s="12">
        <v>1.0</v>
      </c>
      <c r="D239" s="11"/>
      <c r="E239" s="10" t="s">
        <v>4411</v>
      </c>
      <c r="F239" s="11"/>
      <c r="G239" s="10" t="s">
        <v>4412</v>
      </c>
      <c r="H239" s="11"/>
      <c r="I239" s="10" t="s">
        <v>4402</v>
      </c>
      <c r="J239" s="11"/>
      <c r="K239" s="10" t="s">
        <v>4460</v>
      </c>
      <c r="L239" s="11"/>
      <c r="M239" s="10"/>
      <c r="N239" s="10" t="s">
        <v>4460</v>
      </c>
      <c r="O239" s="10" t="s">
        <v>4411</v>
      </c>
      <c r="Q239" s="11"/>
    </row>
    <row r="240" ht="14.25" customHeight="1">
      <c r="A240" s="10" t="s">
        <v>4493</v>
      </c>
      <c r="B240" s="10" t="s">
        <v>4494</v>
      </c>
      <c r="C240" s="12">
        <v>1.0</v>
      </c>
      <c r="D240" s="10" t="s">
        <v>4495</v>
      </c>
      <c r="E240" s="10" t="s">
        <v>4413</v>
      </c>
      <c r="F240" s="11"/>
      <c r="G240" s="10" t="s">
        <v>4412</v>
      </c>
      <c r="H240" s="11"/>
      <c r="I240" s="10" t="s">
        <v>4402</v>
      </c>
      <c r="J240" s="11"/>
      <c r="K240" s="10" t="s">
        <v>4411</v>
      </c>
      <c r="L240" s="11"/>
      <c r="M240" s="10"/>
      <c r="N240" s="10" t="s">
        <v>4413</v>
      </c>
      <c r="O240" s="10" t="s">
        <v>4411</v>
      </c>
      <c r="Q240" s="11"/>
    </row>
    <row r="241" ht="14.25" customHeight="1">
      <c r="A241" s="10" t="s">
        <v>4496</v>
      </c>
      <c r="B241" s="10" t="s">
        <v>4497</v>
      </c>
      <c r="C241" s="12">
        <v>1.0</v>
      </c>
      <c r="D241" s="10" t="s">
        <v>4498</v>
      </c>
      <c r="E241" s="10" t="s">
        <v>4402</v>
      </c>
      <c r="F241" s="11"/>
      <c r="G241" s="10" t="s">
        <v>4412</v>
      </c>
      <c r="H241" s="11"/>
      <c r="I241" s="10" t="s">
        <v>4418</v>
      </c>
      <c r="J241" s="11"/>
      <c r="K241" s="10" t="s">
        <v>4414</v>
      </c>
      <c r="L241" s="11"/>
      <c r="M241" s="10"/>
      <c r="N241" s="10" t="s">
        <v>4402</v>
      </c>
      <c r="O241" s="10" t="s">
        <v>4414</v>
      </c>
      <c r="Q241" s="11"/>
    </row>
    <row r="242" ht="14.25" customHeight="1">
      <c r="A242" s="10" t="s">
        <v>4499</v>
      </c>
      <c r="B242" s="10" t="s">
        <v>4500</v>
      </c>
      <c r="C242" s="12">
        <v>1.0</v>
      </c>
      <c r="D242" s="10" t="s">
        <v>4501</v>
      </c>
      <c r="E242" s="10" t="s">
        <v>4402</v>
      </c>
      <c r="F242" s="11"/>
      <c r="G242" s="10" t="s">
        <v>4412</v>
      </c>
      <c r="H242" s="11"/>
      <c r="I242" s="10" t="s">
        <v>4418</v>
      </c>
      <c r="J242" s="11"/>
      <c r="K242" s="10" t="s">
        <v>4413</v>
      </c>
      <c r="L242" s="11"/>
      <c r="M242" s="10"/>
      <c r="N242" s="10" t="s">
        <v>4402</v>
      </c>
      <c r="O242" s="10" t="s">
        <v>4418</v>
      </c>
      <c r="Q242" s="11"/>
    </row>
    <row r="243" ht="14.25" customHeight="1">
      <c r="A243" s="10" t="s">
        <v>4502</v>
      </c>
      <c r="B243" s="10" t="s">
        <v>4503</v>
      </c>
      <c r="C243" s="11"/>
      <c r="D243" s="11"/>
      <c r="E243" s="10" t="s">
        <v>4411</v>
      </c>
      <c r="F243" s="11"/>
      <c r="G243" s="10" t="s">
        <v>4460</v>
      </c>
      <c r="H243" s="11"/>
      <c r="I243" s="10" t="s">
        <v>4402</v>
      </c>
      <c r="J243" s="11"/>
      <c r="K243" s="10" t="s">
        <v>4418</v>
      </c>
      <c r="L243" s="11"/>
      <c r="M243" s="10"/>
      <c r="N243" s="10" t="s">
        <v>4460</v>
      </c>
      <c r="O243" s="11"/>
      <c r="P243" s="11"/>
      <c r="Q243" s="11"/>
    </row>
    <row r="244" ht="14.25" customHeight="1">
      <c r="A244" s="10" t="s">
        <v>4504</v>
      </c>
      <c r="B244" s="10" t="s">
        <v>4505</v>
      </c>
      <c r="C244" s="12">
        <v>1.0</v>
      </c>
      <c r="D244" s="11"/>
      <c r="E244" s="10" t="s">
        <v>4411</v>
      </c>
      <c r="F244" s="11"/>
      <c r="G244" s="10" t="s">
        <v>4412</v>
      </c>
      <c r="H244" s="11"/>
      <c r="I244" s="10" t="s">
        <v>4402</v>
      </c>
      <c r="J244" s="11"/>
      <c r="K244" s="10" t="s">
        <v>4460</v>
      </c>
      <c r="L244" s="11"/>
      <c r="M244" s="10"/>
      <c r="N244" s="10" t="s">
        <v>4402</v>
      </c>
      <c r="O244" s="10" t="s">
        <v>4412</v>
      </c>
      <c r="Q244" s="11"/>
    </row>
    <row r="245" ht="14.25" customHeight="1">
      <c r="A245" s="10" t="s">
        <v>4506</v>
      </c>
      <c r="B245" s="10" t="s">
        <v>4507</v>
      </c>
      <c r="C245" s="12">
        <v>1.0</v>
      </c>
      <c r="D245" s="11"/>
      <c r="E245" s="10" t="s">
        <v>4508</v>
      </c>
      <c r="F245" s="11"/>
      <c r="G245" s="10" t="s">
        <v>4509</v>
      </c>
      <c r="H245" s="11"/>
      <c r="I245" s="10" t="s">
        <v>4510</v>
      </c>
      <c r="J245" s="11"/>
      <c r="K245" s="10" t="s">
        <v>4466</v>
      </c>
      <c r="L245" s="11"/>
      <c r="M245" s="10"/>
      <c r="N245" s="10" t="s">
        <v>4508</v>
      </c>
      <c r="O245" s="11"/>
      <c r="P245" s="11"/>
      <c r="Q245" s="11"/>
    </row>
    <row r="246" ht="14.25" customHeight="1">
      <c r="A246" s="10" t="s">
        <v>4511</v>
      </c>
      <c r="B246" s="10" t="s">
        <v>4512</v>
      </c>
      <c r="C246" s="12">
        <v>1.0</v>
      </c>
      <c r="D246" s="10" t="s">
        <v>4513</v>
      </c>
      <c r="E246" s="10" t="s">
        <v>4411</v>
      </c>
      <c r="F246" s="11"/>
      <c r="G246" s="10" t="s">
        <v>4413</v>
      </c>
      <c r="H246" s="11"/>
      <c r="I246" s="10" t="s">
        <v>4412</v>
      </c>
      <c r="J246" s="11"/>
      <c r="K246" s="10" t="s">
        <v>4402</v>
      </c>
      <c r="L246" s="11"/>
      <c r="M246" s="10"/>
      <c r="N246" s="10" t="s">
        <v>4413</v>
      </c>
      <c r="O246" s="11"/>
      <c r="P246" s="11"/>
      <c r="Q246" s="11"/>
    </row>
    <row r="247" ht="14.25" customHeight="1">
      <c r="A247" s="10" t="s">
        <v>4514</v>
      </c>
      <c r="B247" s="10" t="s">
        <v>4515</v>
      </c>
      <c r="C247" s="12">
        <v>1.0</v>
      </c>
      <c r="D247" s="10" t="s">
        <v>4516</v>
      </c>
      <c r="E247" s="10" t="s">
        <v>4411</v>
      </c>
      <c r="F247" s="11"/>
      <c r="G247" s="10" t="s">
        <v>4460</v>
      </c>
      <c r="H247" s="11"/>
      <c r="I247" s="10" t="s">
        <v>4517</v>
      </c>
      <c r="J247" s="11"/>
      <c r="K247" s="10" t="s">
        <v>4418</v>
      </c>
      <c r="L247" s="11"/>
      <c r="M247" s="10"/>
      <c r="N247" s="10" t="s">
        <v>4460</v>
      </c>
      <c r="O247" s="10" t="s">
        <v>4517</v>
      </c>
      <c r="P247" s="11"/>
      <c r="Q247" s="11"/>
    </row>
    <row r="248" ht="14.25" customHeight="1">
      <c r="A248" s="10" t="s">
        <v>4518</v>
      </c>
      <c r="B248" s="10" t="s">
        <v>4519</v>
      </c>
      <c r="C248" s="11"/>
      <c r="D248" s="11"/>
      <c r="E248" s="10" t="s">
        <v>4465</v>
      </c>
      <c r="F248" s="11"/>
      <c r="G248" s="10" t="s">
        <v>4510</v>
      </c>
      <c r="H248" s="11"/>
      <c r="I248" s="10" t="s">
        <v>4520</v>
      </c>
      <c r="J248" s="11"/>
      <c r="K248" s="10" t="s">
        <v>4364</v>
      </c>
      <c r="L248" s="11"/>
      <c r="M248" s="10"/>
      <c r="N248" s="10" t="s">
        <v>4465</v>
      </c>
      <c r="O248" s="11"/>
      <c r="P248" s="11"/>
      <c r="Q248" s="11"/>
    </row>
    <row r="249" ht="14.25" customHeight="1">
      <c r="A249" s="10" t="s">
        <v>4521</v>
      </c>
      <c r="B249" s="10" t="s">
        <v>4522</v>
      </c>
      <c r="C249" s="12">
        <v>1.0</v>
      </c>
      <c r="D249" s="11"/>
      <c r="E249" s="10" t="s">
        <v>4414</v>
      </c>
      <c r="F249" s="11"/>
      <c r="G249" s="10" t="s">
        <v>4412</v>
      </c>
      <c r="H249" s="11"/>
      <c r="I249" s="10" t="s">
        <v>4517</v>
      </c>
      <c r="J249" s="11"/>
      <c r="K249" s="10" t="s">
        <v>4418</v>
      </c>
      <c r="L249" s="10" t="s">
        <v>4411</v>
      </c>
      <c r="M249" s="10"/>
      <c r="N249" s="10" t="s">
        <v>4414</v>
      </c>
      <c r="O249" s="10" t="s">
        <v>4411</v>
      </c>
      <c r="Q249" s="11"/>
    </row>
    <row r="250" ht="14.25" customHeight="1">
      <c r="A250" s="10" t="s">
        <v>4523</v>
      </c>
      <c r="B250" s="10" t="s">
        <v>4524</v>
      </c>
      <c r="C250" s="12">
        <v>1.0</v>
      </c>
      <c r="D250" s="10" t="s">
        <v>4525</v>
      </c>
      <c r="E250" s="10" t="s">
        <v>4411</v>
      </c>
      <c r="F250" s="11"/>
      <c r="G250" s="10" t="s">
        <v>4413</v>
      </c>
      <c r="H250" s="11"/>
      <c r="I250" s="10" t="s">
        <v>4517</v>
      </c>
      <c r="J250" s="11"/>
      <c r="K250" s="10" t="s">
        <v>4418</v>
      </c>
      <c r="L250" s="11"/>
      <c r="M250" s="10"/>
      <c r="N250" s="10" t="s">
        <v>4413</v>
      </c>
      <c r="O250" s="10" t="s">
        <v>4418</v>
      </c>
      <c r="Q250" s="11"/>
    </row>
    <row r="251" ht="14.25" customHeight="1">
      <c r="A251" s="10" t="s">
        <v>4526</v>
      </c>
      <c r="B251" s="10" t="s">
        <v>4527</v>
      </c>
      <c r="C251" s="12">
        <v>1.0</v>
      </c>
      <c r="D251" s="10" t="s">
        <v>4528</v>
      </c>
      <c r="E251" s="10" t="s">
        <v>4411</v>
      </c>
      <c r="F251" s="11"/>
      <c r="G251" s="10" t="s">
        <v>4414</v>
      </c>
      <c r="H251" s="11"/>
      <c r="I251" s="10" t="s">
        <v>4460</v>
      </c>
      <c r="J251" s="11"/>
      <c r="K251" s="10" t="s">
        <v>4412</v>
      </c>
      <c r="L251" s="11"/>
      <c r="M251" s="10"/>
      <c r="N251" s="10" t="s">
        <v>4412</v>
      </c>
      <c r="O251" s="10" t="s">
        <v>4460</v>
      </c>
      <c r="Q251" s="11"/>
    </row>
    <row r="252" ht="14.25" customHeight="1">
      <c r="A252" s="10" t="s">
        <v>4529</v>
      </c>
      <c r="B252" s="10" t="s">
        <v>4530</v>
      </c>
      <c r="C252" s="12">
        <v>1.0</v>
      </c>
      <c r="D252" s="10" t="s">
        <v>4531</v>
      </c>
      <c r="E252" s="10" t="s">
        <v>4411</v>
      </c>
      <c r="F252" s="11"/>
      <c r="G252" s="10" t="s">
        <v>4412</v>
      </c>
      <c r="H252" s="11"/>
      <c r="I252" s="10" t="s">
        <v>4517</v>
      </c>
      <c r="J252" s="11"/>
      <c r="K252" s="10" t="s">
        <v>4414</v>
      </c>
      <c r="L252" s="10" t="s">
        <v>4418</v>
      </c>
      <c r="M252" s="10"/>
      <c r="N252" s="10" t="s">
        <v>4402</v>
      </c>
      <c r="O252" s="10" t="s">
        <v>4418</v>
      </c>
      <c r="Q252" s="11"/>
    </row>
    <row r="253" ht="14.25" customHeight="1">
      <c r="A253" s="10" t="s">
        <v>4532</v>
      </c>
      <c r="B253" s="10" t="s">
        <v>4533</v>
      </c>
      <c r="C253" s="11"/>
      <c r="D253" s="11"/>
      <c r="E253" s="10" t="s">
        <v>4411</v>
      </c>
      <c r="F253" s="11"/>
      <c r="G253" s="10" t="s">
        <v>4412</v>
      </c>
      <c r="H253" s="11"/>
      <c r="I253" s="10" t="s">
        <v>4414</v>
      </c>
      <c r="J253" s="11"/>
      <c r="K253" s="10" t="s">
        <v>4418</v>
      </c>
      <c r="L253" s="11"/>
      <c r="M253" s="10"/>
      <c r="N253" s="10" t="s">
        <v>4414</v>
      </c>
      <c r="O253" s="11"/>
      <c r="P253" s="11"/>
      <c r="Q253" s="11"/>
    </row>
    <row r="254" ht="14.25" customHeight="1">
      <c r="A254" s="10" t="s">
        <v>4534</v>
      </c>
      <c r="B254" s="10" t="s">
        <v>4535</v>
      </c>
      <c r="C254" s="11"/>
      <c r="D254" s="11"/>
      <c r="E254" s="10" t="s">
        <v>4536</v>
      </c>
      <c r="F254" s="11"/>
      <c r="G254" s="10" t="s">
        <v>4537</v>
      </c>
      <c r="H254" s="11"/>
      <c r="I254" s="10" t="s">
        <v>4538</v>
      </c>
      <c r="J254" s="11"/>
      <c r="K254" s="10" t="s">
        <v>4539</v>
      </c>
      <c r="L254" s="11"/>
      <c r="M254" s="10"/>
      <c r="N254" s="10" t="s">
        <v>4538</v>
      </c>
      <c r="O254" s="11"/>
      <c r="P254" s="11"/>
      <c r="Q254" s="11"/>
    </row>
    <row r="255" ht="14.25" customHeight="1">
      <c r="A255" s="10" t="s">
        <v>4540</v>
      </c>
      <c r="B255" s="10" t="s">
        <v>4541</v>
      </c>
      <c r="C255" s="12">
        <v>1.0</v>
      </c>
      <c r="D255" s="11"/>
      <c r="E255" s="10" t="s">
        <v>4362</v>
      </c>
      <c r="F255" s="11"/>
      <c r="G255" s="10" t="s">
        <v>4366</v>
      </c>
      <c r="H255" s="11"/>
      <c r="I255" s="10" t="s">
        <v>4542</v>
      </c>
      <c r="J255" s="11"/>
      <c r="K255" s="10" t="s">
        <v>4543</v>
      </c>
      <c r="M255" s="10"/>
      <c r="N255" s="10" t="s">
        <v>4362</v>
      </c>
      <c r="O255" s="11"/>
      <c r="P255" s="11"/>
      <c r="Q255" s="11"/>
    </row>
    <row r="256" ht="14.25" customHeight="1">
      <c r="A256" s="10" t="s">
        <v>4544</v>
      </c>
      <c r="B256" s="10" t="s">
        <v>4545</v>
      </c>
      <c r="C256" s="11"/>
      <c r="D256" s="11"/>
      <c r="E256" s="10" t="s">
        <v>4411</v>
      </c>
      <c r="F256" s="11"/>
      <c r="G256" s="10" t="s">
        <v>4414</v>
      </c>
      <c r="H256" s="11"/>
      <c r="I256" s="10" t="s">
        <v>4402</v>
      </c>
      <c r="J256" s="11"/>
      <c r="K256" s="10" t="s">
        <v>4418</v>
      </c>
      <c r="L256" s="11"/>
      <c r="M256" s="10"/>
      <c r="N256" s="10" t="s">
        <v>4414</v>
      </c>
      <c r="O256" s="11"/>
      <c r="P256" s="11"/>
      <c r="Q256" s="11"/>
    </row>
    <row r="257" ht="14.25" customHeight="1">
      <c r="A257" s="10" t="s">
        <v>4546</v>
      </c>
      <c r="B257" s="10" t="s">
        <v>4547</v>
      </c>
      <c r="C257" s="12">
        <v>1.0</v>
      </c>
      <c r="D257" s="11"/>
      <c r="E257" s="10" t="s">
        <v>4460</v>
      </c>
      <c r="F257" s="11"/>
      <c r="G257" s="10" t="s">
        <v>4412</v>
      </c>
      <c r="H257" s="11"/>
      <c r="I257" s="10" t="s">
        <v>4402</v>
      </c>
      <c r="J257" s="11"/>
      <c r="K257" s="10" t="s">
        <v>4418</v>
      </c>
      <c r="L257" s="11"/>
      <c r="M257" s="10"/>
      <c r="N257" s="10" t="s">
        <v>4460</v>
      </c>
      <c r="O257" s="10" t="s">
        <v>4418</v>
      </c>
      <c r="Q257" s="11"/>
    </row>
    <row r="258" ht="14.25" customHeight="1">
      <c r="A258" s="10" t="s">
        <v>4548</v>
      </c>
      <c r="B258" s="10" t="s">
        <v>4549</v>
      </c>
      <c r="C258" s="12">
        <v>1.0</v>
      </c>
      <c r="D258" s="11"/>
      <c r="E258" s="10" t="s">
        <v>4411</v>
      </c>
      <c r="F258" s="11"/>
      <c r="G258" s="10" t="s">
        <v>4412</v>
      </c>
      <c r="H258" s="11"/>
      <c r="I258" s="10" t="s">
        <v>4402</v>
      </c>
      <c r="J258" s="11"/>
      <c r="K258" s="10" t="s">
        <v>4460</v>
      </c>
      <c r="L258" s="10" t="s">
        <v>4418</v>
      </c>
      <c r="M258" s="10"/>
      <c r="N258" s="10" t="s">
        <v>4460</v>
      </c>
      <c r="O258" s="10" t="s">
        <v>4418</v>
      </c>
      <c r="Q258" s="11"/>
    </row>
    <row r="259" ht="14.25" customHeight="1">
      <c r="A259" s="10" t="s">
        <v>4550</v>
      </c>
      <c r="B259" s="10" t="s">
        <v>4551</v>
      </c>
      <c r="C259" s="11"/>
      <c r="D259" s="11"/>
      <c r="E259" s="10" t="s">
        <v>4418</v>
      </c>
      <c r="F259" s="11"/>
      <c r="G259" s="10" t="s">
        <v>4460</v>
      </c>
      <c r="H259" s="11"/>
      <c r="I259" s="10" t="s">
        <v>4412</v>
      </c>
      <c r="J259" s="11"/>
      <c r="K259" s="10" t="s">
        <v>4402</v>
      </c>
      <c r="L259" s="11"/>
      <c r="M259" s="10"/>
      <c r="N259" s="10" t="s">
        <v>4460</v>
      </c>
      <c r="O259" s="11"/>
      <c r="P259" s="11"/>
      <c r="Q259" s="11"/>
    </row>
    <row r="260" ht="14.25" customHeight="1">
      <c r="A260" s="10" t="s">
        <v>4552</v>
      </c>
      <c r="B260" s="10" t="s">
        <v>4553</v>
      </c>
      <c r="C260" s="12">
        <v>1.0</v>
      </c>
      <c r="D260" s="10" t="s">
        <v>4554</v>
      </c>
      <c r="E260" s="10" t="s">
        <v>4411</v>
      </c>
      <c r="F260" s="11"/>
      <c r="G260" s="10" t="s">
        <v>4412</v>
      </c>
      <c r="H260" s="11"/>
      <c r="I260" s="10" t="s">
        <v>4414</v>
      </c>
      <c r="J260" s="11"/>
      <c r="K260" s="10" t="s">
        <v>4418</v>
      </c>
      <c r="L260" s="11"/>
      <c r="M260" s="10"/>
      <c r="N260" s="10" t="s">
        <v>4414</v>
      </c>
      <c r="O260" s="10" t="s">
        <v>4412</v>
      </c>
      <c r="Q260" s="11"/>
    </row>
    <row r="261" ht="14.25" customHeight="1">
      <c r="A261" s="10" t="s">
        <v>4555</v>
      </c>
      <c r="B261" s="10" t="s">
        <v>4556</v>
      </c>
      <c r="C261" s="12">
        <v>1.0</v>
      </c>
      <c r="D261" s="11"/>
      <c r="E261" s="10" t="s">
        <v>4412</v>
      </c>
      <c r="F261" s="11"/>
      <c r="G261" s="10" t="s">
        <v>4411</v>
      </c>
      <c r="H261" s="11"/>
      <c r="I261" s="10" t="s">
        <v>4402</v>
      </c>
      <c r="J261" s="11"/>
      <c r="K261" s="10" t="s">
        <v>4414</v>
      </c>
      <c r="L261" s="11"/>
      <c r="M261" s="10"/>
      <c r="N261" s="10" t="s">
        <v>4411</v>
      </c>
      <c r="O261" s="10" t="s">
        <v>4414</v>
      </c>
      <c r="Q261" s="11"/>
    </row>
    <row r="262" ht="14.25" customHeight="1">
      <c r="A262" s="10" t="s">
        <v>4557</v>
      </c>
      <c r="B262" s="10" t="s">
        <v>4558</v>
      </c>
      <c r="C262" s="12">
        <v>1.0</v>
      </c>
      <c r="D262" s="10" t="s">
        <v>4559</v>
      </c>
      <c r="E262" s="10" t="s">
        <v>4411</v>
      </c>
      <c r="F262" s="11"/>
      <c r="G262" s="10" t="s">
        <v>4460</v>
      </c>
      <c r="H262" s="11"/>
      <c r="I262" s="10" t="s">
        <v>4402</v>
      </c>
      <c r="J262" s="11"/>
      <c r="K262" s="10" t="s">
        <v>4418</v>
      </c>
      <c r="L262" s="11"/>
      <c r="M262" s="10"/>
      <c r="N262" s="10" t="s">
        <v>4460</v>
      </c>
      <c r="O262" s="10" t="s">
        <v>4418</v>
      </c>
      <c r="Q262" s="11"/>
    </row>
    <row r="263" ht="14.25" customHeight="1">
      <c r="A263" s="10" t="s">
        <v>4560</v>
      </c>
      <c r="B263" s="10" t="s">
        <v>4561</v>
      </c>
      <c r="C263" s="12">
        <v>1.0</v>
      </c>
      <c r="D263" s="11"/>
      <c r="E263" s="10" t="s">
        <v>4465</v>
      </c>
      <c r="F263" s="11"/>
      <c r="G263" s="10" t="s">
        <v>4464</v>
      </c>
      <c r="H263" s="11"/>
      <c r="I263" s="10" t="s">
        <v>4467</v>
      </c>
      <c r="J263" s="11"/>
      <c r="K263" s="10" t="s">
        <v>4466</v>
      </c>
      <c r="L263" s="11"/>
      <c r="M263" s="10"/>
      <c r="N263" s="10" t="s">
        <v>4467</v>
      </c>
      <c r="O263" s="10" t="s">
        <v>4465</v>
      </c>
      <c r="Q263" s="11"/>
    </row>
    <row r="264" ht="14.25" customHeight="1">
      <c r="A264" s="10" t="s">
        <v>4562</v>
      </c>
      <c r="B264" s="10" t="s">
        <v>4563</v>
      </c>
      <c r="C264" s="12">
        <v>1.0</v>
      </c>
      <c r="D264" s="10" t="s">
        <v>4564</v>
      </c>
      <c r="E264" s="10" t="s">
        <v>4411</v>
      </c>
      <c r="F264" s="11"/>
      <c r="G264" s="10" t="s">
        <v>4460</v>
      </c>
      <c r="H264" s="11"/>
      <c r="I264" s="10" t="s">
        <v>4418</v>
      </c>
      <c r="J264" s="11"/>
      <c r="K264" s="10" t="s">
        <v>4414</v>
      </c>
      <c r="L264" s="11"/>
      <c r="M264" s="10"/>
      <c r="N264" s="10" t="s">
        <v>4460</v>
      </c>
      <c r="O264" s="10" t="s">
        <v>4414</v>
      </c>
      <c r="Q264" s="11"/>
    </row>
    <row r="265" ht="14.25" customHeight="1">
      <c r="A265" s="10" t="s">
        <v>4565</v>
      </c>
      <c r="B265" s="10" t="s">
        <v>4566</v>
      </c>
      <c r="C265" s="12">
        <v>1.0</v>
      </c>
      <c r="D265" s="11"/>
      <c r="E265" s="10" t="s">
        <v>4411</v>
      </c>
      <c r="F265" s="11"/>
      <c r="G265" s="10" t="s">
        <v>4460</v>
      </c>
      <c r="H265" s="11"/>
      <c r="I265" s="10" t="s">
        <v>4517</v>
      </c>
      <c r="J265" s="11"/>
      <c r="K265" s="10" t="s">
        <v>4418</v>
      </c>
      <c r="L265" s="11"/>
      <c r="M265" s="10"/>
      <c r="N265" s="10" t="s">
        <v>4460</v>
      </c>
      <c r="O265" s="10" t="s">
        <v>4517</v>
      </c>
      <c r="P265" s="11"/>
      <c r="Q265" s="11"/>
    </row>
    <row r="266" ht="14.25" customHeight="1">
      <c r="A266" s="10" t="s">
        <v>4567</v>
      </c>
      <c r="B266" s="10" t="s">
        <v>4568</v>
      </c>
      <c r="C266" s="12">
        <v>1.0</v>
      </c>
      <c r="D266" s="11"/>
      <c r="E266" s="10" t="s">
        <v>4402</v>
      </c>
      <c r="F266" s="11"/>
      <c r="G266" s="10" t="s">
        <v>4412</v>
      </c>
      <c r="H266" s="11"/>
      <c r="I266" s="10" t="s">
        <v>4418</v>
      </c>
      <c r="J266" s="11"/>
      <c r="K266" s="10" t="s">
        <v>4413</v>
      </c>
      <c r="L266" s="11"/>
      <c r="M266" s="10"/>
      <c r="N266" s="10" t="s">
        <v>4402</v>
      </c>
      <c r="O266" s="10" t="s">
        <v>4418</v>
      </c>
      <c r="Q266" s="11"/>
    </row>
    <row r="267" ht="14.25" customHeight="1">
      <c r="A267" s="10" t="s">
        <v>4569</v>
      </c>
      <c r="B267" s="10" t="s">
        <v>4570</v>
      </c>
      <c r="C267" s="12">
        <v>1.0</v>
      </c>
      <c r="D267" s="11"/>
      <c r="E267" s="10" t="s">
        <v>4414</v>
      </c>
      <c r="F267" s="11"/>
      <c r="G267" s="10" t="s">
        <v>4412</v>
      </c>
      <c r="H267" s="11"/>
      <c r="I267" s="10" t="s">
        <v>4402</v>
      </c>
      <c r="J267" s="11"/>
      <c r="K267" s="10" t="s">
        <v>4418</v>
      </c>
      <c r="L267" s="10" t="s">
        <v>4412</v>
      </c>
      <c r="M267" s="10"/>
      <c r="N267" s="10" t="s">
        <v>4414</v>
      </c>
      <c r="O267" s="11"/>
      <c r="P267" s="11"/>
      <c r="Q267" s="11"/>
    </row>
    <row r="268" ht="14.25" customHeight="1">
      <c r="A268" s="10" t="s">
        <v>4571</v>
      </c>
      <c r="B268" s="10" t="s">
        <v>4572</v>
      </c>
      <c r="C268" s="12">
        <v>1.0</v>
      </c>
      <c r="D268" s="10" t="s">
        <v>4573</v>
      </c>
      <c r="E268" s="10" t="s">
        <v>4418</v>
      </c>
      <c r="F268" s="11"/>
      <c r="G268" s="10" t="s">
        <v>4411</v>
      </c>
      <c r="H268" s="11"/>
      <c r="I268" s="10" t="s">
        <v>4412</v>
      </c>
      <c r="J268" s="11"/>
      <c r="K268" s="10" t="s">
        <v>4402</v>
      </c>
      <c r="L268" s="11"/>
      <c r="M268" s="10"/>
      <c r="N268" s="10" t="s">
        <v>4460</v>
      </c>
      <c r="O268" s="10" t="s">
        <v>4418</v>
      </c>
      <c r="Q268" s="11"/>
    </row>
    <row r="269" ht="14.25" customHeight="1">
      <c r="A269" s="10" t="s">
        <v>4574</v>
      </c>
      <c r="B269" s="10" t="s">
        <v>4575</v>
      </c>
      <c r="C269" s="12">
        <v>1.0</v>
      </c>
      <c r="D269" s="11"/>
      <c r="E269" s="10" t="s">
        <v>4411</v>
      </c>
      <c r="F269" s="11"/>
      <c r="G269" s="10" t="s">
        <v>4412</v>
      </c>
      <c r="H269" s="11"/>
      <c r="I269" s="10" t="s">
        <v>4460</v>
      </c>
      <c r="J269" s="11"/>
      <c r="K269" s="10" t="s">
        <v>4418</v>
      </c>
      <c r="L269" s="11"/>
      <c r="M269" s="10"/>
      <c r="N269" s="10" t="s">
        <v>4460</v>
      </c>
      <c r="O269" s="10" t="s">
        <v>4411</v>
      </c>
      <c r="Q269" s="11"/>
    </row>
    <row r="270" ht="14.25" customHeight="1">
      <c r="A270" s="10" t="s">
        <v>4576</v>
      </c>
      <c r="B270" s="10" t="s">
        <v>4577</v>
      </c>
      <c r="C270" s="12">
        <v>1.0</v>
      </c>
      <c r="D270" s="10" t="s">
        <v>4578</v>
      </c>
      <c r="E270" s="10" t="s">
        <v>4411</v>
      </c>
      <c r="F270" s="11"/>
      <c r="G270" s="10" t="s">
        <v>4412</v>
      </c>
      <c r="H270" s="11"/>
      <c r="I270" s="10" t="s">
        <v>4402</v>
      </c>
      <c r="J270" s="11"/>
      <c r="K270" s="10" t="s">
        <v>4460</v>
      </c>
      <c r="L270" s="11"/>
      <c r="M270" s="10"/>
      <c r="N270" s="10" t="s">
        <v>4460</v>
      </c>
      <c r="O270" s="10" t="s">
        <v>4411</v>
      </c>
      <c r="Q270" s="11"/>
    </row>
    <row r="271" ht="14.25" customHeight="1">
      <c r="A271" s="10" t="s">
        <v>4579</v>
      </c>
      <c r="B271" s="10" t="s">
        <v>4580</v>
      </c>
      <c r="C271" s="11"/>
      <c r="D271" s="11"/>
      <c r="E271" s="10" t="s">
        <v>4465</v>
      </c>
      <c r="F271" s="11"/>
      <c r="G271" s="10" t="s">
        <v>4510</v>
      </c>
      <c r="H271" s="11"/>
      <c r="I271" s="10" t="s">
        <v>4510</v>
      </c>
      <c r="J271" s="11"/>
      <c r="K271" s="10" t="s">
        <v>4466</v>
      </c>
      <c r="L271" s="11"/>
      <c r="M271" s="10"/>
      <c r="N271" s="10" t="s">
        <v>4465</v>
      </c>
      <c r="O271" s="11"/>
      <c r="P271" s="11"/>
      <c r="Q271" s="11"/>
    </row>
    <row r="272" ht="14.25" customHeight="1">
      <c r="A272" s="10" t="s">
        <v>4581</v>
      </c>
      <c r="B272" s="10" t="s">
        <v>4582</v>
      </c>
      <c r="C272" s="11"/>
      <c r="D272" s="11"/>
      <c r="E272" s="10" t="s">
        <v>4411</v>
      </c>
      <c r="F272" s="11"/>
      <c r="G272" s="10" t="s">
        <v>4412</v>
      </c>
      <c r="H272" s="11"/>
      <c r="I272" s="10" t="s">
        <v>4402</v>
      </c>
      <c r="J272" s="11"/>
      <c r="K272" s="10" t="s">
        <v>4460</v>
      </c>
      <c r="L272" s="11"/>
      <c r="M272" s="10"/>
      <c r="N272" s="10" t="s">
        <v>4460</v>
      </c>
      <c r="O272" s="11"/>
      <c r="P272" s="11"/>
      <c r="Q272" s="11"/>
    </row>
    <row r="273" ht="14.25" customHeight="1">
      <c r="A273" s="10" t="s">
        <v>4583</v>
      </c>
      <c r="B273" s="10" t="s">
        <v>4584</v>
      </c>
      <c r="C273" s="11"/>
      <c r="D273" s="11"/>
      <c r="E273" s="10" t="s">
        <v>4411</v>
      </c>
      <c r="F273" s="11"/>
      <c r="G273" s="10" t="s">
        <v>4460</v>
      </c>
      <c r="H273" s="11"/>
      <c r="I273" s="10" t="s">
        <v>4402</v>
      </c>
      <c r="J273" s="11"/>
      <c r="K273" s="10" t="s">
        <v>4418</v>
      </c>
      <c r="L273" s="11"/>
      <c r="M273" s="10"/>
      <c r="N273" s="10" t="s">
        <v>4460</v>
      </c>
      <c r="O273" s="11"/>
      <c r="P273" s="11"/>
      <c r="Q273" s="11"/>
    </row>
    <row r="274" ht="14.25" customHeight="1">
      <c r="A274" s="10" t="s">
        <v>4585</v>
      </c>
      <c r="B274" s="10" t="s">
        <v>4586</v>
      </c>
      <c r="C274" s="12">
        <v>1.0</v>
      </c>
      <c r="D274" s="11"/>
      <c r="E274" s="10" t="s">
        <v>4418</v>
      </c>
      <c r="F274" s="11"/>
      <c r="G274" s="10" t="s">
        <v>4460</v>
      </c>
      <c r="H274" s="11"/>
      <c r="I274" s="10" t="s">
        <v>4412</v>
      </c>
      <c r="J274" s="11"/>
      <c r="K274" s="10" t="s">
        <v>4402</v>
      </c>
      <c r="L274" s="11"/>
      <c r="M274" s="10"/>
      <c r="N274" s="10" t="s">
        <v>4413</v>
      </c>
      <c r="O274" s="10" t="s">
        <v>4460</v>
      </c>
      <c r="Q274" s="11"/>
    </row>
    <row r="275" ht="14.25" customHeight="1">
      <c r="A275" s="10" t="s">
        <v>4587</v>
      </c>
      <c r="B275" s="10" t="s">
        <v>4588</v>
      </c>
      <c r="C275" s="12">
        <v>1.0</v>
      </c>
      <c r="D275" s="11"/>
      <c r="E275" s="10" t="s">
        <v>4411</v>
      </c>
      <c r="F275" s="11"/>
      <c r="G275" s="10" t="s">
        <v>4460</v>
      </c>
      <c r="H275" s="11"/>
      <c r="I275" s="10" t="s">
        <v>4402</v>
      </c>
      <c r="J275" s="10" t="s">
        <v>4517</v>
      </c>
      <c r="K275" s="10" t="s">
        <v>4418</v>
      </c>
      <c r="L275" s="11"/>
      <c r="M275" s="10"/>
      <c r="N275" s="10" t="s">
        <v>4460</v>
      </c>
      <c r="O275" s="10" t="s">
        <v>4517</v>
      </c>
      <c r="P275" s="11"/>
      <c r="Q275" s="11"/>
    </row>
    <row r="276" ht="14.25" customHeight="1">
      <c r="A276" s="10" t="s">
        <v>4589</v>
      </c>
      <c r="B276" s="10" t="s">
        <v>4590</v>
      </c>
      <c r="C276" s="11"/>
      <c r="D276" s="11"/>
      <c r="E276" s="10" t="s">
        <v>4411</v>
      </c>
      <c r="F276" s="11"/>
      <c r="G276" s="10" t="s">
        <v>4412</v>
      </c>
      <c r="H276" s="11"/>
      <c r="I276" s="10" t="s">
        <v>4414</v>
      </c>
      <c r="J276" s="11"/>
      <c r="K276" s="10" t="s">
        <v>4418</v>
      </c>
      <c r="L276" s="11"/>
      <c r="M276" s="10"/>
      <c r="N276" s="10" t="s">
        <v>4414</v>
      </c>
      <c r="O276" s="11"/>
      <c r="P276" s="11"/>
      <c r="Q276" s="11"/>
    </row>
    <row r="277" ht="14.25" customHeight="1">
      <c r="A277" s="10" t="s">
        <v>4591</v>
      </c>
      <c r="B277" s="10" t="s">
        <v>4592</v>
      </c>
      <c r="C277" s="11"/>
      <c r="D277" s="11"/>
      <c r="E277" s="10" t="s">
        <v>4411</v>
      </c>
      <c r="F277" s="11"/>
      <c r="G277" s="10" t="s">
        <v>4412</v>
      </c>
      <c r="H277" s="11"/>
      <c r="I277" s="10" t="s">
        <v>4402</v>
      </c>
      <c r="J277" s="11"/>
      <c r="K277" s="10" t="s">
        <v>4460</v>
      </c>
      <c r="L277" s="11"/>
      <c r="M277" s="10"/>
      <c r="N277" s="10" t="s">
        <v>4460</v>
      </c>
      <c r="O277" s="11"/>
      <c r="P277" s="11"/>
      <c r="Q277" s="11"/>
    </row>
    <row r="278" ht="14.25" customHeight="1">
      <c r="A278" s="10" t="s">
        <v>4593</v>
      </c>
      <c r="B278" s="10" t="s">
        <v>4594</v>
      </c>
      <c r="C278" s="11"/>
      <c r="D278" s="11"/>
      <c r="E278" s="10" t="s">
        <v>4411</v>
      </c>
      <c r="F278" s="11"/>
      <c r="G278" s="10" t="s">
        <v>4412</v>
      </c>
      <c r="H278" s="11"/>
      <c r="I278" s="10" t="s">
        <v>4414</v>
      </c>
      <c r="J278" s="11"/>
      <c r="K278" s="10" t="s">
        <v>4418</v>
      </c>
      <c r="L278" s="11"/>
      <c r="M278" s="10"/>
      <c r="N278" s="10" t="s">
        <v>4414</v>
      </c>
      <c r="O278" s="11"/>
      <c r="P278" s="11"/>
      <c r="Q278" s="11"/>
    </row>
    <row r="279" ht="14.25" customHeight="1">
      <c r="A279" s="10" t="s">
        <v>4595</v>
      </c>
      <c r="B279" s="10" t="s">
        <v>4596</v>
      </c>
      <c r="C279" s="11"/>
      <c r="D279" s="11"/>
      <c r="E279" s="10" t="s">
        <v>4414</v>
      </c>
      <c r="F279" s="11"/>
      <c r="G279" s="10" t="s">
        <v>4412</v>
      </c>
      <c r="H279" s="11"/>
      <c r="I279" s="10" t="s">
        <v>4402</v>
      </c>
      <c r="J279" s="11"/>
      <c r="K279" s="10" t="s">
        <v>4418</v>
      </c>
      <c r="L279" s="11"/>
      <c r="M279" s="10"/>
      <c r="N279" s="10" t="s">
        <v>4414</v>
      </c>
      <c r="O279" s="11"/>
      <c r="P279" s="11"/>
      <c r="Q279" s="11"/>
    </row>
    <row r="280" ht="14.25" customHeight="1">
      <c r="A280" s="10" t="s">
        <v>4597</v>
      </c>
      <c r="B280" s="10" t="s">
        <v>4598</v>
      </c>
      <c r="C280" s="11"/>
      <c r="D280" s="11"/>
      <c r="E280" s="10" t="s">
        <v>4411</v>
      </c>
      <c r="F280" s="11"/>
      <c r="G280" s="10" t="s">
        <v>4413</v>
      </c>
      <c r="H280" s="11"/>
      <c r="I280" s="10" t="s">
        <v>4412</v>
      </c>
      <c r="J280" s="11"/>
      <c r="K280" s="10" t="s">
        <v>4402</v>
      </c>
      <c r="L280" s="11"/>
      <c r="M280" s="10"/>
      <c r="N280" s="10" t="s">
        <v>4413</v>
      </c>
      <c r="O280" s="11"/>
      <c r="P280" s="11"/>
      <c r="Q280" s="11"/>
    </row>
    <row r="281" ht="14.25" customHeight="1">
      <c r="A281" s="10" t="s">
        <v>4599</v>
      </c>
      <c r="B281" s="10" t="s">
        <v>4600</v>
      </c>
      <c r="C281" s="11"/>
      <c r="D281" s="11"/>
      <c r="E281" s="10" t="s">
        <v>4411</v>
      </c>
      <c r="F281" s="11"/>
      <c r="G281" s="10" t="s">
        <v>4460</v>
      </c>
      <c r="H281" s="11"/>
      <c r="I281" s="10" t="s">
        <v>4402</v>
      </c>
      <c r="J281" s="11"/>
      <c r="K281" s="10" t="s">
        <v>4418</v>
      </c>
      <c r="L281" s="11"/>
      <c r="M281" s="10"/>
      <c r="N281" s="10" t="s">
        <v>4460</v>
      </c>
      <c r="O281" s="11"/>
      <c r="P281" s="11"/>
      <c r="Q281" s="11"/>
    </row>
    <row r="282" ht="14.25" customHeight="1">
      <c r="A282" s="10" t="s">
        <v>4601</v>
      </c>
      <c r="B282" s="10" t="s">
        <v>4602</v>
      </c>
      <c r="C282" s="11"/>
      <c r="D282" s="11"/>
      <c r="E282" s="10" t="s">
        <v>4411</v>
      </c>
      <c r="F282" s="11"/>
      <c r="G282" s="10" t="s">
        <v>4412</v>
      </c>
      <c r="H282" s="11"/>
      <c r="I282" s="10" t="s">
        <v>4460</v>
      </c>
      <c r="J282" s="11"/>
      <c r="K282" s="10" t="s">
        <v>4418</v>
      </c>
      <c r="L282" s="11"/>
      <c r="M282" s="10"/>
      <c r="N282" s="10" t="s">
        <v>4460</v>
      </c>
      <c r="O282" s="11"/>
      <c r="P282" s="11"/>
      <c r="Q282" s="11"/>
    </row>
    <row r="283" ht="14.25" customHeight="1">
      <c r="A283" s="10" t="s">
        <v>4603</v>
      </c>
      <c r="B283" s="10" t="s">
        <v>4604</v>
      </c>
      <c r="C283" s="11"/>
      <c r="D283" s="11"/>
      <c r="E283" s="10" t="s">
        <v>4460</v>
      </c>
      <c r="F283" s="11"/>
      <c r="G283" s="10" t="s">
        <v>4412</v>
      </c>
      <c r="H283" s="11"/>
      <c r="I283" s="10" t="s">
        <v>4402</v>
      </c>
      <c r="J283" s="11"/>
      <c r="K283" s="10" t="s">
        <v>4418</v>
      </c>
      <c r="L283" s="11"/>
      <c r="M283" s="10"/>
      <c r="N283" s="10" t="s">
        <v>4460</v>
      </c>
      <c r="O283" s="11"/>
      <c r="P283" s="11"/>
      <c r="Q283" s="11"/>
    </row>
    <row r="284" ht="14.25" customHeight="1">
      <c r="A284" s="10" t="s">
        <v>4605</v>
      </c>
      <c r="B284" s="10" t="s">
        <v>4606</v>
      </c>
      <c r="C284" s="11"/>
      <c r="D284" s="11"/>
      <c r="E284" s="10" t="s">
        <v>4411</v>
      </c>
      <c r="F284" s="11"/>
      <c r="G284" s="10" t="s">
        <v>4412</v>
      </c>
      <c r="H284" s="11"/>
      <c r="I284" s="10" t="s">
        <v>4402</v>
      </c>
      <c r="J284" s="11"/>
      <c r="K284" s="10" t="s">
        <v>4460</v>
      </c>
      <c r="L284" s="11"/>
      <c r="M284" s="10"/>
      <c r="N284" s="10" t="s">
        <v>4460</v>
      </c>
      <c r="O284" s="11"/>
      <c r="P284" s="11"/>
      <c r="Q284" s="11"/>
    </row>
    <row r="285" ht="14.25" customHeight="1">
      <c r="A285" s="10" t="s">
        <v>4607</v>
      </c>
      <c r="B285" s="10" t="s">
        <v>4608</v>
      </c>
      <c r="C285" s="11"/>
      <c r="D285" s="11"/>
      <c r="E285" s="10" t="s">
        <v>4460</v>
      </c>
      <c r="F285" s="11"/>
      <c r="G285" s="10" t="s">
        <v>4412</v>
      </c>
      <c r="H285" s="11"/>
      <c r="I285" s="10" t="s">
        <v>4402</v>
      </c>
      <c r="J285" s="11"/>
      <c r="K285" s="10" t="s">
        <v>4418</v>
      </c>
      <c r="L285" s="11"/>
      <c r="M285" s="10"/>
      <c r="N285" s="10" t="s">
        <v>4460</v>
      </c>
      <c r="O285" s="11"/>
      <c r="P285" s="11"/>
      <c r="Q285" s="11"/>
    </row>
    <row r="286" ht="14.25" customHeight="1">
      <c r="A286" s="10" t="s">
        <v>4609</v>
      </c>
      <c r="B286" s="10" t="s">
        <v>4610</v>
      </c>
      <c r="C286" s="11"/>
      <c r="D286" s="11"/>
      <c r="E286" s="10" t="s">
        <v>4411</v>
      </c>
      <c r="F286" s="11"/>
      <c r="G286" s="10" t="s">
        <v>4413</v>
      </c>
      <c r="H286" s="11"/>
      <c r="I286" s="10" t="s">
        <v>4412</v>
      </c>
      <c r="J286" s="11"/>
      <c r="K286" s="10" t="s">
        <v>4402</v>
      </c>
      <c r="L286" s="11"/>
      <c r="M286" s="10"/>
      <c r="N286" s="10" t="s">
        <v>4413</v>
      </c>
      <c r="O286" s="11"/>
      <c r="P286" s="11"/>
      <c r="Q286" s="11"/>
    </row>
    <row r="287" ht="14.25" customHeight="1">
      <c r="A287" s="10" t="s">
        <v>4611</v>
      </c>
      <c r="B287" s="10" t="s">
        <v>4612</v>
      </c>
      <c r="C287" s="11"/>
      <c r="D287" s="11"/>
      <c r="E287" s="10" t="s">
        <v>4460</v>
      </c>
      <c r="F287" s="11"/>
      <c r="G287" s="10" t="s">
        <v>4412</v>
      </c>
      <c r="H287" s="11"/>
      <c r="I287" s="10" t="s">
        <v>4402</v>
      </c>
      <c r="J287" s="11"/>
      <c r="K287" s="10" t="s">
        <v>4418</v>
      </c>
      <c r="L287" s="11"/>
      <c r="M287" s="10"/>
      <c r="N287" s="10" t="s">
        <v>4460</v>
      </c>
      <c r="O287" s="11"/>
      <c r="P287" s="11"/>
      <c r="Q287" s="11"/>
    </row>
    <row r="288" ht="14.25" customHeight="1">
      <c r="A288" s="10" t="s">
        <v>4613</v>
      </c>
      <c r="B288" s="10" t="s">
        <v>4614</v>
      </c>
      <c r="C288" s="11"/>
      <c r="D288" s="11"/>
      <c r="E288" s="10" t="s">
        <v>4411</v>
      </c>
      <c r="F288" s="11"/>
      <c r="G288" s="10" t="s">
        <v>4412</v>
      </c>
      <c r="H288" s="11"/>
      <c r="I288" s="10" t="s">
        <v>4465</v>
      </c>
      <c r="J288" s="11"/>
      <c r="K288" s="10" t="s">
        <v>4413</v>
      </c>
      <c r="L288" s="11"/>
      <c r="M288" s="10"/>
      <c r="N288" s="10" t="s">
        <v>4465</v>
      </c>
      <c r="O288" s="11"/>
      <c r="P288" s="11"/>
      <c r="Q288" s="11"/>
    </row>
    <row r="289" ht="14.25" customHeight="1">
      <c r="A289" s="10" t="s">
        <v>4615</v>
      </c>
      <c r="B289" s="10" t="s">
        <v>4616</v>
      </c>
      <c r="C289" s="11"/>
      <c r="D289" s="11"/>
      <c r="E289" s="10" t="s">
        <v>4460</v>
      </c>
      <c r="F289" s="11"/>
      <c r="G289" s="10" t="s">
        <v>4412</v>
      </c>
      <c r="H289" s="11"/>
      <c r="I289" s="10" t="s">
        <v>4402</v>
      </c>
      <c r="J289" s="11"/>
      <c r="K289" s="10" t="s">
        <v>4418</v>
      </c>
      <c r="L289" s="11"/>
      <c r="M289" s="10"/>
      <c r="N289" s="10" t="s">
        <v>4460</v>
      </c>
      <c r="O289" s="11"/>
      <c r="P289" s="11"/>
      <c r="Q289" s="11"/>
    </row>
    <row r="290" ht="14.25" customHeight="1">
      <c r="A290" s="10" t="s">
        <v>4617</v>
      </c>
      <c r="B290" s="10" t="s">
        <v>4618</v>
      </c>
      <c r="C290" s="12">
        <v>1.0</v>
      </c>
      <c r="D290" s="11"/>
      <c r="E290" s="10" t="s">
        <v>4411</v>
      </c>
      <c r="F290" s="11"/>
      <c r="G290" s="10" t="s">
        <v>4460</v>
      </c>
      <c r="H290" s="11"/>
      <c r="I290" s="10" t="s">
        <v>4402</v>
      </c>
      <c r="J290" s="11"/>
      <c r="K290" s="10" t="s">
        <v>4418</v>
      </c>
      <c r="L290" s="11"/>
      <c r="M290" s="10"/>
      <c r="N290" s="10" t="s">
        <v>4460</v>
      </c>
      <c r="O290" s="10" t="s">
        <v>4418</v>
      </c>
      <c r="Q290" s="11"/>
    </row>
    <row r="291" ht="14.25" customHeight="1">
      <c r="A291" s="10" t="s">
        <v>4619</v>
      </c>
      <c r="B291" s="10" t="s">
        <v>4620</v>
      </c>
      <c r="C291" s="12">
        <v>1.0</v>
      </c>
      <c r="D291" s="10" t="s">
        <v>4621</v>
      </c>
      <c r="E291" s="10" t="s">
        <v>4411</v>
      </c>
      <c r="F291" s="11"/>
      <c r="G291" s="10" t="s">
        <v>4460</v>
      </c>
      <c r="H291" s="11"/>
      <c r="I291" s="10" t="s">
        <v>4402</v>
      </c>
      <c r="J291" s="11"/>
      <c r="K291" s="10" t="s">
        <v>4418</v>
      </c>
      <c r="L291" s="11"/>
      <c r="M291" s="10"/>
      <c r="N291" s="10" t="s">
        <v>4460</v>
      </c>
      <c r="O291" s="11"/>
      <c r="P291" s="11"/>
      <c r="Q291" s="11"/>
    </row>
    <row r="292" ht="14.25" customHeight="1">
      <c r="A292" s="10" t="s">
        <v>4622</v>
      </c>
      <c r="B292" s="10" t="s">
        <v>4623</v>
      </c>
      <c r="C292" s="11"/>
      <c r="D292" s="11"/>
      <c r="E292" s="10" t="s">
        <v>4411</v>
      </c>
      <c r="F292" s="11"/>
      <c r="G292" s="10" t="s">
        <v>4412</v>
      </c>
      <c r="H292" s="11"/>
      <c r="I292" s="10" t="s">
        <v>4402</v>
      </c>
      <c r="J292" s="11"/>
      <c r="K292" s="10" t="s">
        <v>4460</v>
      </c>
      <c r="L292" s="11"/>
      <c r="M292" s="10"/>
      <c r="N292" s="10" t="s">
        <v>4460</v>
      </c>
      <c r="O292" s="11"/>
      <c r="P292" s="11"/>
      <c r="Q292" s="11"/>
    </row>
    <row r="293" ht="14.25" customHeight="1">
      <c r="A293" s="10" t="s">
        <v>4624</v>
      </c>
      <c r="B293" s="10" t="s">
        <v>4625</v>
      </c>
      <c r="C293" s="12">
        <v>1.0</v>
      </c>
      <c r="D293" s="10" t="s">
        <v>4626</v>
      </c>
      <c r="E293" s="10" t="s">
        <v>4460</v>
      </c>
      <c r="F293" s="11"/>
      <c r="G293" s="10" t="s">
        <v>4412</v>
      </c>
      <c r="H293" s="11"/>
      <c r="I293" s="10" t="s">
        <v>4418</v>
      </c>
      <c r="J293" s="11"/>
      <c r="K293" s="10" t="s">
        <v>4414</v>
      </c>
      <c r="L293" s="11"/>
      <c r="M293" s="10"/>
      <c r="N293" s="10" t="s">
        <v>4460</v>
      </c>
      <c r="O293" s="10" t="s">
        <v>4412</v>
      </c>
      <c r="Q293" s="11"/>
    </row>
    <row r="294" ht="14.25" customHeight="1">
      <c r="A294" s="10" t="s">
        <v>4627</v>
      </c>
      <c r="B294" s="10" t="s">
        <v>4628</v>
      </c>
      <c r="C294" s="11"/>
      <c r="D294" s="11"/>
      <c r="E294" s="10" t="s">
        <v>4465</v>
      </c>
      <c r="F294" s="11"/>
      <c r="G294" s="10" t="s">
        <v>4467</v>
      </c>
      <c r="H294" s="11"/>
      <c r="I294" s="10" t="s">
        <v>4464</v>
      </c>
      <c r="J294" s="11"/>
      <c r="K294" s="10" t="s">
        <v>4510</v>
      </c>
      <c r="L294" s="11"/>
      <c r="M294" s="10"/>
      <c r="N294" s="10" t="s">
        <v>4464</v>
      </c>
      <c r="O294" s="11"/>
      <c r="P294" s="11"/>
      <c r="Q294" s="11"/>
    </row>
    <row r="295" ht="14.25" customHeight="1">
      <c r="A295" s="10" t="s">
        <v>4629</v>
      </c>
      <c r="B295" s="10" t="s">
        <v>4630</v>
      </c>
      <c r="C295" s="12">
        <v>1.0</v>
      </c>
      <c r="D295" s="10" t="s">
        <v>4630</v>
      </c>
      <c r="E295" s="10" t="s">
        <v>4411</v>
      </c>
      <c r="F295" s="11"/>
      <c r="G295" s="10" t="s">
        <v>4412</v>
      </c>
      <c r="H295" s="11"/>
      <c r="I295" s="10" t="s">
        <v>4418</v>
      </c>
      <c r="J295" s="11"/>
      <c r="K295" s="10" t="s">
        <v>4402</v>
      </c>
      <c r="L295" s="11"/>
      <c r="M295" s="10"/>
      <c r="N295" s="10" t="s">
        <v>4402</v>
      </c>
      <c r="O295" s="10" t="s">
        <v>4411</v>
      </c>
      <c r="Q295" s="11"/>
    </row>
    <row r="296" ht="14.25" customHeight="1">
      <c r="A296" s="10" t="s">
        <v>4631</v>
      </c>
      <c r="B296" s="10" t="s">
        <v>4632</v>
      </c>
      <c r="C296" s="11"/>
      <c r="D296" s="11"/>
      <c r="E296" s="10" t="s">
        <v>4411</v>
      </c>
      <c r="F296" s="11"/>
      <c r="G296" s="10" t="s">
        <v>4412</v>
      </c>
      <c r="H296" s="11"/>
      <c r="I296" s="10" t="s">
        <v>4402</v>
      </c>
      <c r="J296" s="11"/>
      <c r="K296" s="10" t="s">
        <v>4460</v>
      </c>
      <c r="L296" s="11"/>
      <c r="M296" s="10"/>
      <c r="N296" s="10" t="s">
        <v>4460</v>
      </c>
      <c r="O296" s="11"/>
      <c r="P296" s="11"/>
      <c r="Q296" s="11"/>
    </row>
    <row r="297" ht="14.25" customHeight="1">
      <c r="A297" s="10" t="s">
        <v>4633</v>
      </c>
      <c r="B297" s="10" t="s">
        <v>4634</v>
      </c>
      <c r="C297" s="12">
        <v>1.0</v>
      </c>
      <c r="D297" s="10" t="s">
        <v>4635</v>
      </c>
      <c r="E297" s="10" t="s">
        <v>4362</v>
      </c>
      <c r="F297" s="11"/>
      <c r="G297" s="10" t="s">
        <v>4636</v>
      </c>
      <c r="H297" s="11"/>
      <c r="I297" s="10" t="s">
        <v>4637</v>
      </c>
      <c r="K297" s="10" t="s">
        <v>4638</v>
      </c>
      <c r="L297" s="11"/>
      <c r="M297" s="10"/>
      <c r="N297" s="10" t="s">
        <v>4638</v>
      </c>
      <c r="O297" s="11"/>
      <c r="P297" s="11"/>
      <c r="Q297" s="11"/>
    </row>
    <row r="298" ht="14.25" customHeight="1">
      <c r="A298" s="10" t="s">
        <v>4639</v>
      </c>
      <c r="B298" s="10" t="s">
        <v>4640</v>
      </c>
      <c r="C298" s="11"/>
      <c r="D298" s="11"/>
      <c r="E298" s="10" t="s">
        <v>4411</v>
      </c>
      <c r="F298" s="11"/>
      <c r="G298" s="10" t="s">
        <v>4412</v>
      </c>
      <c r="H298" s="11"/>
      <c r="I298" s="10" t="s">
        <v>4402</v>
      </c>
      <c r="J298" s="11"/>
      <c r="K298" s="10" t="s">
        <v>4460</v>
      </c>
      <c r="L298" s="11"/>
      <c r="M298" s="10"/>
      <c r="N298" s="10" t="s">
        <v>4460</v>
      </c>
      <c r="O298" s="11"/>
      <c r="P298" s="11"/>
      <c r="Q298" s="11"/>
    </row>
    <row r="299" ht="14.25" customHeight="1">
      <c r="A299" s="10" t="s">
        <v>4641</v>
      </c>
      <c r="B299" s="10" t="s">
        <v>4642</v>
      </c>
      <c r="C299" s="11"/>
      <c r="D299" s="11"/>
      <c r="E299" s="10" t="s">
        <v>4411</v>
      </c>
      <c r="F299" s="11"/>
      <c r="G299" s="10" t="s">
        <v>4412</v>
      </c>
      <c r="H299" s="11"/>
      <c r="I299" s="10" t="s">
        <v>4402</v>
      </c>
      <c r="J299" s="11"/>
      <c r="K299" s="10" t="s">
        <v>4460</v>
      </c>
      <c r="L299" s="11"/>
      <c r="M299" s="10"/>
      <c r="N299" s="10" t="s">
        <v>4460</v>
      </c>
      <c r="O299" s="11"/>
      <c r="P299" s="11"/>
      <c r="Q299" s="11"/>
    </row>
    <row r="300" ht="14.25" customHeight="1">
      <c r="A300" s="10" t="s">
        <v>4643</v>
      </c>
      <c r="B300" s="10" t="s">
        <v>4644</v>
      </c>
      <c r="C300" s="12">
        <v>1.0</v>
      </c>
      <c r="D300" s="10" t="s">
        <v>4645</v>
      </c>
      <c r="E300" s="10" t="s">
        <v>4411</v>
      </c>
      <c r="F300" s="11"/>
      <c r="G300" s="10" t="s">
        <v>4460</v>
      </c>
      <c r="H300" s="11"/>
      <c r="I300" s="10" t="s">
        <v>4402</v>
      </c>
      <c r="J300" s="10" t="s">
        <v>4517</v>
      </c>
      <c r="K300" s="10" t="s">
        <v>4418</v>
      </c>
      <c r="L300" s="11"/>
      <c r="M300" s="10"/>
      <c r="N300" s="10" t="s">
        <v>4460</v>
      </c>
      <c r="O300" s="10" t="s">
        <v>4517</v>
      </c>
      <c r="P300" s="11"/>
      <c r="Q300" s="11"/>
    </row>
    <row r="301" ht="14.25" customHeight="1">
      <c r="A301" s="10" t="s">
        <v>4646</v>
      </c>
      <c r="B301" s="10" t="s">
        <v>4647</v>
      </c>
      <c r="C301" s="11"/>
      <c r="D301" s="11"/>
      <c r="E301" s="10" t="s">
        <v>4460</v>
      </c>
      <c r="F301" s="11"/>
      <c r="G301" s="10" t="s">
        <v>4412</v>
      </c>
      <c r="H301" s="11"/>
      <c r="I301" s="10" t="s">
        <v>4402</v>
      </c>
      <c r="J301" s="11"/>
      <c r="K301" s="10" t="s">
        <v>4418</v>
      </c>
      <c r="L301" s="11"/>
      <c r="M301" s="10"/>
      <c r="N301" s="10" t="s">
        <v>4460</v>
      </c>
      <c r="O301" s="11"/>
      <c r="P301" s="11"/>
      <c r="Q301" s="11"/>
    </row>
    <row r="302" ht="14.25" customHeight="1">
      <c r="A302" s="10" t="s">
        <v>4648</v>
      </c>
      <c r="B302" s="10" t="s">
        <v>4649</v>
      </c>
      <c r="C302" s="11"/>
      <c r="D302" s="11"/>
      <c r="E302" s="10" t="s">
        <v>4411</v>
      </c>
      <c r="F302" s="11"/>
      <c r="G302" s="10" t="s">
        <v>4412</v>
      </c>
      <c r="H302" s="11"/>
      <c r="I302" s="10" t="s">
        <v>4460</v>
      </c>
      <c r="J302" s="11"/>
      <c r="K302" s="10" t="s">
        <v>4418</v>
      </c>
      <c r="L302" s="11"/>
      <c r="M302" s="10"/>
      <c r="N302" s="10" t="s">
        <v>4460</v>
      </c>
      <c r="O302" s="11"/>
      <c r="P302" s="11"/>
      <c r="Q302" s="11"/>
    </row>
    <row r="303" ht="14.25" customHeight="1">
      <c r="A303" s="10" t="s">
        <v>4650</v>
      </c>
      <c r="B303" s="10" t="s">
        <v>4651</v>
      </c>
      <c r="C303" s="11"/>
      <c r="D303" s="11"/>
      <c r="E303" s="10" t="s">
        <v>4411</v>
      </c>
      <c r="F303" s="11"/>
      <c r="G303" s="10" t="s">
        <v>4412</v>
      </c>
      <c r="H303" s="11"/>
      <c r="I303" s="10" t="s">
        <v>4414</v>
      </c>
      <c r="J303" s="11"/>
      <c r="K303" s="10" t="s">
        <v>4418</v>
      </c>
      <c r="L303" s="11"/>
      <c r="M303" s="10"/>
      <c r="N303" s="10" t="s">
        <v>4414</v>
      </c>
      <c r="O303" s="11"/>
      <c r="P303" s="11"/>
      <c r="Q303" s="11"/>
    </row>
    <row r="304" ht="14.25" customHeight="1">
      <c r="A304" s="10" t="s">
        <v>4652</v>
      </c>
      <c r="B304" s="10" t="s">
        <v>4653</v>
      </c>
      <c r="C304" s="11"/>
      <c r="D304" s="11"/>
      <c r="E304" s="10" t="s">
        <v>4413</v>
      </c>
      <c r="F304" s="11"/>
      <c r="G304" s="10" t="s">
        <v>4411</v>
      </c>
      <c r="H304" s="11"/>
      <c r="I304" s="10" t="s">
        <v>4412</v>
      </c>
      <c r="J304" s="11"/>
      <c r="K304" s="10" t="s">
        <v>4402</v>
      </c>
      <c r="L304" s="11"/>
      <c r="M304" s="10"/>
      <c r="N304" s="10" t="s">
        <v>4413</v>
      </c>
      <c r="O304" s="11"/>
      <c r="P304" s="11"/>
      <c r="Q304" s="11"/>
    </row>
    <row r="305" ht="14.25" customHeight="1">
      <c r="A305" s="10" t="s">
        <v>4654</v>
      </c>
      <c r="B305" s="10" t="s">
        <v>4655</v>
      </c>
      <c r="C305" s="11"/>
      <c r="D305" s="11"/>
      <c r="E305" s="10" t="s">
        <v>4411</v>
      </c>
      <c r="F305" s="11"/>
      <c r="G305" s="10" t="s">
        <v>4460</v>
      </c>
      <c r="H305" s="11"/>
      <c r="I305" s="10" t="s">
        <v>4402</v>
      </c>
      <c r="J305" s="11"/>
      <c r="K305" s="10" t="s">
        <v>4418</v>
      </c>
      <c r="L305" s="11"/>
      <c r="M305" s="10"/>
      <c r="N305" s="10" t="s">
        <v>4460</v>
      </c>
      <c r="O305" s="11"/>
      <c r="P305" s="11"/>
      <c r="Q305" s="11"/>
    </row>
    <row r="306" ht="14.25" customHeight="1">
      <c r="A306" s="10" t="s">
        <v>4656</v>
      </c>
      <c r="B306" s="10" t="s">
        <v>4657</v>
      </c>
      <c r="C306" s="11"/>
      <c r="D306" s="11"/>
      <c r="E306" s="10" t="s">
        <v>4411</v>
      </c>
      <c r="F306" s="11"/>
      <c r="G306" s="10" t="s">
        <v>4460</v>
      </c>
      <c r="H306" s="11"/>
      <c r="I306" s="10" t="s">
        <v>4402</v>
      </c>
      <c r="J306" s="11"/>
      <c r="K306" s="10" t="s">
        <v>4418</v>
      </c>
      <c r="L306" s="11"/>
      <c r="M306" s="10"/>
      <c r="N306" s="10" t="s">
        <v>4460</v>
      </c>
      <c r="O306" s="11"/>
      <c r="P306" s="11"/>
      <c r="Q306" s="11"/>
    </row>
    <row r="307" ht="14.25" customHeight="1">
      <c r="A307" s="10" t="s">
        <v>4658</v>
      </c>
      <c r="B307" s="10" t="s">
        <v>4659</v>
      </c>
      <c r="C307" s="11"/>
      <c r="D307" s="11"/>
      <c r="E307" s="10" t="s">
        <v>4411</v>
      </c>
      <c r="F307" s="11"/>
      <c r="G307" s="10" t="s">
        <v>4412</v>
      </c>
      <c r="H307" s="11"/>
      <c r="I307" s="10" t="s">
        <v>4413</v>
      </c>
      <c r="J307" s="11"/>
      <c r="K307" s="10" t="s">
        <v>4414</v>
      </c>
      <c r="L307" s="11"/>
      <c r="M307" s="10"/>
      <c r="N307" s="10" t="s">
        <v>4413</v>
      </c>
      <c r="O307" s="11"/>
      <c r="P307" s="11"/>
      <c r="Q307" s="11"/>
    </row>
    <row r="308" ht="14.25" customHeight="1">
      <c r="A308" s="10" t="s">
        <v>4660</v>
      </c>
      <c r="B308" s="10" t="s">
        <v>4661</v>
      </c>
      <c r="C308" s="12">
        <v>1.0</v>
      </c>
      <c r="D308" s="10" t="s">
        <v>4662</v>
      </c>
      <c r="E308" s="10" t="s">
        <v>4361</v>
      </c>
      <c r="F308" s="11"/>
      <c r="G308" s="10" t="s">
        <v>4636</v>
      </c>
      <c r="H308" s="11"/>
      <c r="I308" s="10" t="s">
        <v>4363</v>
      </c>
      <c r="J308" s="11"/>
      <c r="K308" s="10" t="s">
        <v>4663</v>
      </c>
      <c r="L308" s="10" t="s">
        <v>4664</v>
      </c>
      <c r="M308" s="10"/>
      <c r="N308" s="10" t="s">
        <v>4663</v>
      </c>
      <c r="O308" s="11"/>
      <c r="P308" s="11"/>
      <c r="Q308" s="11"/>
    </row>
    <row r="309" ht="14.25" customHeight="1">
      <c r="A309" s="10" t="s">
        <v>4665</v>
      </c>
      <c r="B309" s="10" t="s">
        <v>4666</v>
      </c>
      <c r="C309" s="11"/>
      <c r="D309" s="11"/>
      <c r="E309" s="10" t="s">
        <v>4400</v>
      </c>
      <c r="F309" s="11"/>
      <c r="G309" s="10" t="s">
        <v>4419</v>
      </c>
      <c r="H309" s="11"/>
      <c r="I309" s="10" t="s">
        <v>4402</v>
      </c>
      <c r="J309" s="11"/>
      <c r="K309" s="10" t="s">
        <v>4403</v>
      </c>
      <c r="L309" s="11"/>
      <c r="M309" s="10"/>
      <c r="N309" s="10" t="s">
        <v>4419</v>
      </c>
      <c r="O309" s="11"/>
      <c r="P309" s="11"/>
      <c r="Q309" s="11"/>
    </row>
    <row r="310" ht="14.25" customHeight="1">
      <c r="A310" s="10" t="s">
        <v>4667</v>
      </c>
      <c r="B310" s="10" t="s">
        <v>4668</v>
      </c>
      <c r="C310" s="12">
        <v>1.0</v>
      </c>
      <c r="D310" s="10" t="s">
        <v>4669</v>
      </c>
      <c r="E310" s="10" t="s">
        <v>4411</v>
      </c>
      <c r="F310" s="11"/>
      <c r="G310" s="10" t="s">
        <v>4412</v>
      </c>
      <c r="H310" s="11"/>
      <c r="I310" s="10" t="s">
        <v>4402</v>
      </c>
      <c r="J310" s="11"/>
      <c r="K310" s="10" t="s">
        <v>4419</v>
      </c>
      <c r="L310" s="11"/>
      <c r="M310" s="10"/>
      <c r="N310" s="10" t="s">
        <v>4419</v>
      </c>
      <c r="O310" s="10" t="s">
        <v>4411</v>
      </c>
      <c r="Q310" s="11"/>
    </row>
    <row r="311" ht="14.25" customHeight="1">
      <c r="A311" s="10" t="s">
        <v>4670</v>
      </c>
      <c r="B311" s="10" t="s">
        <v>4671</v>
      </c>
      <c r="C311" s="11"/>
      <c r="D311" s="11"/>
      <c r="E311" s="10" t="s">
        <v>4400</v>
      </c>
      <c r="F311" s="11"/>
      <c r="G311" s="10" t="s">
        <v>4407</v>
      </c>
      <c r="H311" s="11"/>
      <c r="I311" s="10" t="s">
        <v>4402</v>
      </c>
      <c r="J311" s="11"/>
      <c r="K311" s="10" t="s">
        <v>4401</v>
      </c>
      <c r="L311" s="11"/>
      <c r="M311" s="10"/>
      <c r="N311" s="10" t="s">
        <v>4401</v>
      </c>
      <c r="O311" s="11"/>
      <c r="P311" s="11"/>
      <c r="Q311" s="11"/>
    </row>
    <row r="312" ht="14.25" customHeight="1">
      <c r="A312" s="10" t="s">
        <v>4672</v>
      </c>
      <c r="B312" s="10" t="s">
        <v>4673</v>
      </c>
      <c r="C312" s="11"/>
      <c r="D312" s="11"/>
      <c r="E312" s="10" t="s">
        <v>4400</v>
      </c>
      <c r="F312" s="11"/>
      <c r="G312" s="10" t="s">
        <v>4407</v>
      </c>
      <c r="H312" s="11"/>
      <c r="I312" s="10" t="s">
        <v>4402</v>
      </c>
      <c r="J312" s="11"/>
      <c r="K312" s="10" t="s">
        <v>4419</v>
      </c>
      <c r="L312" s="11"/>
      <c r="M312" s="10"/>
      <c r="N312" s="10" t="s">
        <v>4419</v>
      </c>
      <c r="O312" s="11"/>
      <c r="P312" s="11"/>
      <c r="Q312" s="11"/>
    </row>
    <row r="313" ht="14.25" customHeight="1">
      <c r="A313" s="10" t="s">
        <v>4674</v>
      </c>
      <c r="B313" s="10" t="s">
        <v>4675</v>
      </c>
      <c r="C313" s="11"/>
      <c r="D313" s="11"/>
      <c r="E313" s="10" t="s">
        <v>4372</v>
      </c>
      <c r="F313" s="11"/>
      <c r="G313" s="10" t="s">
        <v>4452</v>
      </c>
      <c r="H313" s="11"/>
      <c r="I313" s="10" t="s">
        <v>4370</v>
      </c>
      <c r="J313" s="11"/>
      <c r="K313" s="10" t="s">
        <v>4676</v>
      </c>
      <c r="L313" s="11"/>
      <c r="M313" s="10"/>
      <c r="N313" s="10" t="s">
        <v>4370</v>
      </c>
      <c r="O313" s="11"/>
      <c r="P313" s="11"/>
      <c r="Q313" s="11"/>
    </row>
    <row r="314" ht="14.25" customHeight="1">
      <c r="A314" s="10" t="s">
        <v>4677</v>
      </c>
      <c r="B314" s="10" t="s">
        <v>4678</v>
      </c>
      <c r="C314" s="12">
        <v>1.0</v>
      </c>
      <c r="D314" s="10" t="s">
        <v>4679</v>
      </c>
      <c r="E314" s="10" t="s">
        <v>4411</v>
      </c>
      <c r="F314" s="11"/>
      <c r="G314" s="10" t="s">
        <v>4412</v>
      </c>
      <c r="H314" s="11"/>
      <c r="I314" s="10" t="s">
        <v>4419</v>
      </c>
      <c r="J314" s="11"/>
      <c r="K314" s="10" t="s">
        <v>4418</v>
      </c>
      <c r="L314" s="11"/>
      <c r="M314" s="10"/>
      <c r="N314" s="10" t="s">
        <v>4419</v>
      </c>
      <c r="O314" s="10" t="s">
        <v>4411</v>
      </c>
      <c r="Q314" s="11"/>
    </row>
    <row r="315" ht="14.25" customHeight="1">
      <c r="A315" s="10" t="s">
        <v>4680</v>
      </c>
      <c r="B315" s="10" t="s">
        <v>4681</v>
      </c>
      <c r="C315" s="11"/>
      <c r="D315" s="11"/>
      <c r="E315" s="10" t="s">
        <v>4400</v>
      </c>
      <c r="F315" s="11"/>
      <c r="G315" s="10" t="s">
        <v>4407</v>
      </c>
      <c r="H315" s="11"/>
      <c r="I315" s="10" t="s">
        <v>4402</v>
      </c>
      <c r="J315" s="11"/>
      <c r="K315" s="10" t="s">
        <v>4419</v>
      </c>
      <c r="L315" s="11"/>
      <c r="M315" s="10"/>
      <c r="N315" s="10" t="s">
        <v>4419</v>
      </c>
      <c r="O315" s="11"/>
      <c r="P315" s="11"/>
      <c r="Q315" s="11"/>
    </row>
    <row r="316" ht="14.25" customHeight="1">
      <c r="A316" s="10" t="s">
        <v>4682</v>
      </c>
      <c r="B316" s="10" t="s">
        <v>4683</v>
      </c>
      <c r="C316" s="11"/>
      <c r="D316" s="11"/>
      <c r="E316" s="10" t="s">
        <v>4400</v>
      </c>
      <c r="F316" s="11"/>
      <c r="G316" s="10" t="s">
        <v>4407</v>
      </c>
      <c r="H316" s="11"/>
      <c r="I316" s="10" t="s">
        <v>4402</v>
      </c>
      <c r="J316" s="11"/>
      <c r="K316" s="10" t="s">
        <v>4419</v>
      </c>
      <c r="L316" s="11"/>
      <c r="M316" s="10"/>
      <c r="N316" s="10" t="s">
        <v>4419</v>
      </c>
      <c r="O316" s="11"/>
      <c r="P316" s="11"/>
      <c r="Q316" s="11"/>
    </row>
    <row r="317" ht="14.25" customHeight="1">
      <c r="A317" s="10" t="s">
        <v>4684</v>
      </c>
      <c r="B317" s="10" t="s">
        <v>4685</v>
      </c>
      <c r="C317" s="11"/>
      <c r="D317" s="11"/>
      <c r="E317" s="10" t="s">
        <v>4400</v>
      </c>
      <c r="F317" s="11"/>
      <c r="G317" s="10" t="s">
        <v>4407</v>
      </c>
      <c r="H317" s="11"/>
      <c r="I317" s="10" t="s">
        <v>4419</v>
      </c>
      <c r="J317" s="11"/>
      <c r="K317" s="10" t="s">
        <v>4403</v>
      </c>
      <c r="L317" s="11"/>
      <c r="M317" s="10"/>
      <c r="N317" s="10" t="s">
        <v>4419</v>
      </c>
      <c r="O317" s="11"/>
      <c r="P317" s="11"/>
      <c r="Q317" s="11"/>
    </row>
    <row r="318" ht="14.25" customHeight="1">
      <c r="A318" s="10" t="s">
        <v>4686</v>
      </c>
      <c r="B318" s="10" t="s">
        <v>4687</v>
      </c>
      <c r="C318" s="11"/>
      <c r="D318" s="11"/>
      <c r="E318" s="10" t="s">
        <v>4419</v>
      </c>
      <c r="F318" s="11"/>
      <c r="G318" s="10" t="s">
        <v>4407</v>
      </c>
      <c r="H318" s="11"/>
      <c r="I318" s="10" t="s">
        <v>4402</v>
      </c>
      <c r="J318" s="11"/>
      <c r="K318" s="10" t="s">
        <v>4403</v>
      </c>
      <c r="L318" s="11"/>
      <c r="M318" s="10"/>
      <c r="N318" s="10" t="s">
        <v>4419</v>
      </c>
      <c r="O318" s="11"/>
      <c r="P318" s="11"/>
      <c r="Q318" s="11"/>
    </row>
    <row r="319" ht="14.25" customHeight="1">
      <c r="A319" s="10" t="s">
        <v>4688</v>
      </c>
      <c r="B319" s="10" t="s">
        <v>4689</v>
      </c>
      <c r="C319" s="12">
        <v>1.0</v>
      </c>
      <c r="D319" s="10" t="s">
        <v>4690</v>
      </c>
      <c r="E319" s="10" t="s">
        <v>4400</v>
      </c>
      <c r="F319" s="11"/>
      <c r="G319" s="10" t="s">
        <v>4401</v>
      </c>
      <c r="H319" s="11"/>
      <c r="I319" s="10" t="s">
        <v>4402</v>
      </c>
      <c r="J319" s="10" t="s">
        <v>4517</v>
      </c>
      <c r="K319" s="10" t="s">
        <v>4403</v>
      </c>
      <c r="L319" s="11"/>
      <c r="M319" s="10"/>
      <c r="N319" s="10" t="s">
        <v>4401</v>
      </c>
      <c r="O319" s="11"/>
      <c r="P319" s="11"/>
      <c r="Q319" s="11"/>
    </row>
    <row r="320" ht="14.25" customHeight="1">
      <c r="A320" s="10" t="s">
        <v>4691</v>
      </c>
      <c r="B320" s="10" t="s">
        <v>4692</v>
      </c>
      <c r="C320" s="11"/>
      <c r="D320" s="11"/>
      <c r="E320" s="10" t="s">
        <v>4419</v>
      </c>
      <c r="F320" s="11"/>
      <c r="G320" s="10" t="s">
        <v>4407</v>
      </c>
      <c r="H320" s="11"/>
      <c r="I320" s="10" t="s">
        <v>4402</v>
      </c>
      <c r="J320" s="11"/>
      <c r="K320" s="10" t="s">
        <v>4403</v>
      </c>
      <c r="L320" s="11"/>
      <c r="M320" s="10"/>
      <c r="N320" s="10" t="s">
        <v>4419</v>
      </c>
      <c r="O320" s="11"/>
      <c r="P320" s="11"/>
      <c r="Q320" s="11"/>
    </row>
    <row r="321" ht="14.25" customHeight="1">
      <c r="A321" s="10" t="s">
        <v>4693</v>
      </c>
      <c r="B321" s="10" t="s">
        <v>4694</v>
      </c>
      <c r="C321" s="11"/>
      <c r="D321" s="11"/>
      <c r="E321" s="10" t="s">
        <v>4400</v>
      </c>
      <c r="F321" s="11"/>
      <c r="G321" s="10" t="s">
        <v>4407</v>
      </c>
      <c r="H321" s="11"/>
      <c r="I321" s="10" t="s">
        <v>4402</v>
      </c>
      <c r="J321" s="11"/>
      <c r="K321" s="10" t="s">
        <v>4419</v>
      </c>
      <c r="L321" s="11"/>
      <c r="M321" s="10"/>
      <c r="N321" s="10" t="s">
        <v>4419</v>
      </c>
      <c r="O321" s="11"/>
      <c r="P321" s="11"/>
      <c r="Q321" s="11"/>
    </row>
    <row r="322" ht="14.25" customHeight="1">
      <c r="A322" s="10" t="s">
        <v>4695</v>
      </c>
      <c r="B322" s="10" t="s">
        <v>4696</v>
      </c>
      <c r="C322" s="11"/>
      <c r="D322" s="11"/>
      <c r="E322" s="10" t="s">
        <v>4400</v>
      </c>
      <c r="F322" s="11"/>
      <c r="G322" s="10" t="s">
        <v>4407</v>
      </c>
      <c r="H322" s="11"/>
      <c r="I322" s="10" t="s">
        <v>4419</v>
      </c>
      <c r="J322" s="11"/>
      <c r="K322" s="10" t="s">
        <v>4403</v>
      </c>
      <c r="L322" s="11"/>
      <c r="M322" s="10"/>
      <c r="N322" s="10" t="s">
        <v>4419</v>
      </c>
      <c r="O322" s="11"/>
      <c r="P322" s="11"/>
      <c r="Q322" s="11"/>
    </row>
    <row r="323" ht="14.25" customHeight="1">
      <c r="A323" s="10" t="s">
        <v>4697</v>
      </c>
      <c r="B323" s="10" t="s">
        <v>4698</v>
      </c>
      <c r="C323" s="11"/>
      <c r="D323" s="11"/>
      <c r="E323" s="10" t="s">
        <v>4419</v>
      </c>
      <c r="F323" s="11"/>
      <c r="G323" s="10" t="s">
        <v>4407</v>
      </c>
      <c r="H323" s="11"/>
      <c r="I323" s="10" t="s">
        <v>4402</v>
      </c>
      <c r="J323" s="11"/>
      <c r="K323" s="10" t="s">
        <v>4403</v>
      </c>
      <c r="L323" s="11"/>
      <c r="M323" s="10"/>
      <c r="N323" s="10" t="s">
        <v>4419</v>
      </c>
      <c r="O323" s="11"/>
      <c r="P323" s="11"/>
      <c r="Q323" s="11"/>
    </row>
    <row r="324" ht="14.25" customHeight="1">
      <c r="A324" s="10" t="s">
        <v>4699</v>
      </c>
      <c r="B324" s="10" t="s">
        <v>4700</v>
      </c>
      <c r="C324" s="11"/>
      <c r="D324" s="11"/>
      <c r="E324" s="10" t="s">
        <v>4400</v>
      </c>
      <c r="F324" s="11"/>
      <c r="G324" s="10" t="s">
        <v>4419</v>
      </c>
      <c r="H324" s="11"/>
      <c r="I324" s="10" t="s">
        <v>4402</v>
      </c>
      <c r="J324" s="11"/>
      <c r="K324" s="10" t="s">
        <v>4403</v>
      </c>
      <c r="L324" s="11"/>
      <c r="M324" s="10"/>
      <c r="N324" s="10" t="s">
        <v>4419</v>
      </c>
      <c r="O324" s="11"/>
      <c r="P324" s="11"/>
      <c r="Q324" s="11"/>
    </row>
    <row r="325" ht="14.25" customHeight="1">
      <c r="A325" s="10" t="s">
        <v>4701</v>
      </c>
      <c r="B325" s="10" t="s">
        <v>4702</v>
      </c>
      <c r="C325" s="11"/>
      <c r="D325" s="11"/>
      <c r="E325" s="10" t="s">
        <v>4400</v>
      </c>
      <c r="F325" s="11"/>
      <c r="G325" s="10" t="s">
        <v>4407</v>
      </c>
      <c r="H325" s="11"/>
      <c r="I325" s="10" t="s">
        <v>4402</v>
      </c>
      <c r="J325" s="11"/>
      <c r="K325" s="10" t="s">
        <v>4419</v>
      </c>
      <c r="L325" s="11"/>
      <c r="M325" s="10"/>
      <c r="N325" s="10" t="s">
        <v>4419</v>
      </c>
      <c r="O325" s="11"/>
      <c r="P325" s="11"/>
      <c r="Q325" s="11"/>
    </row>
    <row r="326" ht="14.25" customHeight="1">
      <c r="A326" s="10" t="s">
        <v>4703</v>
      </c>
      <c r="B326" s="10" t="s">
        <v>4704</v>
      </c>
      <c r="C326" s="11"/>
      <c r="D326" s="11"/>
      <c r="E326" s="10" t="s">
        <v>4400</v>
      </c>
      <c r="F326" s="11"/>
      <c r="G326" s="10" t="s">
        <v>4419</v>
      </c>
      <c r="H326" s="11"/>
      <c r="I326" s="10" t="s">
        <v>4402</v>
      </c>
      <c r="J326" s="11"/>
      <c r="K326" s="10" t="s">
        <v>4403</v>
      </c>
      <c r="L326" s="11"/>
      <c r="M326" s="10"/>
      <c r="N326" s="10" t="s">
        <v>4419</v>
      </c>
      <c r="O326" s="11"/>
      <c r="P326" s="11"/>
      <c r="Q326" s="11"/>
    </row>
    <row r="327" ht="14.25" customHeight="1">
      <c r="A327" s="10" t="s">
        <v>4705</v>
      </c>
      <c r="B327" s="10" t="s">
        <v>4706</v>
      </c>
      <c r="C327" s="11"/>
      <c r="D327" s="11"/>
      <c r="E327" s="10" t="s">
        <v>4400</v>
      </c>
      <c r="F327" s="11"/>
      <c r="G327" s="10" t="s">
        <v>4407</v>
      </c>
      <c r="H327" s="11"/>
      <c r="I327" s="10" t="s">
        <v>4419</v>
      </c>
      <c r="J327" s="11"/>
      <c r="K327" s="10" t="s">
        <v>4403</v>
      </c>
      <c r="L327" s="11"/>
      <c r="M327" s="10"/>
      <c r="N327" s="10" t="s">
        <v>4419</v>
      </c>
      <c r="O327" s="11"/>
      <c r="P327" s="11"/>
      <c r="Q327" s="11"/>
    </row>
    <row r="328" ht="14.25" customHeight="1">
      <c r="A328" s="10" t="s">
        <v>4707</v>
      </c>
      <c r="B328" s="10" t="s">
        <v>4708</v>
      </c>
      <c r="C328" s="11"/>
      <c r="D328" s="11"/>
      <c r="E328" s="10" t="s">
        <v>4400</v>
      </c>
      <c r="F328" s="11"/>
      <c r="G328" s="10" t="s">
        <v>4407</v>
      </c>
      <c r="H328" s="11"/>
      <c r="I328" s="10" t="s">
        <v>4419</v>
      </c>
      <c r="J328" s="11"/>
      <c r="K328" s="10" t="s">
        <v>4403</v>
      </c>
      <c r="L328" s="11"/>
      <c r="M328" s="10"/>
      <c r="N328" s="10" t="s">
        <v>4419</v>
      </c>
      <c r="O328" s="11"/>
      <c r="P328" s="11"/>
      <c r="Q328" s="11"/>
    </row>
    <row r="329" ht="14.25" customHeight="1">
      <c r="A329" s="10" t="s">
        <v>4709</v>
      </c>
      <c r="B329" s="10" t="s">
        <v>4710</v>
      </c>
      <c r="C329" s="11"/>
      <c r="D329" s="11"/>
      <c r="E329" s="10" t="s">
        <v>4419</v>
      </c>
      <c r="F329" s="11"/>
      <c r="G329" s="10" t="s">
        <v>4407</v>
      </c>
      <c r="H329" s="11"/>
      <c r="I329" s="10" t="s">
        <v>4402</v>
      </c>
      <c r="J329" s="11"/>
      <c r="K329" s="10" t="s">
        <v>4403</v>
      </c>
      <c r="L329" s="11"/>
      <c r="M329" s="10"/>
      <c r="N329" s="10" t="s">
        <v>4419</v>
      </c>
      <c r="O329" s="11"/>
      <c r="P329" s="11"/>
      <c r="Q329" s="11"/>
    </row>
    <row r="330" ht="14.25" customHeight="1">
      <c r="A330" s="10" t="s">
        <v>4711</v>
      </c>
      <c r="B330" s="10" t="s">
        <v>4712</v>
      </c>
      <c r="C330" s="11"/>
      <c r="D330" s="11"/>
      <c r="E330" s="10" t="s">
        <v>4400</v>
      </c>
      <c r="F330" s="11"/>
      <c r="G330" s="10" t="s">
        <v>4407</v>
      </c>
      <c r="H330" s="11"/>
      <c r="I330" s="10" t="s">
        <v>4419</v>
      </c>
      <c r="J330" s="11"/>
      <c r="K330" s="10" t="s">
        <v>4403</v>
      </c>
      <c r="L330" s="11"/>
      <c r="M330" s="10"/>
      <c r="N330" s="10" t="s">
        <v>4419</v>
      </c>
      <c r="O330" s="11"/>
      <c r="P330" s="11"/>
      <c r="Q330" s="11"/>
    </row>
    <row r="331" ht="14.25" customHeight="1">
      <c r="A331" s="10" t="s">
        <v>4713</v>
      </c>
      <c r="B331" s="10" t="s">
        <v>4714</v>
      </c>
      <c r="C331" s="11"/>
      <c r="D331" s="11"/>
      <c r="E331" s="10" t="s">
        <v>4419</v>
      </c>
      <c r="F331" s="11"/>
      <c r="G331" s="10" t="s">
        <v>4407</v>
      </c>
      <c r="H331" s="11"/>
      <c r="I331" s="10" t="s">
        <v>4402</v>
      </c>
      <c r="J331" s="11"/>
      <c r="K331" s="10" t="s">
        <v>4403</v>
      </c>
      <c r="L331" s="11"/>
      <c r="M331" s="10"/>
      <c r="N331" s="10" t="s">
        <v>4419</v>
      </c>
      <c r="O331" s="11"/>
      <c r="P331" s="11"/>
      <c r="Q331" s="11"/>
    </row>
    <row r="332" ht="14.25" customHeight="1">
      <c r="A332" s="10" t="s">
        <v>4715</v>
      </c>
      <c r="B332" s="10" t="s">
        <v>4716</v>
      </c>
      <c r="C332" s="12">
        <v>1.0</v>
      </c>
      <c r="D332" s="10" t="s">
        <v>4717</v>
      </c>
      <c r="E332" s="10" t="s">
        <v>4465</v>
      </c>
      <c r="F332" s="11"/>
      <c r="G332" s="10" t="s">
        <v>4718</v>
      </c>
      <c r="H332" s="11"/>
      <c r="I332" s="10" t="s">
        <v>4447</v>
      </c>
      <c r="J332" s="11"/>
      <c r="K332" s="10" t="s">
        <v>4719</v>
      </c>
      <c r="L332" s="11"/>
      <c r="M332" s="10"/>
      <c r="N332" s="10" t="s">
        <v>4720</v>
      </c>
      <c r="O332" s="10" t="s">
        <v>4465</v>
      </c>
      <c r="Q332" s="11"/>
    </row>
    <row r="333" ht="14.25" customHeight="1">
      <c r="A333" s="10" t="s">
        <v>4721</v>
      </c>
      <c r="B333" s="10" t="s">
        <v>4722</v>
      </c>
      <c r="C333" s="12">
        <v>1.0</v>
      </c>
      <c r="D333" s="11"/>
      <c r="E333" s="10" t="s">
        <v>4411</v>
      </c>
      <c r="F333" s="11"/>
      <c r="G333" s="10" t="s">
        <v>4412</v>
      </c>
      <c r="H333" s="11"/>
      <c r="I333" s="10" t="s">
        <v>4419</v>
      </c>
      <c r="J333" s="11"/>
      <c r="K333" s="10" t="s">
        <v>4418</v>
      </c>
      <c r="L333" s="11"/>
      <c r="M333" s="10"/>
      <c r="N333" s="10" t="s">
        <v>4419</v>
      </c>
      <c r="O333" s="10" t="s">
        <v>4411</v>
      </c>
      <c r="Q333" s="11"/>
    </row>
    <row r="334" ht="14.25" customHeight="1">
      <c r="A334" s="10" t="s">
        <v>4723</v>
      </c>
      <c r="B334" s="10" t="s">
        <v>4724</v>
      </c>
      <c r="C334" s="11"/>
      <c r="D334" s="11"/>
      <c r="E334" s="10" t="s">
        <v>4400</v>
      </c>
      <c r="F334" s="11"/>
      <c r="G334" s="10" t="s">
        <v>4419</v>
      </c>
      <c r="H334" s="11"/>
      <c r="I334" s="10" t="s">
        <v>4402</v>
      </c>
      <c r="J334" s="11"/>
      <c r="K334" s="10" t="s">
        <v>4403</v>
      </c>
      <c r="L334" s="11"/>
      <c r="M334" s="10"/>
      <c r="N334" s="10" t="s">
        <v>4419</v>
      </c>
      <c r="O334" s="11"/>
      <c r="P334" s="11"/>
      <c r="Q334" s="11"/>
    </row>
    <row r="335" ht="14.25" customHeight="1">
      <c r="A335" s="10" t="s">
        <v>4725</v>
      </c>
      <c r="B335" s="10" t="s">
        <v>4726</v>
      </c>
      <c r="C335" s="11"/>
      <c r="D335" s="11"/>
      <c r="E335" s="10" t="s">
        <v>4400</v>
      </c>
      <c r="F335" s="11"/>
      <c r="G335" s="10" t="s">
        <v>4419</v>
      </c>
      <c r="H335" s="11"/>
      <c r="I335" s="10" t="s">
        <v>4402</v>
      </c>
      <c r="J335" s="11"/>
      <c r="K335" s="10" t="s">
        <v>4403</v>
      </c>
      <c r="L335" s="11"/>
      <c r="M335" s="10"/>
      <c r="N335" s="10" t="s">
        <v>4419</v>
      </c>
      <c r="O335" s="11"/>
      <c r="P335" s="11"/>
      <c r="Q335" s="11"/>
    </row>
    <row r="336" ht="14.25" customHeight="1">
      <c r="A336" s="10" t="s">
        <v>4727</v>
      </c>
      <c r="B336" s="10" t="s">
        <v>4728</v>
      </c>
      <c r="C336" s="11"/>
      <c r="D336" s="11"/>
      <c r="E336" s="10" t="s">
        <v>4407</v>
      </c>
      <c r="F336" s="11"/>
      <c r="G336" s="10" t="s">
        <v>4400</v>
      </c>
      <c r="H336" s="11"/>
      <c r="I336" s="10" t="s">
        <v>4406</v>
      </c>
      <c r="J336" s="11"/>
      <c r="K336" s="10" t="s">
        <v>4401</v>
      </c>
      <c r="L336" s="11"/>
      <c r="M336" s="10"/>
      <c r="N336" s="10" t="s">
        <v>4406</v>
      </c>
      <c r="O336" s="11"/>
      <c r="P336" s="11"/>
      <c r="Q336" s="11"/>
    </row>
    <row r="337" ht="14.25" customHeight="1">
      <c r="A337" s="10" t="s">
        <v>4729</v>
      </c>
      <c r="B337" s="10" t="s">
        <v>4730</v>
      </c>
      <c r="C337" s="11"/>
      <c r="D337" s="11"/>
      <c r="E337" s="10" t="s">
        <v>4400</v>
      </c>
      <c r="F337" s="11"/>
      <c r="G337" s="10" t="s">
        <v>4407</v>
      </c>
      <c r="H337" s="11"/>
      <c r="I337" s="10" t="s">
        <v>4419</v>
      </c>
      <c r="J337" s="11"/>
      <c r="K337" s="10" t="s">
        <v>4403</v>
      </c>
      <c r="L337" s="11"/>
      <c r="M337" s="10"/>
      <c r="N337" s="10" t="s">
        <v>4419</v>
      </c>
      <c r="O337" s="11"/>
      <c r="P337" s="11"/>
      <c r="Q337" s="11"/>
    </row>
    <row r="338" ht="14.25" customHeight="1">
      <c r="A338" s="10" t="s">
        <v>4731</v>
      </c>
      <c r="B338" s="10" t="s">
        <v>4732</v>
      </c>
      <c r="C338" s="11"/>
      <c r="D338" s="11"/>
      <c r="E338" s="10" t="s">
        <v>4400</v>
      </c>
      <c r="F338" s="11"/>
      <c r="G338" s="10" t="s">
        <v>4407</v>
      </c>
      <c r="H338" s="11"/>
      <c r="I338" s="10" t="s">
        <v>4419</v>
      </c>
      <c r="J338" s="11"/>
      <c r="K338" s="10" t="s">
        <v>4403</v>
      </c>
      <c r="L338" s="11"/>
      <c r="M338" s="10"/>
      <c r="N338" s="10" t="s">
        <v>4419</v>
      </c>
      <c r="O338" s="11"/>
      <c r="P338" s="11"/>
      <c r="Q338" s="11"/>
    </row>
    <row r="339" ht="14.25" customHeight="1">
      <c r="A339" s="10" t="s">
        <v>4733</v>
      </c>
      <c r="B339" s="10" t="s">
        <v>4734</v>
      </c>
      <c r="C339" s="11"/>
      <c r="D339" s="11"/>
      <c r="E339" s="10" t="s">
        <v>4400</v>
      </c>
      <c r="F339" s="11"/>
      <c r="G339" s="10" t="s">
        <v>4419</v>
      </c>
      <c r="H339" s="11"/>
      <c r="I339" s="10" t="s">
        <v>4402</v>
      </c>
      <c r="J339" s="11"/>
      <c r="K339" s="10" t="s">
        <v>4403</v>
      </c>
      <c r="L339" s="11"/>
      <c r="M339" s="10"/>
      <c r="N339" s="10" t="s">
        <v>4419</v>
      </c>
      <c r="O339" s="11"/>
      <c r="P339" s="11"/>
      <c r="Q339" s="11"/>
    </row>
    <row r="340" ht="14.25" customHeight="1">
      <c r="A340" s="10" t="s">
        <v>4735</v>
      </c>
      <c r="B340" s="10" t="s">
        <v>4736</v>
      </c>
      <c r="C340" s="11"/>
      <c r="D340" s="11"/>
      <c r="E340" s="10" t="s">
        <v>4400</v>
      </c>
      <c r="F340" s="11"/>
      <c r="G340" s="10" t="s">
        <v>4407</v>
      </c>
      <c r="H340" s="11"/>
      <c r="I340" s="10" t="s">
        <v>4402</v>
      </c>
      <c r="J340" s="11"/>
      <c r="K340" s="10" t="s">
        <v>4419</v>
      </c>
      <c r="L340" s="11"/>
      <c r="M340" s="10"/>
      <c r="N340" s="10" t="s">
        <v>4419</v>
      </c>
      <c r="O340" s="11"/>
      <c r="P340" s="11"/>
      <c r="Q340" s="11"/>
    </row>
    <row r="341" ht="14.25" customHeight="1">
      <c r="A341" s="10" t="s">
        <v>4737</v>
      </c>
      <c r="B341" s="10" t="s">
        <v>4738</v>
      </c>
      <c r="C341" s="11"/>
      <c r="D341" s="11"/>
      <c r="E341" s="10" t="s">
        <v>4372</v>
      </c>
      <c r="F341" s="11"/>
      <c r="G341" s="10" t="s">
        <v>4720</v>
      </c>
      <c r="H341" s="11"/>
      <c r="I341" s="10" t="s">
        <v>4447</v>
      </c>
      <c r="J341" s="11"/>
      <c r="K341" s="10" t="s">
        <v>4739</v>
      </c>
      <c r="L341" s="11"/>
      <c r="M341" s="10"/>
      <c r="N341" s="10" t="s">
        <v>4720</v>
      </c>
      <c r="O341" s="11"/>
      <c r="P341" s="11"/>
      <c r="Q341" s="11"/>
    </row>
    <row r="342" ht="14.25" customHeight="1">
      <c r="A342" s="10" t="s">
        <v>4740</v>
      </c>
      <c r="B342" s="10" t="s">
        <v>4741</v>
      </c>
      <c r="C342" s="11"/>
      <c r="D342" s="11"/>
      <c r="E342" s="10" t="s">
        <v>4400</v>
      </c>
      <c r="F342" s="11"/>
      <c r="G342" s="10" t="s">
        <v>4407</v>
      </c>
      <c r="H342" s="11"/>
      <c r="I342" s="10" t="s">
        <v>4419</v>
      </c>
      <c r="J342" s="11"/>
      <c r="K342" s="10" t="s">
        <v>4403</v>
      </c>
      <c r="L342" s="11"/>
      <c r="M342" s="10"/>
      <c r="N342" s="10" t="s">
        <v>4419</v>
      </c>
      <c r="O342" s="11"/>
      <c r="P342" s="11"/>
      <c r="Q342" s="11"/>
    </row>
    <row r="343" ht="14.25" customHeight="1">
      <c r="A343" s="10" t="s">
        <v>4742</v>
      </c>
      <c r="B343" s="10" t="s">
        <v>4743</v>
      </c>
      <c r="C343" s="11"/>
      <c r="D343" s="11"/>
      <c r="E343" s="10" t="s">
        <v>4400</v>
      </c>
      <c r="F343" s="11"/>
      <c r="G343" s="10" t="s">
        <v>4407</v>
      </c>
      <c r="H343" s="11"/>
      <c r="I343" s="10" t="s">
        <v>4402</v>
      </c>
      <c r="J343" s="11"/>
      <c r="K343" s="10" t="s">
        <v>4419</v>
      </c>
      <c r="L343" s="11"/>
      <c r="M343" s="10"/>
      <c r="N343" s="10" t="s">
        <v>4419</v>
      </c>
      <c r="O343" s="11"/>
      <c r="P343" s="11"/>
      <c r="Q343" s="11"/>
    </row>
    <row r="344" ht="14.25" customHeight="1">
      <c r="A344" s="10" t="s">
        <v>4744</v>
      </c>
      <c r="B344" s="10" t="s">
        <v>4745</v>
      </c>
      <c r="C344" s="11"/>
      <c r="D344" s="11"/>
      <c r="E344" s="10" t="s">
        <v>4419</v>
      </c>
      <c r="F344" s="11"/>
      <c r="G344" s="10" t="s">
        <v>4407</v>
      </c>
      <c r="H344" s="11"/>
      <c r="I344" s="10" t="s">
        <v>4402</v>
      </c>
      <c r="J344" s="11"/>
      <c r="K344" s="10" t="s">
        <v>4403</v>
      </c>
      <c r="L344" s="11"/>
      <c r="M344" s="10"/>
      <c r="N344" s="10" t="s">
        <v>4419</v>
      </c>
      <c r="O344" s="11"/>
      <c r="P344" s="11"/>
      <c r="Q344" s="11"/>
    </row>
    <row r="345" ht="14.25" customHeight="1">
      <c r="A345" s="10" t="s">
        <v>4746</v>
      </c>
      <c r="B345" s="10" t="s">
        <v>4747</v>
      </c>
      <c r="C345" s="11"/>
      <c r="D345" s="11"/>
      <c r="E345" s="10" t="s">
        <v>4400</v>
      </c>
      <c r="F345" s="11"/>
      <c r="G345" s="10" t="s">
        <v>4407</v>
      </c>
      <c r="H345" s="11"/>
      <c r="I345" s="10" t="s">
        <v>4419</v>
      </c>
      <c r="J345" s="11"/>
      <c r="K345" s="10" t="s">
        <v>4403</v>
      </c>
      <c r="L345" s="11"/>
      <c r="M345" s="10"/>
      <c r="N345" s="10" t="s">
        <v>4419</v>
      </c>
      <c r="O345" s="11"/>
      <c r="P345" s="11"/>
      <c r="Q345" s="11"/>
    </row>
    <row r="346" ht="14.25" customHeight="1">
      <c r="A346" s="10" t="s">
        <v>4748</v>
      </c>
      <c r="B346" s="10" t="s">
        <v>4749</v>
      </c>
      <c r="C346" s="11"/>
      <c r="D346" s="11"/>
      <c r="E346" s="10" t="s">
        <v>4372</v>
      </c>
      <c r="F346" s="11"/>
      <c r="G346" s="10" t="s">
        <v>4447</v>
      </c>
      <c r="H346" s="11"/>
      <c r="I346" s="10" t="s">
        <v>4676</v>
      </c>
      <c r="J346" s="11"/>
      <c r="K346" s="10" t="s">
        <v>4720</v>
      </c>
      <c r="L346" s="11"/>
      <c r="M346" s="10"/>
      <c r="N346" s="10" t="s">
        <v>4720</v>
      </c>
      <c r="O346" s="11"/>
      <c r="P346" s="11"/>
      <c r="Q346" s="11"/>
    </row>
    <row r="347" ht="14.25" customHeight="1">
      <c r="A347" s="10" t="s">
        <v>4750</v>
      </c>
      <c r="B347" s="10" t="s">
        <v>4751</v>
      </c>
      <c r="C347" s="11"/>
      <c r="D347" s="11"/>
      <c r="E347" s="10" t="s">
        <v>4400</v>
      </c>
      <c r="F347" s="11"/>
      <c r="G347" s="10" t="s">
        <v>4407</v>
      </c>
      <c r="H347" s="11"/>
      <c r="I347" s="10" t="s">
        <v>4419</v>
      </c>
      <c r="J347" s="11"/>
      <c r="K347" s="10" t="s">
        <v>4403</v>
      </c>
      <c r="L347" s="11"/>
      <c r="M347" s="10"/>
      <c r="N347" s="10" t="s">
        <v>4419</v>
      </c>
      <c r="O347" s="11"/>
      <c r="P347" s="11"/>
      <c r="Q347" s="11"/>
    </row>
    <row r="348" ht="14.25" customHeight="1">
      <c r="A348" s="10" t="s">
        <v>4752</v>
      </c>
      <c r="B348" s="10" t="s">
        <v>4753</v>
      </c>
      <c r="C348" s="11"/>
      <c r="D348" s="11"/>
      <c r="E348" s="10" t="s">
        <v>4419</v>
      </c>
      <c r="F348" s="11"/>
      <c r="G348" s="10" t="s">
        <v>4407</v>
      </c>
      <c r="H348" s="11"/>
      <c r="I348" s="10" t="s">
        <v>4402</v>
      </c>
      <c r="J348" s="11"/>
      <c r="K348" s="10" t="s">
        <v>4403</v>
      </c>
      <c r="L348" s="11"/>
      <c r="M348" s="10"/>
      <c r="N348" s="10" t="s">
        <v>4419</v>
      </c>
      <c r="O348" s="11"/>
      <c r="P348" s="11"/>
      <c r="Q348" s="11"/>
    </row>
    <row r="349" ht="14.25" customHeight="1">
      <c r="A349" s="10" t="s">
        <v>4754</v>
      </c>
      <c r="B349" s="10" t="s">
        <v>4755</v>
      </c>
      <c r="C349" s="11"/>
      <c r="D349" s="11"/>
      <c r="E349" s="10" t="s">
        <v>4400</v>
      </c>
      <c r="F349" s="11"/>
      <c r="G349" s="10" t="s">
        <v>4419</v>
      </c>
      <c r="H349" s="11"/>
      <c r="I349" s="10" t="s">
        <v>4402</v>
      </c>
      <c r="J349" s="11"/>
      <c r="K349" s="10" t="s">
        <v>4403</v>
      </c>
      <c r="L349" s="11"/>
      <c r="M349" s="10"/>
      <c r="N349" s="10" t="s">
        <v>4419</v>
      </c>
      <c r="O349" s="11"/>
      <c r="P349" s="11"/>
      <c r="Q349" s="11"/>
    </row>
    <row r="350" ht="14.25" customHeight="1">
      <c r="A350" s="10" t="s">
        <v>4756</v>
      </c>
      <c r="B350" s="10" t="s">
        <v>4757</v>
      </c>
      <c r="C350" s="11"/>
      <c r="D350" s="11"/>
      <c r="E350" s="10" t="s">
        <v>4400</v>
      </c>
      <c r="F350" s="11"/>
      <c r="G350" s="10" t="s">
        <v>4407</v>
      </c>
      <c r="H350" s="11"/>
      <c r="I350" s="10" t="s">
        <v>4419</v>
      </c>
      <c r="J350" s="11"/>
      <c r="K350" s="10" t="s">
        <v>4403</v>
      </c>
      <c r="L350" s="11"/>
      <c r="M350" s="10"/>
      <c r="N350" s="10" t="s">
        <v>4419</v>
      </c>
      <c r="O350" s="11"/>
      <c r="P350" s="11"/>
      <c r="Q350" s="11"/>
    </row>
    <row r="351" ht="14.25" customHeight="1">
      <c r="A351" s="10" t="s">
        <v>4758</v>
      </c>
      <c r="B351" s="10" t="s">
        <v>4759</v>
      </c>
      <c r="C351" s="11"/>
      <c r="D351" s="11"/>
      <c r="E351" s="10" t="s">
        <v>4400</v>
      </c>
      <c r="F351" s="11"/>
      <c r="G351" s="10" t="s">
        <v>4407</v>
      </c>
      <c r="H351" s="11"/>
      <c r="I351" s="10" t="s">
        <v>4402</v>
      </c>
      <c r="J351" s="11"/>
      <c r="K351" s="10" t="s">
        <v>4419</v>
      </c>
      <c r="L351" s="11"/>
      <c r="M351" s="10"/>
      <c r="N351" s="10" t="s">
        <v>4419</v>
      </c>
      <c r="O351" s="11"/>
      <c r="P351" s="11"/>
      <c r="Q351" s="11"/>
    </row>
    <row r="352" ht="14.25" customHeight="1">
      <c r="A352" s="10" t="s">
        <v>4760</v>
      </c>
      <c r="B352" s="10" t="s">
        <v>4761</v>
      </c>
      <c r="C352" s="11"/>
      <c r="D352" s="11"/>
      <c r="E352" s="10" t="s">
        <v>4400</v>
      </c>
      <c r="F352" s="11"/>
      <c r="G352" s="10" t="s">
        <v>4407</v>
      </c>
      <c r="H352" s="11"/>
      <c r="I352" s="10" t="s">
        <v>4419</v>
      </c>
      <c r="J352" s="11"/>
      <c r="K352" s="10" t="s">
        <v>4403</v>
      </c>
      <c r="L352" s="11"/>
      <c r="M352" s="10"/>
      <c r="N352" s="10" t="s">
        <v>4419</v>
      </c>
      <c r="O352" s="11"/>
      <c r="P352" s="11"/>
      <c r="Q352" s="11"/>
    </row>
    <row r="353" ht="14.25" customHeight="1">
      <c r="A353" s="10" t="s">
        <v>4762</v>
      </c>
      <c r="B353" s="10" t="s">
        <v>4763</v>
      </c>
      <c r="C353" s="11"/>
      <c r="D353" s="11"/>
      <c r="E353" s="10" t="s">
        <v>4400</v>
      </c>
      <c r="F353" s="11"/>
      <c r="G353" s="10" t="s">
        <v>4407</v>
      </c>
      <c r="H353" s="11"/>
      <c r="I353" s="10" t="s">
        <v>4402</v>
      </c>
      <c r="J353" s="11"/>
      <c r="K353" s="10" t="s">
        <v>4419</v>
      </c>
      <c r="L353" s="11"/>
      <c r="M353" s="10"/>
      <c r="N353" s="10" t="s">
        <v>4419</v>
      </c>
      <c r="O353" s="11"/>
      <c r="P353" s="11"/>
      <c r="Q353" s="11"/>
    </row>
    <row r="354" ht="14.25" customHeight="1">
      <c r="A354" s="10" t="s">
        <v>4764</v>
      </c>
      <c r="B354" s="10" t="s">
        <v>4765</v>
      </c>
      <c r="C354" s="11"/>
      <c r="D354" s="11"/>
      <c r="E354" s="10" t="s">
        <v>4400</v>
      </c>
      <c r="F354" s="11"/>
      <c r="G354" s="10" t="s">
        <v>4407</v>
      </c>
      <c r="H354" s="11"/>
      <c r="I354" s="10" t="s">
        <v>4419</v>
      </c>
      <c r="J354" s="11"/>
      <c r="K354" s="10" t="s">
        <v>4403</v>
      </c>
      <c r="L354" s="11"/>
      <c r="M354" s="10"/>
      <c r="N354" s="10" t="s">
        <v>4419</v>
      </c>
      <c r="O354" s="11"/>
      <c r="P354" s="11"/>
      <c r="Q354" s="11"/>
    </row>
    <row r="355" ht="14.25" customHeight="1">
      <c r="A355" s="10" t="s">
        <v>4766</v>
      </c>
      <c r="B355" s="10" t="s">
        <v>4767</v>
      </c>
      <c r="C355" s="11"/>
      <c r="D355" s="11"/>
      <c r="E355" s="10" t="s">
        <v>4400</v>
      </c>
      <c r="F355" s="11"/>
      <c r="G355" s="10" t="s">
        <v>4407</v>
      </c>
      <c r="H355" s="11"/>
      <c r="I355" s="10" t="s">
        <v>4402</v>
      </c>
      <c r="J355" s="11"/>
      <c r="K355" s="10" t="s">
        <v>4419</v>
      </c>
      <c r="L355" s="11"/>
      <c r="M355" s="10"/>
      <c r="N355" s="10" t="s">
        <v>4419</v>
      </c>
      <c r="O355" s="11"/>
      <c r="P355" s="11"/>
      <c r="Q355" s="11"/>
    </row>
    <row r="356" ht="14.25" customHeight="1">
      <c r="A356" s="10" t="s">
        <v>4768</v>
      </c>
      <c r="B356" s="10" t="s">
        <v>4769</v>
      </c>
      <c r="C356" s="11"/>
      <c r="D356" s="11"/>
      <c r="E356" s="10" t="s">
        <v>4400</v>
      </c>
      <c r="F356" s="11"/>
      <c r="G356" s="10" t="s">
        <v>4407</v>
      </c>
      <c r="H356" s="11"/>
      <c r="I356" s="10" t="s">
        <v>4402</v>
      </c>
      <c r="J356" s="11"/>
      <c r="K356" s="10" t="s">
        <v>4419</v>
      </c>
      <c r="L356" s="11"/>
      <c r="M356" s="10"/>
      <c r="N356" s="10" t="s">
        <v>4419</v>
      </c>
      <c r="O356" s="11"/>
      <c r="P356" s="11"/>
      <c r="Q356" s="11"/>
    </row>
    <row r="357" ht="14.25" customHeight="1">
      <c r="A357" s="10" t="s">
        <v>4770</v>
      </c>
      <c r="B357" s="10" t="s">
        <v>4771</v>
      </c>
      <c r="C357" s="11"/>
      <c r="D357" s="11"/>
      <c r="E357" s="10" t="s">
        <v>4400</v>
      </c>
      <c r="F357" s="11"/>
      <c r="G357" s="10" t="s">
        <v>4407</v>
      </c>
      <c r="H357" s="11"/>
      <c r="I357" s="10" t="s">
        <v>4402</v>
      </c>
      <c r="J357" s="11"/>
      <c r="K357" s="10" t="s">
        <v>4419</v>
      </c>
      <c r="L357" s="11"/>
      <c r="M357" s="10"/>
      <c r="N357" s="10" t="s">
        <v>4419</v>
      </c>
      <c r="O357" s="11"/>
      <c r="P357" s="11"/>
      <c r="Q357" s="11"/>
    </row>
    <row r="358" ht="14.25" customHeight="1">
      <c r="A358" s="10" t="s">
        <v>4772</v>
      </c>
      <c r="B358" s="10" t="s">
        <v>4773</v>
      </c>
      <c r="C358" s="11"/>
      <c r="D358" s="11"/>
      <c r="E358" s="10" t="s">
        <v>4400</v>
      </c>
      <c r="F358" s="11"/>
      <c r="G358" s="10" t="s">
        <v>4407</v>
      </c>
      <c r="H358" s="11"/>
      <c r="I358" s="10" t="s">
        <v>4419</v>
      </c>
      <c r="J358" s="11"/>
      <c r="K358" s="10" t="s">
        <v>4403</v>
      </c>
      <c r="L358" s="11"/>
      <c r="M358" s="10"/>
      <c r="N358" s="10" t="s">
        <v>4419</v>
      </c>
      <c r="O358" s="11"/>
      <c r="P358" s="11"/>
      <c r="Q358" s="11"/>
    </row>
    <row r="359" ht="14.25" customHeight="1">
      <c r="A359" s="10" t="s">
        <v>4774</v>
      </c>
      <c r="B359" s="10" t="s">
        <v>4775</v>
      </c>
      <c r="C359" s="11"/>
      <c r="D359" s="11"/>
      <c r="E359" s="10" t="s">
        <v>4419</v>
      </c>
      <c r="F359" s="11"/>
      <c r="G359" s="10" t="s">
        <v>4407</v>
      </c>
      <c r="H359" s="11"/>
      <c r="I359" s="10" t="s">
        <v>4402</v>
      </c>
      <c r="J359" s="11"/>
      <c r="K359" s="10" t="s">
        <v>4403</v>
      </c>
      <c r="L359" s="11"/>
      <c r="M359" s="10"/>
      <c r="N359" s="10" t="s">
        <v>4419</v>
      </c>
      <c r="O359" s="11"/>
      <c r="P359" s="11"/>
      <c r="Q359" s="11"/>
    </row>
    <row r="360" ht="14.25" customHeight="1">
      <c r="A360" s="10" t="s">
        <v>4776</v>
      </c>
      <c r="B360" s="10" t="s">
        <v>4777</v>
      </c>
      <c r="C360" s="11"/>
      <c r="D360" s="11"/>
      <c r="E360" s="10" t="s">
        <v>4400</v>
      </c>
      <c r="F360" s="11"/>
      <c r="G360" s="10" t="s">
        <v>4407</v>
      </c>
      <c r="H360" s="11"/>
      <c r="I360" s="10" t="s">
        <v>4419</v>
      </c>
      <c r="J360" s="11"/>
      <c r="K360" s="10" t="s">
        <v>4403</v>
      </c>
      <c r="L360" s="11"/>
      <c r="M360" s="10"/>
      <c r="N360" s="10" t="s">
        <v>4419</v>
      </c>
      <c r="O360" s="11"/>
      <c r="P360" s="11"/>
      <c r="Q360" s="11"/>
    </row>
    <row r="361" ht="14.25" customHeight="1">
      <c r="A361" s="10" t="s">
        <v>4778</v>
      </c>
      <c r="B361" s="10" t="s">
        <v>4779</v>
      </c>
      <c r="C361" s="11"/>
      <c r="D361" s="11"/>
      <c r="E361" s="10" t="s">
        <v>4400</v>
      </c>
      <c r="F361" s="11"/>
      <c r="G361" s="10" t="s">
        <v>4407</v>
      </c>
      <c r="H361" s="11"/>
      <c r="I361" s="10" t="s">
        <v>4419</v>
      </c>
      <c r="J361" s="11"/>
      <c r="K361" s="10" t="s">
        <v>4403</v>
      </c>
      <c r="L361" s="11"/>
      <c r="M361" s="10"/>
      <c r="N361" s="10" t="s">
        <v>4419</v>
      </c>
      <c r="O361" s="11"/>
      <c r="P361" s="11"/>
      <c r="Q361" s="11"/>
    </row>
    <row r="362" ht="14.25" customHeight="1">
      <c r="A362" s="10" t="s">
        <v>4780</v>
      </c>
      <c r="B362" s="10" t="s">
        <v>4781</v>
      </c>
      <c r="C362" s="11"/>
      <c r="D362" s="11"/>
      <c r="E362" s="10" t="s">
        <v>4720</v>
      </c>
      <c r="F362" s="11"/>
      <c r="G362" s="10" t="s">
        <v>4676</v>
      </c>
      <c r="H362" s="11"/>
      <c r="I362" s="10" t="s">
        <v>4447</v>
      </c>
      <c r="J362" s="11"/>
      <c r="K362" s="10" t="s">
        <v>4719</v>
      </c>
      <c r="L362" s="11"/>
      <c r="M362" s="10"/>
      <c r="N362" s="10" t="s">
        <v>4720</v>
      </c>
      <c r="O362" s="11"/>
      <c r="P362" s="11"/>
      <c r="Q362" s="11"/>
    </row>
    <row r="363" ht="14.25" customHeight="1">
      <c r="A363" s="10" t="s">
        <v>4782</v>
      </c>
      <c r="B363" s="10" t="s">
        <v>4783</v>
      </c>
      <c r="C363" s="11"/>
      <c r="D363" s="11"/>
      <c r="E363" s="10" t="s">
        <v>4400</v>
      </c>
      <c r="F363" s="11"/>
      <c r="G363" s="10" t="s">
        <v>4407</v>
      </c>
      <c r="H363" s="11"/>
      <c r="I363" s="10" t="s">
        <v>4402</v>
      </c>
      <c r="J363" s="11"/>
      <c r="K363" s="10" t="s">
        <v>4419</v>
      </c>
      <c r="L363" s="11"/>
      <c r="M363" s="10"/>
      <c r="N363" s="10" t="s">
        <v>4419</v>
      </c>
      <c r="O363" s="11"/>
      <c r="P363" s="11"/>
      <c r="Q363" s="11"/>
    </row>
    <row r="364" ht="14.25" customHeight="1">
      <c r="A364" s="10" t="s">
        <v>4784</v>
      </c>
      <c r="B364" s="10" t="s">
        <v>4785</v>
      </c>
      <c r="C364" s="11"/>
      <c r="D364" s="11"/>
      <c r="E364" s="10" t="s">
        <v>4419</v>
      </c>
      <c r="F364" s="11"/>
      <c r="G364" s="10" t="s">
        <v>4407</v>
      </c>
      <c r="H364" s="11"/>
      <c r="I364" s="10" t="s">
        <v>4402</v>
      </c>
      <c r="J364" s="11"/>
      <c r="K364" s="10" t="s">
        <v>4403</v>
      </c>
      <c r="L364" s="11"/>
      <c r="M364" s="10"/>
      <c r="N364" s="10" t="s">
        <v>4419</v>
      </c>
      <c r="O364" s="11"/>
      <c r="P364" s="11"/>
      <c r="Q364" s="11"/>
    </row>
    <row r="365" ht="14.25" customHeight="1">
      <c r="A365" s="10" t="s">
        <v>4786</v>
      </c>
      <c r="B365" s="10" t="s">
        <v>4787</v>
      </c>
      <c r="C365" s="11"/>
      <c r="D365" s="11"/>
      <c r="E365" s="10" t="s">
        <v>4400</v>
      </c>
      <c r="F365" s="11"/>
      <c r="G365" s="10" t="s">
        <v>4407</v>
      </c>
      <c r="H365" s="11"/>
      <c r="I365" s="10" t="s">
        <v>4419</v>
      </c>
      <c r="J365" s="11"/>
      <c r="K365" s="10" t="s">
        <v>4403</v>
      </c>
      <c r="L365" s="11"/>
      <c r="M365" s="10"/>
      <c r="N365" s="10" t="s">
        <v>4419</v>
      </c>
      <c r="O365" s="11"/>
      <c r="P365" s="11"/>
      <c r="Q365" s="11"/>
    </row>
    <row r="366" ht="14.25" customHeight="1">
      <c r="A366" s="10" t="s">
        <v>4788</v>
      </c>
      <c r="B366" s="10" t="s">
        <v>4789</v>
      </c>
      <c r="C366" s="11"/>
      <c r="D366" s="11"/>
      <c r="E366" s="10" t="s">
        <v>4400</v>
      </c>
      <c r="F366" s="11"/>
      <c r="G366" s="10" t="s">
        <v>4407</v>
      </c>
      <c r="H366" s="11"/>
      <c r="I366" s="10" t="s">
        <v>4419</v>
      </c>
      <c r="J366" s="11"/>
      <c r="K366" s="10" t="s">
        <v>4403</v>
      </c>
      <c r="L366" s="11"/>
      <c r="M366" s="10"/>
      <c r="N366" s="10" t="s">
        <v>4419</v>
      </c>
      <c r="O366" s="11"/>
      <c r="P366" s="11"/>
      <c r="Q366" s="11"/>
    </row>
    <row r="367" ht="14.25" customHeight="1">
      <c r="A367" s="10" t="s">
        <v>4790</v>
      </c>
      <c r="B367" s="10" t="s">
        <v>4791</v>
      </c>
      <c r="C367" s="11"/>
      <c r="D367" s="11"/>
      <c r="E367" s="10" t="s">
        <v>4406</v>
      </c>
      <c r="F367" s="11"/>
      <c r="G367" s="10" t="s">
        <v>4400</v>
      </c>
      <c r="H367" s="11"/>
      <c r="I367" s="10" t="s">
        <v>4402</v>
      </c>
      <c r="J367" s="11"/>
      <c r="K367" s="10" t="s">
        <v>4401</v>
      </c>
      <c r="L367" s="11"/>
      <c r="M367" s="10"/>
      <c r="N367" s="10" t="s">
        <v>4406</v>
      </c>
      <c r="O367" s="11"/>
      <c r="P367" s="11"/>
      <c r="Q367" s="11"/>
    </row>
    <row r="368" ht="14.25" customHeight="1">
      <c r="A368" s="10" t="s">
        <v>4792</v>
      </c>
      <c r="B368" s="10" t="s">
        <v>4793</v>
      </c>
      <c r="C368" s="11"/>
      <c r="D368" s="11"/>
      <c r="E368" s="10" t="s">
        <v>4720</v>
      </c>
      <c r="F368" s="11"/>
      <c r="G368" s="10" t="s">
        <v>4676</v>
      </c>
      <c r="H368" s="11"/>
      <c r="I368" s="10" t="s">
        <v>4447</v>
      </c>
      <c r="J368" s="11"/>
      <c r="K368" s="10" t="s">
        <v>4719</v>
      </c>
      <c r="L368" s="11"/>
      <c r="M368" s="10"/>
      <c r="N368" s="10" t="s">
        <v>4720</v>
      </c>
      <c r="O368" s="11"/>
      <c r="P368" s="11"/>
      <c r="Q368" s="11"/>
    </row>
    <row r="369" ht="14.25" customHeight="1">
      <c r="A369" s="10" t="s">
        <v>4794</v>
      </c>
      <c r="B369" s="10" t="s">
        <v>4795</v>
      </c>
      <c r="C369" s="11"/>
      <c r="D369" s="11"/>
      <c r="E369" s="10" t="s">
        <v>4400</v>
      </c>
      <c r="F369" s="11"/>
      <c r="G369" s="10" t="s">
        <v>4407</v>
      </c>
      <c r="H369" s="11"/>
      <c r="I369" s="10" t="s">
        <v>4402</v>
      </c>
      <c r="J369" s="11"/>
      <c r="K369" s="10" t="s">
        <v>4419</v>
      </c>
      <c r="L369" s="11"/>
      <c r="M369" s="10"/>
      <c r="N369" s="10" t="s">
        <v>4419</v>
      </c>
      <c r="O369" s="11"/>
      <c r="P369" s="11"/>
      <c r="Q369" s="11"/>
    </row>
    <row r="370" ht="14.25" customHeight="1">
      <c r="A370" s="10" t="s">
        <v>4796</v>
      </c>
      <c r="B370" s="10" t="s">
        <v>4797</v>
      </c>
      <c r="C370" s="11"/>
      <c r="D370" s="11"/>
      <c r="E370" s="10" t="s">
        <v>4400</v>
      </c>
      <c r="F370" s="11"/>
      <c r="G370" s="10" t="s">
        <v>4419</v>
      </c>
      <c r="H370" s="11"/>
      <c r="I370" s="10" t="s">
        <v>4402</v>
      </c>
      <c r="J370" s="11"/>
      <c r="K370" s="10" t="s">
        <v>4403</v>
      </c>
      <c r="L370" s="11"/>
      <c r="M370" s="10"/>
      <c r="N370" s="10" t="s">
        <v>4419</v>
      </c>
      <c r="O370" s="11"/>
      <c r="P370" s="11"/>
      <c r="Q370" s="11"/>
    </row>
    <row r="371" ht="14.25" customHeight="1">
      <c r="A371" s="10" t="s">
        <v>4798</v>
      </c>
      <c r="B371" s="10" t="s">
        <v>4799</v>
      </c>
      <c r="C371" s="11"/>
      <c r="D371" s="11"/>
      <c r="E371" s="10" t="s">
        <v>4400</v>
      </c>
      <c r="F371" s="11"/>
      <c r="G371" s="10" t="s">
        <v>4407</v>
      </c>
      <c r="H371" s="11"/>
      <c r="I371" s="10" t="s">
        <v>4419</v>
      </c>
      <c r="J371" s="11"/>
      <c r="K371" s="10" t="s">
        <v>4403</v>
      </c>
      <c r="L371" s="11"/>
      <c r="M371" s="10"/>
      <c r="N371" s="10" t="s">
        <v>4419</v>
      </c>
      <c r="O371" s="11"/>
      <c r="P371" s="11"/>
      <c r="Q371" s="11"/>
    </row>
    <row r="372" ht="14.25" customHeight="1">
      <c r="A372" s="10" t="s">
        <v>4800</v>
      </c>
      <c r="B372" s="10" t="s">
        <v>4801</v>
      </c>
      <c r="C372" s="11"/>
      <c r="D372" s="11"/>
      <c r="E372" s="10" t="s">
        <v>4419</v>
      </c>
      <c r="F372" s="11"/>
      <c r="G372" s="10" t="s">
        <v>4407</v>
      </c>
      <c r="H372" s="11"/>
      <c r="I372" s="10" t="s">
        <v>4402</v>
      </c>
      <c r="J372" s="11"/>
      <c r="K372" s="10" t="s">
        <v>4403</v>
      </c>
      <c r="L372" s="11"/>
      <c r="M372" s="10"/>
      <c r="N372" s="10" t="s">
        <v>4419</v>
      </c>
      <c r="O372" s="11"/>
      <c r="P372" s="11"/>
      <c r="Q372" s="11"/>
    </row>
    <row r="373" ht="14.25" customHeight="1">
      <c r="A373" s="10" t="s">
        <v>4802</v>
      </c>
      <c r="B373" s="10" t="s">
        <v>4803</v>
      </c>
      <c r="C373" s="11"/>
      <c r="D373" s="11"/>
      <c r="E373" s="10" t="s">
        <v>4400</v>
      </c>
      <c r="F373" s="11"/>
      <c r="G373" s="10" t="s">
        <v>4419</v>
      </c>
      <c r="H373" s="11"/>
      <c r="I373" s="10" t="s">
        <v>4402</v>
      </c>
      <c r="J373" s="11"/>
      <c r="K373" s="10" t="s">
        <v>4403</v>
      </c>
      <c r="L373" s="11"/>
      <c r="M373" s="10"/>
      <c r="N373" s="10" t="s">
        <v>4419</v>
      </c>
      <c r="O373" s="11"/>
      <c r="P373" s="11"/>
      <c r="Q373" s="11"/>
    </row>
    <row r="374" ht="14.25" customHeight="1">
      <c r="A374" s="10" t="s">
        <v>4804</v>
      </c>
      <c r="B374" s="10" t="s">
        <v>4805</v>
      </c>
      <c r="C374" s="11"/>
      <c r="D374" s="11"/>
      <c r="E374" s="10" t="s">
        <v>4419</v>
      </c>
      <c r="F374" s="11"/>
      <c r="G374" s="10" t="s">
        <v>4407</v>
      </c>
      <c r="H374" s="11"/>
      <c r="I374" s="10" t="s">
        <v>4402</v>
      </c>
      <c r="J374" s="11"/>
      <c r="K374" s="10" t="s">
        <v>4403</v>
      </c>
      <c r="L374" s="11"/>
      <c r="M374" s="10"/>
      <c r="N374" s="10" t="s">
        <v>4419</v>
      </c>
      <c r="O374" s="11"/>
      <c r="P374" s="11"/>
      <c r="Q374" s="11"/>
    </row>
    <row r="375" ht="14.25" customHeight="1">
      <c r="A375" s="10" t="s">
        <v>4806</v>
      </c>
      <c r="B375" s="10" t="s">
        <v>4807</v>
      </c>
      <c r="C375" s="11"/>
      <c r="D375" s="11"/>
      <c r="E375" s="10" t="s">
        <v>4419</v>
      </c>
      <c r="F375" s="11"/>
      <c r="G375" s="10" t="s">
        <v>4407</v>
      </c>
      <c r="H375" s="11"/>
      <c r="I375" s="10" t="s">
        <v>4402</v>
      </c>
      <c r="J375" s="11"/>
      <c r="K375" s="10" t="s">
        <v>4403</v>
      </c>
      <c r="L375" s="11"/>
      <c r="M375" s="10"/>
      <c r="N375" s="10" t="s">
        <v>4419</v>
      </c>
      <c r="O375" s="11"/>
      <c r="P375" s="11"/>
      <c r="Q375" s="11"/>
    </row>
    <row r="376" ht="14.25" customHeight="1">
      <c r="A376" s="10" t="s">
        <v>4808</v>
      </c>
      <c r="B376" s="10" t="s">
        <v>4809</v>
      </c>
      <c r="C376" s="11"/>
      <c r="D376" s="11"/>
      <c r="E376" s="10" t="s">
        <v>4372</v>
      </c>
      <c r="F376" s="11"/>
      <c r="G376" s="10" t="s">
        <v>4676</v>
      </c>
      <c r="H376" s="11"/>
      <c r="I376" s="10" t="s">
        <v>4447</v>
      </c>
      <c r="J376" s="11"/>
      <c r="K376" s="10" t="s">
        <v>4720</v>
      </c>
      <c r="L376" s="11"/>
      <c r="M376" s="10"/>
      <c r="N376" s="10" t="s">
        <v>4720</v>
      </c>
      <c r="O376" s="11"/>
      <c r="P376" s="11"/>
      <c r="Q376" s="11"/>
    </row>
    <row r="377" ht="14.25" customHeight="1">
      <c r="A377" s="10" t="s">
        <v>4810</v>
      </c>
      <c r="B377" s="10" t="s">
        <v>4811</v>
      </c>
      <c r="C377" s="11"/>
      <c r="D377" s="11"/>
      <c r="E377" s="10" t="s">
        <v>4419</v>
      </c>
      <c r="F377" s="11"/>
      <c r="G377" s="10" t="s">
        <v>4407</v>
      </c>
      <c r="H377" s="11"/>
      <c r="I377" s="10" t="s">
        <v>4402</v>
      </c>
      <c r="J377" s="11"/>
      <c r="K377" s="10" t="s">
        <v>4403</v>
      </c>
      <c r="L377" s="11"/>
      <c r="M377" s="10"/>
      <c r="N377" s="10" t="s">
        <v>4419</v>
      </c>
      <c r="O377" s="11"/>
      <c r="P377" s="11"/>
      <c r="Q377" s="11"/>
    </row>
    <row r="378" ht="14.25" customHeight="1">
      <c r="A378" s="10" t="s">
        <v>4812</v>
      </c>
      <c r="B378" s="10" t="s">
        <v>4813</v>
      </c>
      <c r="C378" s="11"/>
      <c r="D378" s="11"/>
      <c r="E378" s="10" t="s">
        <v>4400</v>
      </c>
      <c r="F378" s="11"/>
      <c r="G378" s="10" t="s">
        <v>4419</v>
      </c>
      <c r="H378" s="11"/>
      <c r="I378" s="10" t="s">
        <v>4402</v>
      </c>
      <c r="J378" s="11"/>
      <c r="K378" s="10" t="s">
        <v>4403</v>
      </c>
      <c r="L378" s="11"/>
      <c r="M378" s="10"/>
      <c r="N378" s="10" t="s">
        <v>4419</v>
      </c>
      <c r="O378" s="11"/>
      <c r="P378" s="11"/>
      <c r="Q378" s="11"/>
    </row>
    <row r="379" ht="14.25" customHeight="1">
      <c r="A379" s="10" t="s">
        <v>4814</v>
      </c>
      <c r="B379" s="10" t="s">
        <v>4815</v>
      </c>
      <c r="C379" s="11"/>
      <c r="D379" s="11"/>
      <c r="E379" s="10" t="s">
        <v>4400</v>
      </c>
      <c r="F379" s="11"/>
      <c r="G379" s="10" t="s">
        <v>4407</v>
      </c>
      <c r="H379" s="11"/>
      <c r="I379" s="10" t="s">
        <v>4419</v>
      </c>
      <c r="J379" s="11"/>
      <c r="K379" s="10" t="s">
        <v>4403</v>
      </c>
      <c r="L379" s="11"/>
      <c r="M379" s="10"/>
      <c r="N379" s="10" t="s">
        <v>4419</v>
      </c>
      <c r="O379" s="11"/>
      <c r="P379" s="11"/>
      <c r="Q379" s="11"/>
    </row>
    <row r="380" ht="14.25" customHeight="1">
      <c r="A380" s="10" t="s">
        <v>4816</v>
      </c>
      <c r="B380" s="10" t="s">
        <v>4817</v>
      </c>
      <c r="C380" s="11"/>
      <c r="D380" s="11"/>
      <c r="E380" s="10" t="s">
        <v>4400</v>
      </c>
      <c r="F380" s="11"/>
      <c r="G380" s="10" t="s">
        <v>4419</v>
      </c>
      <c r="H380" s="11"/>
      <c r="I380" s="10" t="s">
        <v>4402</v>
      </c>
      <c r="J380" s="11"/>
      <c r="K380" s="10" t="s">
        <v>4403</v>
      </c>
      <c r="L380" s="11"/>
      <c r="M380" s="10"/>
      <c r="N380" s="10" t="s">
        <v>4419</v>
      </c>
      <c r="O380" s="11"/>
      <c r="P380" s="11"/>
      <c r="Q380" s="11"/>
    </row>
    <row r="381" ht="14.25" customHeight="1">
      <c r="A381" s="10" t="s">
        <v>4818</v>
      </c>
      <c r="B381" s="10" t="s">
        <v>4819</v>
      </c>
      <c r="C381" s="11"/>
      <c r="D381" s="11"/>
      <c r="E381" s="10" t="s">
        <v>4419</v>
      </c>
      <c r="F381" s="11"/>
      <c r="G381" s="10" t="s">
        <v>4407</v>
      </c>
      <c r="H381" s="11"/>
      <c r="I381" s="10" t="s">
        <v>4402</v>
      </c>
      <c r="J381" s="11"/>
      <c r="K381" s="10" t="s">
        <v>4403</v>
      </c>
      <c r="L381" s="11"/>
      <c r="M381" s="10"/>
      <c r="N381" s="10" t="s">
        <v>4419</v>
      </c>
      <c r="O381" s="11"/>
      <c r="P381" s="11"/>
      <c r="Q381" s="11"/>
    </row>
    <row r="382" ht="14.25" customHeight="1">
      <c r="A382" s="10" t="s">
        <v>4820</v>
      </c>
      <c r="B382" s="10" t="s">
        <v>4821</v>
      </c>
      <c r="C382" s="11"/>
      <c r="D382" s="11"/>
      <c r="E382" s="10" t="s">
        <v>4400</v>
      </c>
      <c r="F382" s="11"/>
      <c r="G382" s="10" t="s">
        <v>4419</v>
      </c>
      <c r="H382" s="11"/>
      <c r="I382" s="10" t="s">
        <v>4402</v>
      </c>
      <c r="J382" s="11"/>
      <c r="K382" s="10" t="s">
        <v>4403</v>
      </c>
      <c r="L382" s="11"/>
      <c r="M382" s="10"/>
      <c r="N382" s="10" t="s">
        <v>4419</v>
      </c>
      <c r="O382" s="11"/>
      <c r="P382" s="11"/>
      <c r="Q382" s="11"/>
    </row>
    <row r="383" ht="14.25" customHeight="1">
      <c r="A383" s="10" t="s">
        <v>4822</v>
      </c>
      <c r="B383" s="10" t="s">
        <v>4823</v>
      </c>
      <c r="C383" s="11"/>
      <c r="D383" s="11"/>
      <c r="E383" s="10" t="s">
        <v>4400</v>
      </c>
      <c r="F383" s="11"/>
      <c r="G383" s="10" t="s">
        <v>4419</v>
      </c>
      <c r="H383" s="11"/>
      <c r="I383" s="10" t="s">
        <v>4402</v>
      </c>
      <c r="J383" s="11"/>
      <c r="K383" s="10" t="s">
        <v>4403</v>
      </c>
      <c r="L383" s="11"/>
      <c r="M383" s="10"/>
      <c r="N383" s="10" t="s">
        <v>4419</v>
      </c>
      <c r="O383" s="11"/>
      <c r="P383" s="11"/>
      <c r="Q383" s="11"/>
    </row>
    <row r="384" ht="14.25" customHeight="1">
      <c r="A384" s="10" t="s">
        <v>4824</v>
      </c>
      <c r="B384" s="10" t="s">
        <v>4825</v>
      </c>
      <c r="C384" s="11"/>
      <c r="D384" s="11"/>
      <c r="E384" s="10" t="s">
        <v>4400</v>
      </c>
      <c r="F384" s="11"/>
      <c r="G384" s="10" t="s">
        <v>4407</v>
      </c>
      <c r="H384" s="11"/>
      <c r="I384" s="10" t="s">
        <v>4402</v>
      </c>
      <c r="J384" s="11"/>
      <c r="K384" s="10" t="s">
        <v>4419</v>
      </c>
      <c r="L384" s="11"/>
      <c r="M384" s="10"/>
      <c r="N384" s="10" t="s">
        <v>4419</v>
      </c>
      <c r="O384" s="11"/>
      <c r="P384" s="11"/>
      <c r="Q384" s="11"/>
    </row>
    <row r="385" ht="14.25" customHeight="1">
      <c r="A385" s="10" t="s">
        <v>4826</v>
      </c>
      <c r="B385" s="10" t="s">
        <v>4827</v>
      </c>
      <c r="C385" s="11"/>
      <c r="D385" s="11"/>
      <c r="E385" s="10" t="s">
        <v>4419</v>
      </c>
      <c r="F385" s="11"/>
      <c r="G385" s="10" t="s">
        <v>4407</v>
      </c>
      <c r="H385" s="11"/>
      <c r="I385" s="10" t="s">
        <v>4402</v>
      </c>
      <c r="J385" s="11"/>
      <c r="K385" s="10" t="s">
        <v>4403</v>
      </c>
      <c r="L385" s="11"/>
      <c r="M385" s="10"/>
      <c r="N385" s="10" t="s">
        <v>4419</v>
      </c>
      <c r="O385" s="11"/>
      <c r="P385" s="11"/>
      <c r="Q385" s="11"/>
    </row>
    <row r="386" ht="14.25" customHeight="1">
      <c r="A386" s="10" t="s">
        <v>4828</v>
      </c>
      <c r="B386" s="10" t="s">
        <v>4829</v>
      </c>
      <c r="C386" s="11"/>
      <c r="D386" s="11"/>
      <c r="E386" s="10" t="s">
        <v>4400</v>
      </c>
      <c r="F386" s="11"/>
      <c r="G386" s="10" t="s">
        <v>4407</v>
      </c>
      <c r="H386" s="11"/>
      <c r="I386" s="10" t="s">
        <v>4402</v>
      </c>
      <c r="J386" s="11"/>
      <c r="K386" s="10" t="s">
        <v>4419</v>
      </c>
      <c r="L386" s="11"/>
      <c r="M386" s="10"/>
      <c r="N386" s="10" t="s">
        <v>4419</v>
      </c>
      <c r="O386" s="11"/>
      <c r="P386" s="11"/>
      <c r="Q386" s="11"/>
    </row>
    <row r="387" ht="14.25" customHeight="1">
      <c r="A387" s="10" t="s">
        <v>4830</v>
      </c>
      <c r="B387" s="10" t="s">
        <v>4831</v>
      </c>
      <c r="C387" s="11"/>
      <c r="D387" s="11"/>
      <c r="E387" s="10" t="s">
        <v>4400</v>
      </c>
      <c r="F387" s="11"/>
      <c r="G387" s="10" t="s">
        <v>4407</v>
      </c>
      <c r="H387" s="11"/>
      <c r="I387" s="10" t="s">
        <v>4402</v>
      </c>
      <c r="J387" s="11"/>
      <c r="K387" s="10" t="s">
        <v>4419</v>
      </c>
      <c r="L387" s="11"/>
      <c r="M387" s="10"/>
      <c r="N387" s="10" t="s">
        <v>4419</v>
      </c>
      <c r="O387" s="11"/>
      <c r="P387" s="11"/>
      <c r="Q387" s="11"/>
    </row>
    <row r="388" ht="14.25" customHeight="1">
      <c r="A388" s="10" t="s">
        <v>4832</v>
      </c>
      <c r="B388" s="10" t="s">
        <v>4833</v>
      </c>
      <c r="C388" s="11"/>
      <c r="D388" s="11"/>
      <c r="E388" s="10" t="s">
        <v>4419</v>
      </c>
      <c r="F388" s="11"/>
      <c r="G388" s="10" t="s">
        <v>4407</v>
      </c>
      <c r="H388" s="11"/>
      <c r="I388" s="10" t="s">
        <v>4402</v>
      </c>
      <c r="J388" s="11"/>
      <c r="K388" s="10" t="s">
        <v>4403</v>
      </c>
      <c r="L388" s="11"/>
      <c r="M388" s="10"/>
      <c r="N388" s="10" t="s">
        <v>4419</v>
      </c>
      <c r="O388" s="11"/>
      <c r="P388" s="11"/>
      <c r="Q388" s="11"/>
    </row>
    <row r="389" ht="14.25" customHeight="1">
      <c r="A389" s="10" t="s">
        <v>4834</v>
      </c>
      <c r="B389" s="10" t="s">
        <v>4835</v>
      </c>
      <c r="C389" s="11"/>
      <c r="D389" s="11"/>
      <c r="E389" s="10" t="s">
        <v>4400</v>
      </c>
      <c r="F389" s="11"/>
      <c r="G389" s="10" t="s">
        <v>4407</v>
      </c>
      <c r="H389" s="11"/>
      <c r="I389" s="10" t="s">
        <v>4402</v>
      </c>
      <c r="J389" s="11"/>
      <c r="K389" s="10" t="s">
        <v>4419</v>
      </c>
      <c r="L389" s="11"/>
      <c r="M389" s="10"/>
      <c r="N389" s="10" t="s">
        <v>4419</v>
      </c>
      <c r="O389" s="11"/>
      <c r="P389" s="11"/>
      <c r="Q389" s="11"/>
    </row>
    <row r="390" ht="14.25" customHeight="1">
      <c r="A390" s="10" t="s">
        <v>4836</v>
      </c>
      <c r="B390" s="10" t="s">
        <v>4837</v>
      </c>
      <c r="C390" s="11"/>
      <c r="D390" s="11"/>
      <c r="E390" s="10" t="s">
        <v>4400</v>
      </c>
      <c r="F390" s="11"/>
      <c r="G390" s="10" t="s">
        <v>4407</v>
      </c>
      <c r="H390" s="11"/>
      <c r="I390" s="10" t="s">
        <v>4402</v>
      </c>
      <c r="J390" s="11"/>
      <c r="K390" s="10" t="s">
        <v>4419</v>
      </c>
      <c r="L390" s="11"/>
      <c r="M390" s="10"/>
      <c r="N390" s="10" t="s">
        <v>4419</v>
      </c>
      <c r="O390" s="11"/>
      <c r="P390" s="11"/>
      <c r="Q390" s="11"/>
    </row>
    <row r="391" ht="14.25" customHeight="1">
      <c r="A391" s="10" t="s">
        <v>4838</v>
      </c>
      <c r="B391" s="10" t="s">
        <v>4839</v>
      </c>
      <c r="C391" s="11"/>
      <c r="D391" s="11"/>
      <c r="E391" s="10" t="s">
        <v>4720</v>
      </c>
      <c r="F391" s="11"/>
      <c r="G391" s="10" t="s">
        <v>4676</v>
      </c>
      <c r="H391" s="11"/>
      <c r="I391" s="10" t="s">
        <v>4447</v>
      </c>
      <c r="J391" s="11"/>
      <c r="K391" s="10" t="s">
        <v>4719</v>
      </c>
      <c r="L391" s="11"/>
      <c r="M391" s="10"/>
      <c r="N391" s="10" t="s">
        <v>4720</v>
      </c>
      <c r="O391" s="11"/>
      <c r="P391" s="11"/>
      <c r="Q391" s="11"/>
    </row>
    <row r="392" ht="14.25" customHeight="1">
      <c r="A392" s="10" t="s">
        <v>4840</v>
      </c>
      <c r="B392" s="10" t="s">
        <v>4841</v>
      </c>
      <c r="C392" s="11"/>
      <c r="D392" s="11"/>
      <c r="E392" s="10" t="s">
        <v>4400</v>
      </c>
      <c r="F392" s="11"/>
      <c r="G392" s="10" t="s">
        <v>4407</v>
      </c>
      <c r="H392" s="11"/>
      <c r="I392" s="10" t="s">
        <v>4419</v>
      </c>
      <c r="J392" s="11"/>
      <c r="K392" s="10" t="s">
        <v>4403</v>
      </c>
      <c r="L392" s="11"/>
      <c r="M392" s="10"/>
      <c r="N392" s="10" t="s">
        <v>4419</v>
      </c>
      <c r="O392" s="11"/>
      <c r="P392" s="11"/>
      <c r="Q392" s="11"/>
    </row>
    <row r="393" ht="14.25" customHeight="1">
      <c r="A393" s="10" t="s">
        <v>4842</v>
      </c>
      <c r="B393" s="10" t="s">
        <v>4843</v>
      </c>
      <c r="C393" s="11"/>
      <c r="D393" s="11"/>
      <c r="E393" s="10" t="s">
        <v>4400</v>
      </c>
      <c r="F393" s="11"/>
      <c r="G393" s="10" t="s">
        <v>4407</v>
      </c>
      <c r="H393" s="11"/>
      <c r="I393" s="10" t="s">
        <v>4419</v>
      </c>
      <c r="J393" s="11"/>
      <c r="K393" s="10" t="s">
        <v>4403</v>
      </c>
      <c r="L393" s="11"/>
      <c r="M393" s="10"/>
      <c r="N393" s="10" t="s">
        <v>4419</v>
      </c>
      <c r="O393" s="11"/>
      <c r="P393" s="11"/>
      <c r="Q393" s="11"/>
    </row>
    <row r="394" ht="14.25" customHeight="1">
      <c r="A394" s="10" t="s">
        <v>4844</v>
      </c>
      <c r="B394" s="10" t="s">
        <v>4845</v>
      </c>
      <c r="C394" s="11"/>
      <c r="D394" s="11"/>
      <c r="E394" s="10" t="s">
        <v>4400</v>
      </c>
      <c r="F394" s="11"/>
      <c r="G394" s="10" t="s">
        <v>4407</v>
      </c>
      <c r="H394" s="11"/>
      <c r="I394" s="10" t="s">
        <v>4419</v>
      </c>
      <c r="J394" s="11"/>
      <c r="K394" s="10" t="s">
        <v>4403</v>
      </c>
      <c r="L394" s="11"/>
      <c r="M394" s="10"/>
      <c r="N394" s="10" t="s">
        <v>4419</v>
      </c>
      <c r="O394" s="11"/>
      <c r="P394" s="11"/>
      <c r="Q394" s="11"/>
    </row>
    <row r="395" ht="14.25" customHeight="1">
      <c r="A395" s="10" t="s">
        <v>4846</v>
      </c>
      <c r="B395" s="10" t="s">
        <v>4847</v>
      </c>
      <c r="C395" s="11"/>
      <c r="D395" s="11"/>
      <c r="E395" s="10" t="s">
        <v>4400</v>
      </c>
      <c r="F395" s="11"/>
      <c r="G395" s="10" t="s">
        <v>4407</v>
      </c>
      <c r="H395" s="11"/>
      <c r="I395" s="10" t="s">
        <v>4419</v>
      </c>
      <c r="J395" s="11"/>
      <c r="K395" s="10" t="s">
        <v>4403</v>
      </c>
      <c r="L395" s="11"/>
      <c r="M395" s="10"/>
      <c r="N395" s="10" t="s">
        <v>4419</v>
      </c>
      <c r="O395" s="11"/>
      <c r="P395" s="11"/>
      <c r="Q395" s="11"/>
    </row>
    <row r="396" ht="14.25" customHeight="1">
      <c r="A396" s="10" t="s">
        <v>4848</v>
      </c>
      <c r="B396" s="10" t="s">
        <v>4849</v>
      </c>
      <c r="C396" s="11"/>
      <c r="D396" s="11"/>
      <c r="E396" s="10" t="s">
        <v>4400</v>
      </c>
      <c r="F396" s="11"/>
      <c r="G396" s="10" t="s">
        <v>4419</v>
      </c>
      <c r="H396" s="11"/>
      <c r="I396" s="10" t="s">
        <v>4402</v>
      </c>
      <c r="J396" s="11"/>
      <c r="K396" s="10" t="s">
        <v>4403</v>
      </c>
      <c r="L396" s="11"/>
      <c r="M396" s="10"/>
      <c r="N396" s="10" t="s">
        <v>4419</v>
      </c>
      <c r="O396" s="11"/>
      <c r="P396" s="11"/>
      <c r="Q396" s="11"/>
    </row>
    <row r="397" ht="14.25" customHeight="1">
      <c r="A397" s="10" t="s">
        <v>4850</v>
      </c>
      <c r="B397" s="10" t="s">
        <v>4851</v>
      </c>
      <c r="C397" s="11"/>
      <c r="D397" s="11"/>
      <c r="E397" s="10" t="s">
        <v>4400</v>
      </c>
      <c r="F397" s="11"/>
      <c r="G397" s="10" t="s">
        <v>4407</v>
      </c>
      <c r="H397" s="11"/>
      <c r="I397" s="10" t="s">
        <v>4402</v>
      </c>
      <c r="J397" s="11"/>
      <c r="K397" s="10" t="s">
        <v>4419</v>
      </c>
      <c r="L397" s="11"/>
      <c r="M397" s="10"/>
      <c r="N397" s="10" t="s">
        <v>4419</v>
      </c>
      <c r="O397" s="11"/>
      <c r="P397" s="11"/>
      <c r="Q397" s="11"/>
    </row>
    <row r="398" ht="14.25" customHeight="1">
      <c r="A398" s="10" t="s">
        <v>4852</v>
      </c>
      <c r="B398" s="10" t="s">
        <v>4853</v>
      </c>
      <c r="C398" s="11"/>
      <c r="D398" s="11"/>
      <c r="E398" s="10" t="s">
        <v>4400</v>
      </c>
      <c r="F398" s="11"/>
      <c r="G398" s="10" t="s">
        <v>4407</v>
      </c>
      <c r="H398" s="11"/>
      <c r="I398" s="10" t="s">
        <v>4402</v>
      </c>
      <c r="J398" s="11"/>
      <c r="K398" s="10" t="s">
        <v>4419</v>
      </c>
      <c r="L398" s="11"/>
      <c r="M398" s="10"/>
      <c r="N398" s="10" t="s">
        <v>4419</v>
      </c>
      <c r="O398" s="11"/>
      <c r="P398" s="11"/>
      <c r="Q398" s="11"/>
    </row>
    <row r="399" ht="14.25" customHeight="1">
      <c r="A399" s="10" t="s">
        <v>4854</v>
      </c>
      <c r="B399" s="10" t="s">
        <v>4855</v>
      </c>
      <c r="C399" s="11"/>
      <c r="D399" s="11"/>
      <c r="E399" s="10" t="s">
        <v>4400</v>
      </c>
      <c r="F399" s="11"/>
      <c r="G399" s="10" t="s">
        <v>4419</v>
      </c>
      <c r="H399" s="11"/>
      <c r="I399" s="10" t="s">
        <v>4402</v>
      </c>
      <c r="J399" s="11"/>
      <c r="K399" s="10" t="s">
        <v>4403</v>
      </c>
      <c r="L399" s="11"/>
      <c r="M399" s="10"/>
      <c r="N399" s="10" t="s">
        <v>4419</v>
      </c>
      <c r="O399" s="11"/>
      <c r="P399" s="11"/>
      <c r="Q399" s="11"/>
    </row>
    <row r="400" ht="14.25" customHeight="1">
      <c r="A400" s="10" t="s">
        <v>4856</v>
      </c>
      <c r="B400" s="10" t="s">
        <v>4857</v>
      </c>
      <c r="C400" s="11"/>
      <c r="D400" s="11"/>
      <c r="E400" s="10" t="s">
        <v>4400</v>
      </c>
      <c r="F400" s="11"/>
      <c r="G400" s="10" t="s">
        <v>4407</v>
      </c>
      <c r="H400" s="11"/>
      <c r="I400" s="10" t="s">
        <v>4402</v>
      </c>
      <c r="J400" s="11"/>
      <c r="K400" s="10" t="s">
        <v>4419</v>
      </c>
      <c r="L400" s="11"/>
      <c r="M400" s="10"/>
      <c r="N400" s="10" t="s">
        <v>4419</v>
      </c>
      <c r="O400" s="11"/>
      <c r="P400" s="11"/>
      <c r="Q400" s="11"/>
    </row>
    <row r="401" ht="14.25" customHeight="1">
      <c r="A401" s="10" t="s">
        <v>4858</v>
      </c>
      <c r="B401" s="10" t="s">
        <v>4859</v>
      </c>
      <c r="C401" s="11"/>
      <c r="D401" s="11"/>
      <c r="E401" s="10" t="s">
        <v>4419</v>
      </c>
      <c r="F401" s="11"/>
      <c r="G401" s="10" t="s">
        <v>4407</v>
      </c>
      <c r="H401" s="11"/>
      <c r="I401" s="10" t="s">
        <v>4402</v>
      </c>
      <c r="J401" s="11"/>
      <c r="K401" s="10" t="s">
        <v>4403</v>
      </c>
      <c r="L401" s="11"/>
      <c r="M401" s="10"/>
      <c r="N401" s="10" t="s">
        <v>4419</v>
      </c>
      <c r="O401" s="11"/>
      <c r="P401" s="11"/>
      <c r="Q401" s="11"/>
    </row>
    <row r="402" ht="14.25" customHeight="1">
      <c r="A402" s="10" t="s">
        <v>4860</v>
      </c>
      <c r="B402" s="10" t="s">
        <v>4861</v>
      </c>
      <c r="C402" s="11"/>
      <c r="D402" s="11"/>
      <c r="E402" s="10" t="s">
        <v>4400</v>
      </c>
      <c r="F402" s="11"/>
      <c r="G402" s="10" t="s">
        <v>4407</v>
      </c>
      <c r="H402" s="11"/>
      <c r="I402" s="10" t="s">
        <v>4402</v>
      </c>
      <c r="J402" s="11"/>
      <c r="K402" s="10" t="s">
        <v>4419</v>
      </c>
      <c r="L402" s="11"/>
      <c r="M402" s="10"/>
      <c r="N402" s="10" t="s">
        <v>4419</v>
      </c>
      <c r="O402" s="11"/>
      <c r="P402" s="11"/>
      <c r="Q402" s="11"/>
    </row>
    <row r="403" ht="14.25" customHeight="1">
      <c r="A403" s="10" t="s">
        <v>4862</v>
      </c>
      <c r="B403" s="10" t="s">
        <v>4863</v>
      </c>
      <c r="C403" s="11"/>
      <c r="D403" s="11"/>
      <c r="E403" s="10" t="s">
        <v>4400</v>
      </c>
      <c r="F403" s="11"/>
      <c r="G403" s="10" t="s">
        <v>4419</v>
      </c>
      <c r="H403" s="11"/>
      <c r="I403" s="10" t="s">
        <v>4402</v>
      </c>
      <c r="J403" s="11"/>
      <c r="K403" s="10" t="s">
        <v>4403</v>
      </c>
      <c r="L403" s="11"/>
      <c r="M403" s="10"/>
      <c r="N403" s="10" t="s">
        <v>4419</v>
      </c>
      <c r="O403" s="11"/>
      <c r="P403" s="11"/>
      <c r="Q403" s="11"/>
    </row>
    <row r="404" ht="14.25" customHeight="1">
      <c r="A404" s="10" t="s">
        <v>4864</v>
      </c>
      <c r="B404" s="10" t="s">
        <v>4865</v>
      </c>
      <c r="C404" s="11"/>
      <c r="D404" s="11"/>
      <c r="E404" s="10" t="s">
        <v>4400</v>
      </c>
      <c r="F404" s="11"/>
      <c r="G404" s="10" t="s">
        <v>4407</v>
      </c>
      <c r="H404" s="11"/>
      <c r="I404" s="10" t="s">
        <v>4419</v>
      </c>
      <c r="J404" s="11"/>
      <c r="K404" s="10" t="s">
        <v>4403</v>
      </c>
      <c r="L404" s="11"/>
      <c r="M404" s="10"/>
      <c r="N404" s="10" t="s">
        <v>4419</v>
      </c>
      <c r="O404" s="11"/>
      <c r="P404" s="11"/>
      <c r="Q404" s="11"/>
    </row>
    <row r="405" ht="14.25" customHeight="1">
      <c r="A405" s="10" t="s">
        <v>4866</v>
      </c>
      <c r="B405" s="10" t="s">
        <v>4867</v>
      </c>
      <c r="C405" s="11"/>
      <c r="D405" s="11"/>
      <c r="E405" s="10" t="s">
        <v>4400</v>
      </c>
      <c r="F405" s="11"/>
      <c r="G405" s="10" t="s">
        <v>4407</v>
      </c>
      <c r="H405" s="11"/>
      <c r="I405" s="10" t="s">
        <v>4402</v>
      </c>
      <c r="J405" s="11"/>
      <c r="K405" s="10" t="s">
        <v>4419</v>
      </c>
      <c r="L405" s="11"/>
      <c r="M405" s="10"/>
      <c r="N405" s="10" t="s">
        <v>4419</v>
      </c>
      <c r="O405" s="11"/>
      <c r="P405" s="11"/>
      <c r="Q405" s="11"/>
    </row>
    <row r="406" ht="14.25" customHeight="1">
      <c r="A406" s="10" t="s">
        <v>4868</v>
      </c>
      <c r="B406" s="10" t="s">
        <v>4869</v>
      </c>
      <c r="C406" s="12">
        <v>1.0</v>
      </c>
      <c r="D406" s="10" t="s">
        <v>4870</v>
      </c>
      <c r="E406" s="10" t="s">
        <v>4400</v>
      </c>
      <c r="F406" s="10" t="s">
        <v>4411</v>
      </c>
      <c r="G406" s="10" t="s">
        <v>4407</v>
      </c>
      <c r="H406" s="10" t="s">
        <v>4412</v>
      </c>
      <c r="I406" s="10" t="s">
        <v>4402</v>
      </c>
      <c r="J406" s="11"/>
      <c r="K406" s="10" t="s">
        <v>4419</v>
      </c>
      <c r="L406" s="10" t="s">
        <v>4413</v>
      </c>
      <c r="M406" s="10"/>
      <c r="N406" s="10" t="s">
        <v>4419</v>
      </c>
      <c r="O406" s="10" t="s">
        <v>4413</v>
      </c>
      <c r="Q406" s="11"/>
    </row>
    <row r="407" ht="14.25" customHeight="1">
      <c r="A407" s="10" t="s">
        <v>4871</v>
      </c>
      <c r="B407" s="10" t="s">
        <v>4872</v>
      </c>
      <c r="C407" s="11"/>
      <c r="D407" s="11"/>
      <c r="E407" s="10" t="s">
        <v>4400</v>
      </c>
      <c r="F407" s="11"/>
      <c r="G407" s="10" t="s">
        <v>4419</v>
      </c>
      <c r="H407" s="11"/>
      <c r="I407" s="10" t="s">
        <v>4402</v>
      </c>
      <c r="J407" s="11"/>
      <c r="K407" s="10" t="s">
        <v>4403</v>
      </c>
      <c r="L407" s="11"/>
      <c r="M407" s="10"/>
      <c r="N407" s="10" t="s">
        <v>4419</v>
      </c>
      <c r="O407" s="11"/>
      <c r="P407" s="11"/>
      <c r="Q407" s="11"/>
    </row>
    <row r="408" ht="14.25" customHeight="1">
      <c r="A408" s="10" t="s">
        <v>4873</v>
      </c>
      <c r="B408" s="10" t="s">
        <v>4874</v>
      </c>
      <c r="C408" s="11"/>
      <c r="D408" s="11"/>
      <c r="E408" s="10" t="s">
        <v>4419</v>
      </c>
      <c r="F408" s="11"/>
      <c r="G408" s="10" t="s">
        <v>4407</v>
      </c>
      <c r="H408" s="11"/>
      <c r="I408" s="10" t="s">
        <v>4402</v>
      </c>
      <c r="J408" s="11"/>
      <c r="K408" s="10" t="s">
        <v>4403</v>
      </c>
      <c r="L408" s="11"/>
      <c r="M408" s="10"/>
      <c r="N408" s="10" t="s">
        <v>4419</v>
      </c>
      <c r="O408" s="11"/>
      <c r="P408" s="11"/>
      <c r="Q408" s="11"/>
    </row>
    <row r="409" ht="14.25" customHeight="1">
      <c r="A409" s="10" t="s">
        <v>4875</v>
      </c>
      <c r="B409" s="10" t="s">
        <v>4876</v>
      </c>
      <c r="C409" s="11"/>
      <c r="D409" s="11"/>
      <c r="E409" s="10" t="s">
        <v>4400</v>
      </c>
      <c r="F409" s="11"/>
      <c r="G409" s="10" t="s">
        <v>4419</v>
      </c>
      <c r="H409" s="11"/>
      <c r="I409" s="10" t="s">
        <v>4402</v>
      </c>
      <c r="J409" s="11"/>
      <c r="K409" s="10" t="s">
        <v>4403</v>
      </c>
      <c r="L409" s="11"/>
      <c r="M409" s="10"/>
      <c r="N409" s="10" t="s">
        <v>4419</v>
      </c>
      <c r="O409" s="11"/>
      <c r="P409" s="11"/>
      <c r="Q409" s="11"/>
    </row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8">
    <mergeCell ref="O210:P210"/>
    <mergeCell ref="O215:P215"/>
    <mergeCell ref="O218:P218"/>
    <mergeCell ref="O219:P219"/>
    <mergeCell ref="I222:J222"/>
    <mergeCell ref="N222:O222"/>
    <mergeCell ref="G224:H224"/>
    <mergeCell ref="O221:P221"/>
    <mergeCell ref="O226:P226"/>
    <mergeCell ref="O228:P228"/>
    <mergeCell ref="O229:P229"/>
    <mergeCell ref="O231:P231"/>
    <mergeCell ref="O233:P233"/>
    <mergeCell ref="O235:P235"/>
    <mergeCell ref="O236:P236"/>
    <mergeCell ref="O237:P237"/>
    <mergeCell ref="O238:P238"/>
    <mergeCell ref="O239:P239"/>
    <mergeCell ref="O240:P240"/>
    <mergeCell ref="O241:P241"/>
    <mergeCell ref="O242:P242"/>
    <mergeCell ref="O244:P244"/>
    <mergeCell ref="O249:P249"/>
    <mergeCell ref="O250:P250"/>
    <mergeCell ref="O251:P251"/>
    <mergeCell ref="O252:P252"/>
    <mergeCell ref="K255:L255"/>
    <mergeCell ref="O257:P257"/>
    <mergeCell ref="O268:P268"/>
    <mergeCell ref="O269:P269"/>
    <mergeCell ref="O270:P270"/>
    <mergeCell ref="O274:P274"/>
    <mergeCell ref="O290:P290"/>
    <mergeCell ref="O293:P293"/>
    <mergeCell ref="O295:P295"/>
    <mergeCell ref="I297:J297"/>
    <mergeCell ref="O310:P310"/>
    <mergeCell ref="O314:P314"/>
    <mergeCell ref="O332:P332"/>
    <mergeCell ref="O333:P333"/>
    <mergeCell ref="O406:P406"/>
    <mergeCell ref="O258:P258"/>
    <mergeCell ref="O260:P260"/>
    <mergeCell ref="O261:P261"/>
    <mergeCell ref="O262:P262"/>
    <mergeCell ref="O263:P263"/>
    <mergeCell ref="O264:P264"/>
    <mergeCell ref="O266:P266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